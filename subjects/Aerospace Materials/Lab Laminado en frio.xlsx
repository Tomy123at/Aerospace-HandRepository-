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fdd8f26562bdc3/Documentos/Universidad/2024-1/Materiales Aeroespaciales/"/>
    </mc:Choice>
  </mc:AlternateContent>
  <xr:revisionPtr revIDLastSave="0" documentId="8_{D73DE6F5-07E8-4689-AF30-A4A436B39FAB}" xr6:coauthVersionLast="47" xr6:coauthVersionMax="47" xr10:uidLastSave="{00000000-0000-0000-0000-000000000000}"/>
  <bookViews>
    <workbookView xWindow="-105" yWindow="0" windowWidth="16890" windowHeight="15585" xr2:uid="{DF3A9389-9A8A-4429-9BB7-FFBE7387CB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C13" i="1"/>
  <c r="B13" i="1"/>
  <c r="C12" i="1"/>
  <c r="D12" i="1"/>
  <c r="B12" i="1"/>
  <c r="C11" i="1"/>
  <c r="D11" i="1"/>
  <c r="B11" i="1"/>
  <c r="D10" i="1"/>
  <c r="C10" i="1"/>
  <c r="B10" i="1"/>
</calcChain>
</file>

<file path=xl/sharedStrings.xml><?xml version="1.0" encoding="utf-8"?>
<sst xmlns="http://schemas.openxmlformats.org/spreadsheetml/2006/main" count="22" uniqueCount="15">
  <si>
    <t>Espesor (t0)</t>
  </si>
  <si>
    <t>Ancho (a0)</t>
  </si>
  <si>
    <t>Longitud (L0)</t>
  </si>
  <si>
    <t>Área (A0)</t>
  </si>
  <si>
    <t>Espesor (tf)</t>
  </si>
  <si>
    <t>Ancho (af)</t>
  </si>
  <si>
    <t>Longitud (Lf)</t>
  </si>
  <si>
    <t>Area (Af)</t>
  </si>
  <si>
    <t xml:space="preserve">C.W </t>
  </si>
  <si>
    <t xml:space="preserve">Dureza Inicial </t>
  </si>
  <si>
    <t>Dureza Final</t>
  </si>
  <si>
    <t>mm</t>
  </si>
  <si>
    <t>mm^2</t>
  </si>
  <si>
    <t>Probeta Aluminio 1060</t>
  </si>
  <si>
    <t>Rockwell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</si>
</sst>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9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0" borderId="1" xfId="1" applyNumberFormat="1" applyFont="1" applyBorder="1"/>
    <xf numFmtId="169" fontId="0" fillId="0" borderId="1" xfId="0" applyNumberForma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0315-E877-4551-B469-EAE0F4B6C23C}">
  <dimension ref="A1:E13"/>
  <sheetViews>
    <sheetView tabSelected="1" zoomScale="110" zoomScaleNormal="110" workbookViewId="0">
      <selection activeCell="J13" sqref="J13"/>
    </sheetView>
  </sheetViews>
  <sheetFormatPr baseColWidth="10" defaultRowHeight="15" x14ac:dyDescent="0.25"/>
  <cols>
    <col min="1" max="1" width="21.28515625" customWidth="1"/>
  </cols>
  <sheetData>
    <row r="1" spans="1:5" x14ac:dyDescent="0.25">
      <c r="B1" s="1" t="s">
        <v>13</v>
      </c>
      <c r="C1" s="1"/>
      <c r="D1" s="1"/>
    </row>
    <row r="2" spans="1:5" x14ac:dyDescent="0.25">
      <c r="B2" s="2">
        <v>1</v>
      </c>
      <c r="C2" s="2">
        <v>2</v>
      </c>
      <c r="D2" s="2">
        <v>3</v>
      </c>
    </row>
    <row r="3" spans="1:5" x14ac:dyDescent="0.25">
      <c r="A3" s="3" t="s">
        <v>0</v>
      </c>
      <c r="B3" s="4">
        <v>2.6</v>
      </c>
      <c r="C3" s="4">
        <v>2.6</v>
      </c>
      <c r="D3" s="4">
        <v>2.56</v>
      </c>
      <c r="E3" t="s">
        <v>11</v>
      </c>
    </row>
    <row r="4" spans="1:5" x14ac:dyDescent="0.25">
      <c r="A4" s="3" t="s">
        <v>1</v>
      </c>
      <c r="B4" s="5">
        <v>19</v>
      </c>
      <c r="C4" s="5">
        <v>18.850000000000001</v>
      </c>
      <c r="D4" s="5">
        <v>19</v>
      </c>
      <c r="E4" t="s">
        <v>11</v>
      </c>
    </row>
    <row r="5" spans="1:5" x14ac:dyDescent="0.25">
      <c r="A5" s="3" t="s">
        <v>2</v>
      </c>
      <c r="B5" s="5">
        <v>30.1</v>
      </c>
      <c r="C5" s="5">
        <v>29.7</v>
      </c>
      <c r="D5" s="5">
        <v>30.6</v>
      </c>
      <c r="E5" t="s">
        <v>11</v>
      </c>
    </row>
    <row r="6" spans="1:5" x14ac:dyDescent="0.25">
      <c r="A6" s="3" t="s">
        <v>3</v>
      </c>
      <c r="B6" s="6">
        <v>49.4</v>
      </c>
      <c r="C6" s="6">
        <v>49.01</v>
      </c>
      <c r="D6" s="6">
        <v>50.35</v>
      </c>
      <c r="E6" t="s">
        <v>12</v>
      </c>
    </row>
    <row r="7" spans="1:5" x14ac:dyDescent="0.25">
      <c r="A7" s="3" t="s">
        <v>4</v>
      </c>
      <c r="B7" s="4">
        <v>2.2000000000000002</v>
      </c>
      <c r="C7" s="4">
        <v>1.85</v>
      </c>
      <c r="D7" s="4">
        <v>1.2</v>
      </c>
      <c r="E7" t="s">
        <v>11</v>
      </c>
    </row>
    <row r="8" spans="1:5" x14ac:dyDescent="0.25">
      <c r="A8" s="3" t="s">
        <v>5</v>
      </c>
      <c r="B8" s="5">
        <v>19.5</v>
      </c>
      <c r="C8" s="5">
        <v>19.2</v>
      </c>
      <c r="D8" s="5">
        <v>19.5</v>
      </c>
      <c r="E8" t="s">
        <v>11</v>
      </c>
    </row>
    <row r="9" spans="1:5" x14ac:dyDescent="0.25">
      <c r="A9" s="3" t="s">
        <v>6</v>
      </c>
      <c r="B9" s="5">
        <v>35.85</v>
      </c>
      <c r="C9" s="5">
        <v>41.7</v>
      </c>
      <c r="D9" s="5">
        <v>66.2</v>
      </c>
      <c r="E9" t="s">
        <v>11</v>
      </c>
    </row>
    <row r="10" spans="1:5" x14ac:dyDescent="0.25">
      <c r="A10" s="3" t="s">
        <v>7</v>
      </c>
      <c r="B10" s="6">
        <f>B7*B8</f>
        <v>42.900000000000006</v>
      </c>
      <c r="C10" s="6">
        <f>C7*C8</f>
        <v>35.520000000000003</v>
      </c>
      <c r="D10" s="6">
        <f>D7*D8</f>
        <v>23.4</v>
      </c>
      <c r="E10" t="s">
        <v>11</v>
      </c>
    </row>
    <row r="11" spans="1:5" x14ac:dyDescent="0.25">
      <c r="A11" s="3" t="s">
        <v>8</v>
      </c>
      <c r="B11" s="7">
        <f>((B3-B7)/B3)</f>
        <v>0.1538461538461538</v>
      </c>
      <c r="C11" s="7">
        <f t="shared" ref="C11:D11" si="0">((C3-C7)/C3)</f>
        <v>0.28846153846153844</v>
      </c>
      <c r="D11" s="7">
        <f t="shared" si="0"/>
        <v>0.53125</v>
      </c>
    </row>
    <row r="12" spans="1:5" x14ac:dyDescent="0.25">
      <c r="A12" s="3" t="s">
        <v>9</v>
      </c>
      <c r="B12" s="3">
        <f>AVERAGE(30,30,33)</f>
        <v>31</v>
      </c>
      <c r="C12" s="3">
        <f t="shared" ref="C12:D12" si="1">AVERAGE(30,30,33)</f>
        <v>31</v>
      </c>
      <c r="D12" s="3">
        <f t="shared" si="1"/>
        <v>31</v>
      </c>
      <c r="E12" t="s">
        <v>14</v>
      </c>
    </row>
    <row r="13" spans="1:5" x14ac:dyDescent="0.25">
      <c r="A13" s="3" t="s">
        <v>10</v>
      </c>
      <c r="B13" s="8">
        <f>AVERAGE(31,39,34)</f>
        <v>34.666666666666664</v>
      </c>
      <c r="C13" s="3">
        <f>AVERAGE(38,38,38)</f>
        <v>38</v>
      </c>
      <c r="D13" s="8">
        <f>AVERAGE(39,35,35)</f>
        <v>36.333333333333336</v>
      </c>
      <c r="E13" t="s">
        <v>14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Atencia Tatis</dc:creator>
  <cp:lastModifiedBy>Tomas Atencia Tatis</cp:lastModifiedBy>
  <dcterms:created xsi:type="dcterms:W3CDTF">2024-02-27T22:35:21Z</dcterms:created>
  <dcterms:modified xsi:type="dcterms:W3CDTF">2024-02-28T00:46:53Z</dcterms:modified>
</cp:coreProperties>
</file>