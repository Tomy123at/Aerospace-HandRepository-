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tomya\OneDrive\Documentos\Universidad\2024-2\Aerodinámica\"/>
    </mc:Choice>
  </mc:AlternateContent>
  <xr:revisionPtr revIDLastSave="0" documentId="13_ncr:1_{673B6936-7CB6-41F5-82F1-D66986929F90}" xr6:coauthVersionLast="47" xr6:coauthVersionMax="47" xr10:uidLastSave="{00000000-0000-0000-0000-000000000000}"/>
  <bookViews>
    <workbookView xWindow="-120" yWindow="-120" windowWidth="29040" windowHeight="15720" xr2:uid="{9BD31FF8-58A4-43E9-8AA0-76F4ECF840F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79" i="1" l="1"/>
  <c r="T415" i="1" s="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378"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K415" i="1"/>
  <c r="M414" i="1"/>
  <c r="L414" i="1"/>
  <c r="K414" i="1"/>
  <c r="J414" i="1"/>
  <c r="M413" i="1"/>
  <c r="L413" i="1"/>
  <c r="K413" i="1"/>
  <c r="J413" i="1"/>
  <c r="M412" i="1"/>
  <c r="L412" i="1"/>
  <c r="K412" i="1"/>
  <c r="J412" i="1"/>
  <c r="M411" i="1"/>
  <c r="L411" i="1"/>
  <c r="K411" i="1"/>
  <c r="J411" i="1"/>
  <c r="M410" i="1"/>
  <c r="L410" i="1"/>
  <c r="K410" i="1"/>
  <c r="J410" i="1"/>
  <c r="M409" i="1"/>
  <c r="L409" i="1"/>
  <c r="K409" i="1"/>
  <c r="J409" i="1"/>
  <c r="M408" i="1"/>
  <c r="L408" i="1"/>
  <c r="K408" i="1"/>
  <c r="J408" i="1"/>
  <c r="M407" i="1"/>
  <c r="L407" i="1"/>
  <c r="K407" i="1"/>
  <c r="J407" i="1"/>
  <c r="M406" i="1"/>
  <c r="L406" i="1"/>
  <c r="K406" i="1"/>
  <c r="J406" i="1"/>
  <c r="M405" i="1"/>
  <c r="L405" i="1"/>
  <c r="K405" i="1"/>
  <c r="J405" i="1"/>
  <c r="M404" i="1"/>
  <c r="L404" i="1"/>
  <c r="K404" i="1"/>
  <c r="J404" i="1"/>
  <c r="M403" i="1"/>
  <c r="L403" i="1"/>
  <c r="K403" i="1"/>
  <c r="J403" i="1"/>
  <c r="M402" i="1"/>
  <c r="L402" i="1"/>
  <c r="K402" i="1"/>
  <c r="J402" i="1"/>
  <c r="M401" i="1"/>
  <c r="L401" i="1"/>
  <c r="K401" i="1"/>
  <c r="J401" i="1"/>
  <c r="M400" i="1"/>
  <c r="L400" i="1"/>
  <c r="K400" i="1"/>
  <c r="J400" i="1"/>
  <c r="M399" i="1"/>
  <c r="L399" i="1"/>
  <c r="K399" i="1"/>
  <c r="J399" i="1"/>
  <c r="M398" i="1"/>
  <c r="L398" i="1"/>
  <c r="K398" i="1"/>
  <c r="J398" i="1"/>
  <c r="M397" i="1"/>
  <c r="L397" i="1"/>
  <c r="K397" i="1"/>
  <c r="J397" i="1"/>
  <c r="M396" i="1"/>
  <c r="L396" i="1"/>
  <c r="K396" i="1"/>
  <c r="J396" i="1"/>
  <c r="M395" i="1"/>
  <c r="L395" i="1"/>
  <c r="K395" i="1"/>
  <c r="J395" i="1"/>
  <c r="M394" i="1"/>
  <c r="L394" i="1"/>
  <c r="K394" i="1"/>
  <c r="J394" i="1"/>
  <c r="M393" i="1"/>
  <c r="L393" i="1"/>
  <c r="K393" i="1"/>
  <c r="J393" i="1"/>
  <c r="M392" i="1"/>
  <c r="L392" i="1"/>
  <c r="K392" i="1"/>
  <c r="J392" i="1"/>
  <c r="M391" i="1"/>
  <c r="L391" i="1"/>
  <c r="K391" i="1"/>
  <c r="J391" i="1"/>
  <c r="M390" i="1"/>
  <c r="L390" i="1"/>
  <c r="K390" i="1"/>
  <c r="J390" i="1"/>
  <c r="M389" i="1"/>
  <c r="L389" i="1"/>
  <c r="K389" i="1"/>
  <c r="J389" i="1"/>
  <c r="M388" i="1"/>
  <c r="L388" i="1"/>
  <c r="K388" i="1"/>
  <c r="J388" i="1"/>
  <c r="M387" i="1"/>
  <c r="L387" i="1"/>
  <c r="K387" i="1"/>
  <c r="J387" i="1"/>
  <c r="M386" i="1"/>
  <c r="L386" i="1"/>
  <c r="K386" i="1"/>
  <c r="J386" i="1"/>
  <c r="M385" i="1"/>
  <c r="L385" i="1"/>
  <c r="K385" i="1"/>
  <c r="J385" i="1"/>
  <c r="M384" i="1"/>
  <c r="L384" i="1"/>
  <c r="K384" i="1"/>
  <c r="J384" i="1"/>
  <c r="M383" i="1"/>
  <c r="L383" i="1"/>
  <c r="K383" i="1"/>
  <c r="J383" i="1"/>
  <c r="M382" i="1"/>
  <c r="L382" i="1"/>
  <c r="K382" i="1"/>
  <c r="J382" i="1"/>
  <c r="M381" i="1"/>
  <c r="L381" i="1"/>
  <c r="K381" i="1"/>
  <c r="J381" i="1"/>
  <c r="M380" i="1"/>
  <c r="L380" i="1"/>
  <c r="K380" i="1"/>
  <c r="J380" i="1"/>
  <c r="M379" i="1"/>
  <c r="M415" i="1" s="1"/>
  <c r="L379" i="1"/>
  <c r="K379" i="1"/>
  <c r="J379" i="1"/>
  <c r="M378" i="1"/>
  <c r="L378" i="1"/>
  <c r="L415" i="1" s="1"/>
  <c r="K378" i="1"/>
  <c r="J378" i="1"/>
  <c r="F379" i="1"/>
  <c r="F380" i="1"/>
  <c r="F381" i="1"/>
  <c r="F382" i="1"/>
  <c r="F383" i="1"/>
  <c r="F384" i="1"/>
  <c r="F385" i="1"/>
  <c r="F415" i="1" s="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378" i="1"/>
  <c r="E379" i="1"/>
  <c r="E415" i="1" s="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378" i="1"/>
  <c r="P372" i="1"/>
  <c r="O372" i="1"/>
  <c r="K372" i="1"/>
  <c r="J372" i="1"/>
  <c r="I372" i="1"/>
  <c r="F372" i="1"/>
  <c r="E372" i="1"/>
  <c r="D372" i="1"/>
  <c r="K330" i="1"/>
  <c r="J330" i="1"/>
  <c r="I330" i="1"/>
  <c r="F330" i="1"/>
  <c r="E330" i="1"/>
  <c r="D330"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35" i="1"/>
  <c r="Q372" i="1" s="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35" i="1"/>
  <c r="P293" i="1"/>
  <c r="P330" i="1" s="1"/>
  <c r="J293"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35" i="1"/>
  <c r="E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35" i="1"/>
  <c r="E293" i="1"/>
  <c r="F293"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D351" i="1"/>
  <c r="D336" i="1"/>
  <c r="D337" i="1"/>
  <c r="D338" i="1"/>
  <c r="D339" i="1"/>
  <c r="D340" i="1"/>
  <c r="D341" i="1"/>
  <c r="D342" i="1"/>
  <c r="D343" i="1"/>
  <c r="D344" i="1"/>
  <c r="D345" i="1"/>
  <c r="D346" i="1"/>
  <c r="D347" i="1"/>
  <c r="D348" i="1"/>
  <c r="D349" i="1"/>
  <c r="D350" i="1"/>
  <c r="D352" i="1"/>
  <c r="D353" i="1"/>
  <c r="D354" i="1"/>
  <c r="D355" i="1"/>
  <c r="D356" i="1"/>
  <c r="D357" i="1"/>
  <c r="D358" i="1"/>
  <c r="D359" i="1"/>
  <c r="D360" i="1"/>
  <c r="D361" i="1"/>
  <c r="D362" i="1"/>
  <c r="D363" i="1"/>
  <c r="D364" i="1"/>
  <c r="D365" i="1"/>
  <c r="D366" i="1"/>
  <c r="D367" i="1"/>
  <c r="D368" i="1"/>
  <c r="D369" i="1"/>
  <c r="D370" i="1"/>
  <c r="D371" i="1"/>
  <c r="D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35"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293" i="1"/>
  <c r="Q330" i="1" s="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O294" i="1"/>
  <c r="O330" i="1" s="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293"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293"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F294"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D293" i="1"/>
  <c r="D294" i="1"/>
  <c r="D295" i="1"/>
  <c r="D296" i="1"/>
  <c r="D297" i="1"/>
  <c r="D298" i="1"/>
  <c r="D299" i="1"/>
  <c r="D300" i="1"/>
  <c r="D301" i="1"/>
  <c r="D302" i="1"/>
  <c r="D303" i="1"/>
  <c r="D304" i="1"/>
  <c r="D305" i="1"/>
  <c r="D306" i="1"/>
  <c r="D307" i="1"/>
  <c r="D308" i="1"/>
  <c r="D310" i="1"/>
  <c r="D311" i="1"/>
  <c r="D312" i="1"/>
  <c r="D313" i="1"/>
  <c r="D314" i="1"/>
  <c r="D315" i="1"/>
  <c r="D316" i="1"/>
  <c r="D317" i="1"/>
  <c r="D318" i="1"/>
  <c r="D319" i="1"/>
  <c r="D320" i="1"/>
  <c r="D321" i="1"/>
  <c r="D322" i="1"/>
  <c r="D323" i="1"/>
  <c r="D324" i="1"/>
  <c r="D325" i="1"/>
  <c r="D326" i="1"/>
  <c r="D327" i="1"/>
  <c r="D328" i="1"/>
  <c r="D329" i="1"/>
  <c r="D309" i="1"/>
  <c r="C293" i="1"/>
  <c r="C294" i="1"/>
  <c r="C295" i="1"/>
  <c r="C296" i="1"/>
  <c r="C297" i="1"/>
  <c r="C298" i="1"/>
  <c r="C299" i="1"/>
  <c r="C300" i="1"/>
  <c r="C301" i="1"/>
  <c r="C302" i="1"/>
  <c r="C329" i="1"/>
  <c r="C328" i="1"/>
  <c r="C325" i="1"/>
  <c r="C326" i="1"/>
  <c r="C327" i="1"/>
  <c r="C304" i="1"/>
  <c r="C305" i="1"/>
  <c r="C306" i="1"/>
  <c r="C307" i="1"/>
  <c r="C308" i="1"/>
  <c r="C309" i="1"/>
  <c r="C310" i="1"/>
  <c r="C311" i="1"/>
  <c r="C312" i="1"/>
  <c r="C313" i="1"/>
  <c r="C314" i="1"/>
  <c r="C315" i="1"/>
  <c r="C316" i="1"/>
  <c r="C317" i="1"/>
  <c r="C318" i="1"/>
  <c r="C319" i="1"/>
  <c r="C320" i="1"/>
  <c r="C321" i="1"/>
  <c r="C322" i="1"/>
  <c r="C323" i="1"/>
  <c r="C324" i="1"/>
  <c r="C303" i="1"/>
  <c r="D8" i="1"/>
  <c r="F295" i="1" s="1"/>
  <c r="S415" i="1" l="1"/>
  <c r="R415" i="1"/>
  <c r="D415" i="1"/>
</calcChain>
</file>

<file path=xl/sharedStrings.xml><?xml version="1.0" encoding="utf-8"?>
<sst xmlns="http://schemas.openxmlformats.org/spreadsheetml/2006/main" count="194" uniqueCount="50">
  <si>
    <t>NACA 2412</t>
  </si>
  <si>
    <t xml:space="preserve">Airfoil </t>
  </si>
  <si>
    <t>Alfa</t>
  </si>
  <si>
    <t xml:space="preserve">Cl </t>
  </si>
  <si>
    <t>Cm c/4</t>
  </si>
  <si>
    <t>Report 824     Re=3.1E6</t>
  </si>
  <si>
    <t>Report 824     Re=5.7E6</t>
  </si>
  <si>
    <t>Report 824     Re=8.9E6</t>
  </si>
  <si>
    <t>Cd(Cl)</t>
  </si>
  <si>
    <t>XFOIL     Re=3.1E6</t>
  </si>
  <si>
    <t xml:space="preserve">       XFOIL         Version 6.99</t>
  </si>
  <si>
    <t xml:space="preserve">  </t>
  </si>
  <si>
    <t xml:space="preserve"> Calculated polar for: NACA 2412                                       </t>
  </si>
  <si>
    <t xml:space="preserve"> 1 1 Reynolds number fixed          Mach number fixed         </t>
  </si>
  <si>
    <t xml:space="preserve"> xtrf =   1.000 (top)        1.000 (bottom)  </t>
  </si>
  <si>
    <t>alpha</t>
  </si>
  <si>
    <t>CL</t>
  </si>
  <si>
    <t>CD</t>
  </si>
  <si>
    <t>CDp</t>
  </si>
  <si>
    <t>CM</t>
  </si>
  <si>
    <t>------</t>
  </si>
  <si>
    <t>--------</t>
  </si>
  <si>
    <t>---------</t>
  </si>
  <si>
    <t>XFOIL     Re=5.7E6</t>
  </si>
  <si>
    <t>XFOIL     Re=8.9E6</t>
  </si>
  <si>
    <t xml:space="preserve">       RFOIL         Version 1.1</t>
  </si>
  <si>
    <t xml:space="preserve"> Calculated polar for: NACA 2412                       </t>
  </si>
  <si>
    <t xml:space="preserve"> 1  Reynolds number fixed</t>
  </si>
  <si>
    <t xml:space="preserve"> xtrf =   1.000 (suction)    1.000 (pressure)</t>
  </si>
  <si>
    <t xml:space="preserve"> Rot. Parameters:  f0 =   1.000 c/r =   0.000</t>
  </si>
  <si>
    <t>RFOIL     Re=3.1E6</t>
  </si>
  <si>
    <t>-------</t>
  </si>
  <si>
    <t>RFOIL     Re=5.7E6</t>
  </si>
  <si>
    <t>RFOIL     Re=8.9E6</t>
  </si>
  <si>
    <t xml:space="preserve"> Mach =   0.000     Re =     3.100 e 6     Ncrit =   9.000</t>
  </si>
  <si>
    <t xml:space="preserve"> Mach =   0.000     Re =     5.700 e 6     Ncrit =   9.000</t>
  </si>
  <si>
    <t xml:space="preserve"> Mach =   0.000     Re =     8.900 e 6     Ncrit =   9.000</t>
  </si>
  <si>
    <t>Cd</t>
  </si>
  <si>
    <t>Cl</t>
  </si>
  <si>
    <t>Cm</t>
  </si>
  <si>
    <t>Alpha</t>
  </si>
  <si>
    <t>Percentual Error (824 vs Xfoil)   Re = 3.1e6</t>
  </si>
  <si>
    <t>Percentual Error (824 vs Xfoil)   Re = 5.7e6</t>
  </si>
  <si>
    <t>Percentual Error (824 vs Xfoil)   Re = 8.9e6</t>
  </si>
  <si>
    <t>Percentual Error (824 vs Rfoil)   Re = 3.1e6</t>
  </si>
  <si>
    <t>Percentual Error (824 vs Rfoil)   Re = 5.7e6</t>
  </si>
  <si>
    <t>Percentual Error (824 vs Rfoil)   Re = 8.9e6</t>
  </si>
  <si>
    <t>PROM</t>
  </si>
  <si>
    <t>Percentual Error (Xfoil vs Rfoil)   Re = 3.1e6</t>
  </si>
  <si>
    <t>Percentual Error (Xfoil vs Rfoil)   Re = 5.7e6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</si>
</sst>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1" xfId="0" applyBorder="1"/>
    <xf numFmtId="164" fontId="0" fillId="0" borderId="0" xfId="0" applyNumberFormat="1"/>
    <xf numFmtId="165" fontId="0" fillId="0" borderId="0" xfId="0" applyNumberFormat="1"/>
    <xf numFmtId="0" fontId="0" fillId="0" borderId="5" xfId="0" applyBorder="1"/>
    <xf numFmtId="10" fontId="0" fillId="0" borderId="0" xfId="1" applyNumberFormat="1" applyFont="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0" fontId="0" fillId="2" borderId="0" xfId="0" applyNumberFormat="1" applyFill="1"/>
    <xf numFmtId="10" fontId="0" fillId="3" borderId="0" xfId="0" applyNumberFormat="1" applyFill="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 vs Alpha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Hoja1!$A$4</c:f>
              <c:strCache>
                <c:ptCount val="1"/>
                <c:pt idx="0">
                  <c:v>Report 824     Re=3.1E6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Hoja1!$A$6:$A$42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Hoja1!$B$6:$B$42</c:f>
              <c:numCache>
                <c:formatCode>General</c:formatCode>
                <c:ptCount val="37"/>
                <c:pt idx="10" formatCode="0.000">
                  <c:v>-0.6</c:v>
                </c:pt>
                <c:pt idx="11" formatCode="0.000">
                  <c:v>-0.5</c:v>
                </c:pt>
                <c:pt idx="12" formatCode="0.000">
                  <c:v>-0.4</c:v>
                </c:pt>
                <c:pt idx="13" formatCode="0.000">
                  <c:v>-0.3</c:v>
                </c:pt>
                <c:pt idx="14" formatCode="0.000">
                  <c:v>-0.2</c:v>
                </c:pt>
                <c:pt idx="15" formatCode="0.000">
                  <c:v>-0.1</c:v>
                </c:pt>
                <c:pt idx="16" formatCode="0.000">
                  <c:v>0</c:v>
                </c:pt>
                <c:pt idx="17" formatCode="0.000">
                  <c:v>0.12</c:v>
                </c:pt>
                <c:pt idx="18" formatCode="0.000">
                  <c:v>0.23</c:v>
                </c:pt>
                <c:pt idx="19" formatCode="0.000">
                  <c:v>0.35</c:v>
                </c:pt>
                <c:pt idx="20" formatCode="0.000">
                  <c:v>0.44</c:v>
                </c:pt>
                <c:pt idx="21" formatCode="0.000">
                  <c:v>0.55000000000000004</c:v>
                </c:pt>
                <c:pt idx="22" formatCode="0.000">
                  <c:v>0.65</c:v>
                </c:pt>
                <c:pt idx="23" formatCode="0.000">
                  <c:v>0.75</c:v>
                </c:pt>
                <c:pt idx="24" formatCode="0.000">
                  <c:v>0.86</c:v>
                </c:pt>
                <c:pt idx="25" formatCode="0.000">
                  <c:v>0.96</c:v>
                </c:pt>
                <c:pt idx="26" formatCode="0.000">
                  <c:v>1.0649999999999999</c:v>
                </c:pt>
                <c:pt idx="27" formatCode="0.000">
                  <c:v>1.1499999999999999</c:v>
                </c:pt>
                <c:pt idx="28" formatCode="0.000">
                  <c:v>1.24</c:v>
                </c:pt>
                <c:pt idx="29" formatCode="0.000">
                  <c:v>1.32</c:v>
                </c:pt>
                <c:pt idx="30" formatCode="0.000">
                  <c:v>1.4</c:v>
                </c:pt>
                <c:pt idx="31" formatCode="0.000">
                  <c:v>1.4750000000000001</c:v>
                </c:pt>
                <c:pt idx="32" formatCode="0.000">
                  <c:v>1.52</c:v>
                </c:pt>
                <c:pt idx="33" formatCode="0.000">
                  <c:v>1.58</c:v>
                </c:pt>
                <c:pt idx="34" formatCode="0.000">
                  <c:v>1.55</c:v>
                </c:pt>
                <c:pt idx="35" formatCode="0.000">
                  <c:v>1.39</c:v>
                </c:pt>
                <c:pt idx="36" formatCode="0.000">
                  <c:v>1.24</c:v>
                </c:pt>
              </c:numCache>
            </c:numRef>
          </c:yVal>
          <c:smooth val="1"/>
          <c:extLst>
            <c:ext xmlns:c16="http://schemas.microsoft.com/office/drawing/2014/chart" uri="{C3380CC4-5D6E-409C-BE32-E72D297353CC}">
              <c16:uniqueId val="{00000000-BAA7-4A3E-BF9F-55217826A985}"/>
            </c:ext>
          </c:extLst>
        </c:ser>
        <c:ser>
          <c:idx val="1"/>
          <c:order val="1"/>
          <c:tx>
            <c:strRef>
              <c:f>Hoja1!$F$4</c:f>
              <c:strCache>
                <c:ptCount val="1"/>
                <c:pt idx="0">
                  <c:v>Report 824     Re=5.7E6</c:v>
                </c:pt>
              </c:strCache>
            </c:strRef>
          </c:tx>
          <c:spPr>
            <a:ln w="19050" cap="rnd">
              <a:solidFill>
                <a:schemeClr val="accent2"/>
              </a:solidFill>
              <a:round/>
            </a:ln>
            <a:effectLst/>
          </c:spPr>
          <c:marker>
            <c:symbol val="square"/>
            <c:size val="3"/>
            <c:spPr>
              <a:solidFill>
                <a:schemeClr val="accent2"/>
              </a:solidFill>
              <a:ln w="9525">
                <a:solidFill>
                  <a:schemeClr val="accent2"/>
                </a:solidFill>
              </a:ln>
              <a:effectLst/>
            </c:spPr>
          </c:marker>
          <c:xVal>
            <c:numRef>
              <c:f>Hoja1!$F$6:$F$42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Hoja1!$G$6:$G$42</c:f>
              <c:numCache>
                <c:formatCode>General</c:formatCode>
                <c:ptCount val="37"/>
                <c:pt idx="0">
                  <c:v>-0.83499999999999996</c:v>
                </c:pt>
                <c:pt idx="1">
                  <c:v>-0.875</c:v>
                </c:pt>
                <c:pt idx="2" formatCode="0.000">
                  <c:v>-0.94</c:v>
                </c:pt>
                <c:pt idx="3" formatCode="0.000">
                  <c:v>-1.05</c:v>
                </c:pt>
                <c:pt idx="4" formatCode="0.000">
                  <c:v>-1.1599999999999999</c:v>
                </c:pt>
                <c:pt idx="5">
                  <c:v>-1.04</c:v>
                </c:pt>
                <c:pt idx="6" formatCode="0.000">
                  <c:v>-0.98</c:v>
                </c:pt>
                <c:pt idx="7" formatCode="0.000">
                  <c:v>-0.9</c:v>
                </c:pt>
                <c:pt idx="8" formatCode="0.000">
                  <c:v>-0.8</c:v>
                </c:pt>
                <c:pt idx="9" formatCode="0.000">
                  <c:v>-0.7</c:v>
                </c:pt>
                <c:pt idx="10" formatCode="0.000">
                  <c:v>-0.6</c:v>
                </c:pt>
                <c:pt idx="11" formatCode="0.000">
                  <c:v>-0.5</c:v>
                </c:pt>
                <c:pt idx="12" formatCode="0.000">
                  <c:v>-0.4</c:v>
                </c:pt>
                <c:pt idx="13" formatCode="0.000">
                  <c:v>-0.3</c:v>
                </c:pt>
                <c:pt idx="14" formatCode="0.000">
                  <c:v>-0.2</c:v>
                </c:pt>
                <c:pt idx="15" formatCode="0.000">
                  <c:v>-0.1</c:v>
                </c:pt>
                <c:pt idx="16" formatCode="0.000">
                  <c:v>0</c:v>
                </c:pt>
                <c:pt idx="17" formatCode="0.000">
                  <c:v>0.12</c:v>
                </c:pt>
                <c:pt idx="18" formatCode="0.000">
                  <c:v>0.24</c:v>
                </c:pt>
                <c:pt idx="19" formatCode="0.000">
                  <c:v>0.35</c:v>
                </c:pt>
                <c:pt idx="20" formatCode="0.000">
                  <c:v>0.44</c:v>
                </c:pt>
                <c:pt idx="21" formatCode="0.000">
                  <c:v>0.55000000000000004</c:v>
                </c:pt>
                <c:pt idx="22" formatCode="0.000">
                  <c:v>0.65</c:v>
                </c:pt>
                <c:pt idx="23" formatCode="0.000">
                  <c:v>0.75</c:v>
                </c:pt>
                <c:pt idx="24" formatCode="0.000">
                  <c:v>0.86</c:v>
                </c:pt>
                <c:pt idx="25" formatCode="0.000">
                  <c:v>0.96</c:v>
                </c:pt>
                <c:pt idx="26" formatCode="0.000">
                  <c:v>1.0649999999999999</c:v>
                </c:pt>
                <c:pt idx="27" formatCode="0.000">
                  <c:v>1.1499999999999999</c:v>
                </c:pt>
                <c:pt idx="28" formatCode="0.000">
                  <c:v>1.24</c:v>
                </c:pt>
                <c:pt idx="29" formatCode="0.000">
                  <c:v>1.32</c:v>
                </c:pt>
                <c:pt idx="30" formatCode="0.000">
                  <c:v>1.4</c:v>
                </c:pt>
                <c:pt idx="31" formatCode="0.000">
                  <c:v>1.48</c:v>
                </c:pt>
                <c:pt idx="32" formatCode="0.000">
                  <c:v>1.52</c:v>
                </c:pt>
                <c:pt idx="33" formatCode="0.000">
                  <c:v>1.6</c:v>
                </c:pt>
                <c:pt idx="34" formatCode="0.000">
                  <c:v>1.68</c:v>
                </c:pt>
                <c:pt idx="35" formatCode="0.000">
                  <c:v>1.68</c:v>
                </c:pt>
                <c:pt idx="36" formatCode="0.000">
                  <c:v>1.55</c:v>
                </c:pt>
              </c:numCache>
            </c:numRef>
          </c:yVal>
          <c:smooth val="1"/>
          <c:extLst>
            <c:ext xmlns:c16="http://schemas.microsoft.com/office/drawing/2014/chart" uri="{C3380CC4-5D6E-409C-BE32-E72D297353CC}">
              <c16:uniqueId val="{00000001-BAA7-4A3E-BF9F-55217826A985}"/>
            </c:ext>
          </c:extLst>
        </c:ser>
        <c:ser>
          <c:idx val="2"/>
          <c:order val="2"/>
          <c:tx>
            <c:strRef>
              <c:f>Hoja1!$L$4</c:f>
              <c:strCache>
                <c:ptCount val="1"/>
                <c:pt idx="0">
                  <c:v>Report 824     Re=8.9E6</c:v>
                </c:pt>
              </c:strCache>
            </c:strRef>
          </c:tx>
          <c:spPr>
            <a:ln w="19050" cap="rnd">
              <a:solidFill>
                <a:schemeClr val="accent3"/>
              </a:solidFill>
              <a:round/>
            </a:ln>
            <a:effectLst/>
          </c:spPr>
          <c:marker>
            <c:symbol val="diamond"/>
            <c:size val="5"/>
            <c:spPr>
              <a:solidFill>
                <a:schemeClr val="accent3"/>
              </a:solidFill>
              <a:ln w="9525">
                <a:solidFill>
                  <a:schemeClr val="accent3"/>
                </a:solidFill>
              </a:ln>
              <a:effectLst/>
            </c:spPr>
          </c:marker>
          <c:xVal>
            <c:numRef>
              <c:f>Hoja1!$L$6:$L$42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Hoja1!$M$6:$M$42</c:f>
              <c:numCache>
                <c:formatCode>General</c:formatCode>
                <c:ptCount val="37"/>
                <c:pt idx="0">
                  <c:v>-0.83499999999999996</c:v>
                </c:pt>
                <c:pt idx="1">
                  <c:v>-0.875</c:v>
                </c:pt>
                <c:pt idx="2" formatCode="0.000">
                  <c:v>-0.94</c:v>
                </c:pt>
                <c:pt idx="3" formatCode="0.000">
                  <c:v>-1.05</c:v>
                </c:pt>
                <c:pt idx="4" formatCode="0.000">
                  <c:v>-1.1599999999999999</c:v>
                </c:pt>
                <c:pt idx="5">
                  <c:v>-1.04</c:v>
                </c:pt>
                <c:pt idx="6" formatCode="0.000">
                  <c:v>-0.98</c:v>
                </c:pt>
                <c:pt idx="7" formatCode="0.000">
                  <c:v>-0.9</c:v>
                </c:pt>
                <c:pt idx="8" formatCode="0.000">
                  <c:v>-0.8</c:v>
                </c:pt>
                <c:pt idx="9" formatCode="0.000">
                  <c:v>-0.7</c:v>
                </c:pt>
                <c:pt idx="10" formatCode="0.000">
                  <c:v>-0.6</c:v>
                </c:pt>
                <c:pt idx="11" formatCode="0.000">
                  <c:v>-0.5</c:v>
                </c:pt>
                <c:pt idx="12" formatCode="0.000">
                  <c:v>-0.4</c:v>
                </c:pt>
                <c:pt idx="13" formatCode="0.000">
                  <c:v>-0.3</c:v>
                </c:pt>
                <c:pt idx="14" formatCode="0.000">
                  <c:v>-0.2</c:v>
                </c:pt>
                <c:pt idx="15" formatCode="0.000">
                  <c:v>-0.1</c:v>
                </c:pt>
                <c:pt idx="16" formatCode="0.000">
                  <c:v>0</c:v>
                </c:pt>
                <c:pt idx="17" formatCode="0.000">
                  <c:v>0.12</c:v>
                </c:pt>
                <c:pt idx="18" formatCode="0.000">
                  <c:v>0.23</c:v>
                </c:pt>
                <c:pt idx="19" formatCode="0.000">
                  <c:v>0.35</c:v>
                </c:pt>
                <c:pt idx="20" formatCode="0.000">
                  <c:v>0.44</c:v>
                </c:pt>
                <c:pt idx="21" formatCode="0.000">
                  <c:v>0.55000000000000004</c:v>
                </c:pt>
                <c:pt idx="22" formatCode="0.000">
                  <c:v>0.65</c:v>
                </c:pt>
                <c:pt idx="23" formatCode="0.000">
                  <c:v>0.75</c:v>
                </c:pt>
                <c:pt idx="24" formatCode="0.000">
                  <c:v>0.86</c:v>
                </c:pt>
                <c:pt idx="25" formatCode="0.000">
                  <c:v>0.96</c:v>
                </c:pt>
                <c:pt idx="26" formatCode="0.000">
                  <c:v>1.0649999999999999</c:v>
                </c:pt>
                <c:pt idx="27" formatCode="0.000">
                  <c:v>1.1499999999999999</c:v>
                </c:pt>
                <c:pt idx="28" formatCode="0.000">
                  <c:v>1.24</c:v>
                </c:pt>
                <c:pt idx="29" formatCode="0.000">
                  <c:v>1.32</c:v>
                </c:pt>
                <c:pt idx="30" formatCode="0.000">
                  <c:v>1.4</c:v>
                </c:pt>
                <c:pt idx="31" formatCode="0.000">
                  <c:v>1.48</c:v>
                </c:pt>
                <c:pt idx="32" formatCode="0.000">
                  <c:v>1.52</c:v>
                </c:pt>
                <c:pt idx="33" formatCode="0.000">
                  <c:v>1.6</c:v>
                </c:pt>
                <c:pt idx="34" formatCode="0.000">
                  <c:v>1.68</c:v>
                </c:pt>
                <c:pt idx="35" formatCode="0.000">
                  <c:v>1.55</c:v>
                </c:pt>
                <c:pt idx="36" formatCode="0.000">
                  <c:v>1.47</c:v>
                </c:pt>
              </c:numCache>
            </c:numRef>
          </c:yVal>
          <c:smooth val="1"/>
          <c:extLst>
            <c:ext xmlns:c16="http://schemas.microsoft.com/office/drawing/2014/chart" uri="{C3380CC4-5D6E-409C-BE32-E72D297353CC}">
              <c16:uniqueId val="{00000002-BAA7-4A3E-BF9F-55217826A985}"/>
            </c:ext>
          </c:extLst>
        </c:ser>
        <c:dLbls>
          <c:showLegendKey val="0"/>
          <c:showVal val="0"/>
          <c:showCatName val="0"/>
          <c:showSerName val="0"/>
          <c:showPercent val="0"/>
          <c:showBubbleSize val="0"/>
        </c:dLbls>
        <c:axId val="1569677408"/>
        <c:axId val="1569676448"/>
      </c:scatterChart>
      <c:valAx>
        <c:axId val="156967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Alpha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69676448"/>
        <c:crosses val="autoZero"/>
        <c:crossBetween val="midCat"/>
      </c:valAx>
      <c:valAx>
        <c:axId val="156967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696774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a:t>
            </a:r>
            <a:r>
              <a:rPr lang="en-US" baseline="0"/>
              <a:t> vs Cl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Hoja1!$A$4</c:f>
              <c:strCache>
                <c:ptCount val="1"/>
                <c:pt idx="0">
                  <c:v>Report 824     Re=3.1E6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Hoja1!$B$16:$B$42</c:f>
              <c:numCache>
                <c:formatCode>0.000</c:formatCode>
                <c:ptCount val="27"/>
                <c:pt idx="0">
                  <c:v>-0.6</c:v>
                </c:pt>
                <c:pt idx="1">
                  <c:v>-0.5</c:v>
                </c:pt>
                <c:pt idx="2">
                  <c:v>-0.4</c:v>
                </c:pt>
                <c:pt idx="3">
                  <c:v>-0.3</c:v>
                </c:pt>
                <c:pt idx="4">
                  <c:v>-0.2</c:v>
                </c:pt>
                <c:pt idx="5">
                  <c:v>-0.1</c:v>
                </c:pt>
                <c:pt idx="6">
                  <c:v>0</c:v>
                </c:pt>
                <c:pt idx="7">
                  <c:v>0.12</c:v>
                </c:pt>
                <c:pt idx="8">
                  <c:v>0.23</c:v>
                </c:pt>
                <c:pt idx="9">
                  <c:v>0.35</c:v>
                </c:pt>
                <c:pt idx="10">
                  <c:v>0.44</c:v>
                </c:pt>
                <c:pt idx="11">
                  <c:v>0.55000000000000004</c:v>
                </c:pt>
                <c:pt idx="12">
                  <c:v>0.65</c:v>
                </c:pt>
                <c:pt idx="13">
                  <c:v>0.75</c:v>
                </c:pt>
                <c:pt idx="14">
                  <c:v>0.86</c:v>
                </c:pt>
                <c:pt idx="15">
                  <c:v>0.96</c:v>
                </c:pt>
                <c:pt idx="16">
                  <c:v>1.0649999999999999</c:v>
                </c:pt>
                <c:pt idx="17">
                  <c:v>1.1499999999999999</c:v>
                </c:pt>
                <c:pt idx="18">
                  <c:v>1.24</c:v>
                </c:pt>
                <c:pt idx="19">
                  <c:v>1.32</c:v>
                </c:pt>
                <c:pt idx="20">
                  <c:v>1.4</c:v>
                </c:pt>
                <c:pt idx="21">
                  <c:v>1.4750000000000001</c:v>
                </c:pt>
                <c:pt idx="22">
                  <c:v>1.52</c:v>
                </c:pt>
                <c:pt idx="23">
                  <c:v>1.58</c:v>
                </c:pt>
                <c:pt idx="24">
                  <c:v>1.55</c:v>
                </c:pt>
                <c:pt idx="25">
                  <c:v>1.39</c:v>
                </c:pt>
                <c:pt idx="26">
                  <c:v>1.24</c:v>
                </c:pt>
              </c:numCache>
            </c:numRef>
          </c:xVal>
          <c:yVal>
            <c:numRef>
              <c:f>Hoja1!$C$16:$C$37</c:f>
              <c:numCache>
                <c:formatCode>General</c:formatCode>
                <c:ptCount val="22"/>
                <c:pt idx="0">
                  <c:v>9.7999999999999997E-3</c:v>
                </c:pt>
                <c:pt idx="1">
                  <c:v>8.8999999999999999E-3</c:v>
                </c:pt>
                <c:pt idx="2" formatCode="0.0000">
                  <c:v>8.0000000000000002E-3</c:v>
                </c:pt>
                <c:pt idx="3">
                  <c:v>7.7999999999999996E-3</c:v>
                </c:pt>
                <c:pt idx="4">
                  <c:v>7.4999999999999997E-3</c:v>
                </c:pt>
                <c:pt idx="5">
                  <c:v>7.1999999999999998E-3</c:v>
                </c:pt>
                <c:pt idx="6" formatCode="0.0000">
                  <c:v>7.0000000000000001E-3</c:v>
                </c:pt>
                <c:pt idx="7">
                  <c:v>6.7999999999999996E-3</c:v>
                </c:pt>
                <c:pt idx="8">
                  <c:v>6.6E-3</c:v>
                </c:pt>
                <c:pt idx="9">
                  <c:v>6.6E-3</c:v>
                </c:pt>
                <c:pt idx="10" formatCode="0.0000">
                  <c:v>6.4999999999999997E-3</c:v>
                </c:pt>
                <c:pt idx="11">
                  <c:v>6.6E-3</c:v>
                </c:pt>
                <c:pt idx="12">
                  <c:v>6.7999999999999996E-3</c:v>
                </c:pt>
                <c:pt idx="13">
                  <c:v>7.6E-3</c:v>
                </c:pt>
                <c:pt idx="14" formatCode="0.0000">
                  <c:v>9.1000000000000004E-3</c:v>
                </c:pt>
                <c:pt idx="15">
                  <c:v>1.0500000000000001E-2</c:v>
                </c:pt>
                <c:pt idx="16">
                  <c:v>1.15E-2</c:v>
                </c:pt>
                <c:pt idx="17">
                  <c:v>1.26E-2</c:v>
                </c:pt>
                <c:pt idx="18" formatCode="0.0000">
                  <c:v>1.3599999999999999E-2</c:v>
                </c:pt>
                <c:pt idx="19" formatCode="0.0000">
                  <c:v>1.4999999999999999E-2</c:v>
                </c:pt>
                <c:pt idx="20">
                  <c:v>1.72E-2</c:v>
                </c:pt>
                <c:pt idx="21" formatCode="0.0000">
                  <c:v>2.1000000000000001E-2</c:v>
                </c:pt>
              </c:numCache>
            </c:numRef>
          </c:yVal>
          <c:smooth val="1"/>
          <c:extLst>
            <c:ext xmlns:c16="http://schemas.microsoft.com/office/drawing/2014/chart" uri="{C3380CC4-5D6E-409C-BE32-E72D297353CC}">
              <c16:uniqueId val="{00000000-815F-4D59-A774-7834874CDC81}"/>
            </c:ext>
          </c:extLst>
        </c:ser>
        <c:ser>
          <c:idx val="1"/>
          <c:order val="1"/>
          <c:tx>
            <c:strRef>
              <c:f>Hoja1!$F$4</c:f>
              <c:strCache>
                <c:ptCount val="1"/>
                <c:pt idx="0">
                  <c:v>Report 824     Re=5.7E6</c:v>
                </c:pt>
              </c:strCache>
            </c:strRef>
          </c:tx>
          <c:spPr>
            <a:ln w="19050" cap="rnd">
              <a:solidFill>
                <a:schemeClr val="accent2"/>
              </a:solidFill>
              <a:round/>
            </a:ln>
            <a:effectLst/>
          </c:spPr>
          <c:marker>
            <c:symbol val="square"/>
            <c:size val="4"/>
            <c:spPr>
              <a:solidFill>
                <a:schemeClr val="accent2"/>
              </a:solidFill>
              <a:ln w="9525">
                <a:solidFill>
                  <a:schemeClr val="accent2"/>
                </a:solidFill>
              </a:ln>
              <a:effectLst/>
            </c:spPr>
          </c:marker>
          <c:xVal>
            <c:numRef>
              <c:f>Hoja1!$G$10:$G$39</c:f>
              <c:numCache>
                <c:formatCode>General</c:formatCode>
                <c:ptCount val="30"/>
                <c:pt idx="0" formatCode="0.000">
                  <c:v>-1.1599999999999999</c:v>
                </c:pt>
                <c:pt idx="1">
                  <c:v>-1.04</c:v>
                </c:pt>
                <c:pt idx="2" formatCode="0.000">
                  <c:v>-0.98</c:v>
                </c:pt>
                <c:pt idx="3" formatCode="0.000">
                  <c:v>-0.9</c:v>
                </c:pt>
                <c:pt idx="4" formatCode="0.000">
                  <c:v>-0.8</c:v>
                </c:pt>
                <c:pt idx="5" formatCode="0.000">
                  <c:v>-0.7</c:v>
                </c:pt>
                <c:pt idx="6" formatCode="0.000">
                  <c:v>-0.6</c:v>
                </c:pt>
                <c:pt idx="7" formatCode="0.000">
                  <c:v>-0.5</c:v>
                </c:pt>
                <c:pt idx="8" formatCode="0.000">
                  <c:v>-0.4</c:v>
                </c:pt>
                <c:pt idx="9" formatCode="0.000">
                  <c:v>-0.3</c:v>
                </c:pt>
                <c:pt idx="10" formatCode="0.000">
                  <c:v>-0.2</c:v>
                </c:pt>
                <c:pt idx="11" formatCode="0.000">
                  <c:v>-0.1</c:v>
                </c:pt>
                <c:pt idx="12" formatCode="0.000">
                  <c:v>0</c:v>
                </c:pt>
                <c:pt idx="13" formatCode="0.000">
                  <c:v>0.12</c:v>
                </c:pt>
                <c:pt idx="14" formatCode="0.000">
                  <c:v>0.24</c:v>
                </c:pt>
                <c:pt idx="15" formatCode="0.000">
                  <c:v>0.35</c:v>
                </c:pt>
                <c:pt idx="16" formatCode="0.000">
                  <c:v>0.44</c:v>
                </c:pt>
                <c:pt idx="17" formatCode="0.000">
                  <c:v>0.55000000000000004</c:v>
                </c:pt>
                <c:pt idx="18" formatCode="0.000">
                  <c:v>0.65</c:v>
                </c:pt>
                <c:pt idx="19" formatCode="0.000">
                  <c:v>0.75</c:v>
                </c:pt>
                <c:pt idx="20" formatCode="0.000">
                  <c:v>0.86</c:v>
                </c:pt>
                <c:pt idx="21" formatCode="0.000">
                  <c:v>0.96</c:v>
                </c:pt>
                <c:pt idx="22" formatCode="0.000">
                  <c:v>1.0649999999999999</c:v>
                </c:pt>
                <c:pt idx="23" formatCode="0.000">
                  <c:v>1.1499999999999999</c:v>
                </c:pt>
                <c:pt idx="24" formatCode="0.000">
                  <c:v>1.24</c:v>
                </c:pt>
                <c:pt idx="25" formatCode="0.000">
                  <c:v>1.32</c:v>
                </c:pt>
                <c:pt idx="26" formatCode="0.000">
                  <c:v>1.4</c:v>
                </c:pt>
                <c:pt idx="27" formatCode="0.000">
                  <c:v>1.48</c:v>
                </c:pt>
                <c:pt idx="28" formatCode="0.000">
                  <c:v>1.52</c:v>
                </c:pt>
                <c:pt idx="29" formatCode="0.000">
                  <c:v>1.6</c:v>
                </c:pt>
              </c:numCache>
            </c:numRef>
          </c:xVal>
          <c:yVal>
            <c:numRef>
              <c:f>Hoja1!$H$10:$H$39</c:f>
              <c:numCache>
                <c:formatCode>0.0000</c:formatCode>
                <c:ptCount val="30"/>
                <c:pt idx="1">
                  <c:v>1.26E-2</c:v>
                </c:pt>
                <c:pt idx="2">
                  <c:v>1.2E-2</c:v>
                </c:pt>
                <c:pt idx="3">
                  <c:v>1.0699999999999999E-2</c:v>
                </c:pt>
                <c:pt idx="4">
                  <c:v>9.4999999999999998E-3</c:v>
                </c:pt>
                <c:pt idx="5">
                  <c:v>8.8000000000000005E-3</c:v>
                </c:pt>
                <c:pt idx="6">
                  <c:v>8.0000000000000002E-3</c:v>
                </c:pt>
                <c:pt idx="7">
                  <c:v>7.6E-3</c:v>
                </c:pt>
                <c:pt idx="8">
                  <c:v>7.1999999999999998E-3</c:v>
                </c:pt>
                <c:pt idx="9">
                  <c:v>7.0000000000000001E-3</c:v>
                </c:pt>
                <c:pt idx="10">
                  <c:v>6.7999999999999996E-3</c:v>
                </c:pt>
                <c:pt idx="11">
                  <c:v>6.7000000000000002E-3</c:v>
                </c:pt>
                <c:pt idx="12">
                  <c:v>6.6E-3</c:v>
                </c:pt>
                <c:pt idx="13">
                  <c:v>6.4999999999999997E-3</c:v>
                </c:pt>
                <c:pt idx="14">
                  <c:v>6.4999999999999997E-3</c:v>
                </c:pt>
                <c:pt idx="15">
                  <c:v>6.1000000000000004E-3</c:v>
                </c:pt>
                <c:pt idx="16">
                  <c:v>6.1999999999999998E-3</c:v>
                </c:pt>
                <c:pt idx="17">
                  <c:v>6.7999999999999996E-3</c:v>
                </c:pt>
                <c:pt idx="18">
                  <c:v>7.3000000000000001E-3</c:v>
                </c:pt>
                <c:pt idx="19">
                  <c:v>7.6E-3</c:v>
                </c:pt>
                <c:pt idx="20">
                  <c:v>7.7999999999999996E-3</c:v>
                </c:pt>
                <c:pt idx="21">
                  <c:v>8.6E-3</c:v>
                </c:pt>
                <c:pt idx="22">
                  <c:v>9.7999999999999997E-3</c:v>
                </c:pt>
                <c:pt idx="23">
                  <c:v>1.0699999999999999E-2</c:v>
                </c:pt>
                <c:pt idx="24">
                  <c:v>1.18E-2</c:v>
                </c:pt>
                <c:pt idx="25">
                  <c:v>1.3100000000000001E-2</c:v>
                </c:pt>
                <c:pt idx="26">
                  <c:v>1.4800000000000001E-2</c:v>
                </c:pt>
                <c:pt idx="27">
                  <c:v>1.6500000000000001E-2</c:v>
                </c:pt>
                <c:pt idx="28">
                  <c:v>1.72E-2</c:v>
                </c:pt>
                <c:pt idx="29">
                  <c:v>1.8599999999999998E-2</c:v>
                </c:pt>
              </c:numCache>
            </c:numRef>
          </c:yVal>
          <c:smooth val="1"/>
          <c:extLst>
            <c:ext xmlns:c16="http://schemas.microsoft.com/office/drawing/2014/chart" uri="{C3380CC4-5D6E-409C-BE32-E72D297353CC}">
              <c16:uniqueId val="{00000001-815F-4D59-A774-7834874CDC81}"/>
            </c:ext>
          </c:extLst>
        </c:ser>
        <c:ser>
          <c:idx val="2"/>
          <c:order val="2"/>
          <c:tx>
            <c:strRef>
              <c:f>Hoja1!$L$4</c:f>
              <c:strCache>
                <c:ptCount val="1"/>
                <c:pt idx="0">
                  <c:v>Report 824     Re=8.9E6</c:v>
                </c:pt>
              </c:strCache>
            </c:strRef>
          </c:tx>
          <c:spPr>
            <a:ln w="19050" cap="rnd">
              <a:solidFill>
                <a:schemeClr val="accent3"/>
              </a:solidFill>
              <a:round/>
            </a:ln>
            <a:effectLst/>
          </c:spPr>
          <c:marker>
            <c:symbol val="diamond"/>
            <c:size val="4"/>
            <c:spPr>
              <a:solidFill>
                <a:schemeClr val="accent3"/>
              </a:solidFill>
              <a:ln w="9525">
                <a:solidFill>
                  <a:schemeClr val="accent3"/>
                </a:solidFill>
              </a:ln>
              <a:effectLst/>
            </c:spPr>
          </c:marker>
          <c:xVal>
            <c:numRef>
              <c:f>Hoja1!$M$16:$M$39</c:f>
              <c:numCache>
                <c:formatCode>0.000</c:formatCode>
                <c:ptCount val="24"/>
                <c:pt idx="0">
                  <c:v>-0.6</c:v>
                </c:pt>
                <c:pt idx="1">
                  <c:v>-0.5</c:v>
                </c:pt>
                <c:pt idx="2">
                  <c:v>-0.4</c:v>
                </c:pt>
                <c:pt idx="3">
                  <c:v>-0.3</c:v>
                </c:pt>
                <c:pt idx="4">
                  <c:v>-0.2</c:v>
                </c:pt>
                <c:pt idx="5">
                  <c:v>-0.1</c:v>
                </c:pt>
                <c:pt idx="6">
                  <c:v>0</c:v>
                </c:pt>
                <c:pt idx="7">
                  <c:v>0.12</c:v>
                </c:pt>
                <c:pt idx="8">
                  <c:v>0.23</c:v>
                </c:pt>
                <c:pt idx="9">
                  <c:v>0.35</c:v>
                </c:pt>
                <c:pt idx="10">
                  <c:v>0.44</c:v>
                </c:pt>
                <c:pt idx="11">
                  <c:v>0.55000000000000004</c:v>
                </c:pt>
                <c:pt idx="12">
                  <c:v>0.65</c:v>
                </c:pt>
                <c:pt idx="13">
                  <c:v>0.75</c:v>
                </c:pt>
                <c:pt idx="14">
                  <c:v>0.86</c:v>
                </c:pt>
                <c:pt idx="15">
                  <c:v>0.96</c:v>
                </c:pt>
                <c:pt idx="16">
                  <c:v>1.0649999999999999</c:v>
                </c:pt>
                <c:pt idx="17">
                  <c:v>1.1499999999999999</c:v>
                </c:pt>
                <c:pt idx="18">
                  <c:v>1.24</c:v>
                </c:pt>
                <c:pt idx="19">
                  <c:v>1.32</c:v>
                </c:pt>
                <c:pt idx="20">
                  <c:v>1.4</c:v>
                </c:pt>
                <c:pt idx="21">
                  <c:v>1.48</c:v>
                </c:pt>
                <c:pt idx="22">
                  <c:v>1.52</c:v>
                </c:pt>
                <c:pt idx="23">
                  <c:v>1.6</c:v>
                </c:pt>
              </c:numCache>
            </c:numRef>
          </c:xVal>
          <c:yVal>
            <c:numRef>
              <c:f>Hoja1!$N$16:$N$39</c:f>
              <c:numCache>
                <c:formatCode>General</c:formatCode>
                <c:ptCount val="24"/>
                <c:pt idx="0">
                  <c:v>7.7000000000000002E-3</c:v>
                </c:pt>
                <c:pt idx="1">
                  <c:v>7.3000000000000001E-3</c:v>
                </c:pt>
                <c:pt idx="2" formatCode="0.0000">
                  <c:v>7.0000000000000001E-3</c:v>
                </c:pt>
                <c:pt idx="3" formatCode="0.0000">
                  <c:v>6.7999999999999996E-3</c:v>
                </c:pt>
                <c:pt idx="4" formatCode="0.0000">
                  <c:v>6.4000000000000003E-3</c:v>
                </c:pt>
                <c:pt idx="5" formatCode="0.0000">
                  <c:v>6.1999999999999998E-3</c:v>
                </c:pt>
                <c:pt idx="6" formatCode="0.0000">
                  <c:v>6.0000000000000001E-3</c:v>
                </c:pt>
                <c:pt idx="7" formatCode="0.0000">
                  <c:v>5.8999999999999999E-3</c:v>
                </c:pt>
                <c:pt idx="8" formatCode="0.0000">
                  <c:v>5.7999999999999996E-3</c:v>
                </c:pt>
                <c:pt idx="9" formatCode="0.0000">
                  <c:v>6.0000000000000001E-3</c:v>
                </c:pt>
                <c:pt idx="10" formatCode="0.0000">
                  <c:v>6.1999999999999998E-3</c:v>
                </c:pt>
                <c:pt idx="11" formatCode="0.0000">
                  <c:v>6.7999999999999996E-3</c:v>
                </c:pt>
                <c:pt idx="12" formatCode="0.0000">
                  <c:v>7.1999999999999998E-3</c:v>
                </c:pt>
                <c:pt idx="13" formatCode="0.0000">
                  <c:v>7.3000000000000001E-3</c:v>
                </c:pt>
                <c:pt idx="14" formatCode="0.0000">
                  <c:v>7.6E-3</c:v>
                </c:pt>
                <c:pt idx="15" formatCode="0.0000">
                  <c:v>8.5000000000000006E-3</c:v>
                </c:pt>
                <c:pt idx="16" formatCode="0.0000">
                  <c:v>9.1000000000000004E-3</c:v>
                </c:pt>
                <c:pt idx="17" formatCode="0.0000">
                  <c:v>1.0200000000000001E-2</c:v>
                </c:pt>
                <c:pt idx="18" formatCode="0.0000">
                  <c:v>1.15E-2</c:v>
                </c:pt>
                <c:pt idx="19" formatCode="0.0000">
                  <c:v>1.2500000000000001E-2</c:v>
                </c:pt>
                <c:pt idx="20" formatCode="0.0000">
                  <c:v>1.47E-2</c:v>
                </c:pt>
                <c:pt idx="21" formatCode="0.0000">
                  <c:v>1.6500000000000001E-2</c:v>
                </c:pt>
                <c:pt idx="22" formatCode="0.0000">
                  <c:v>1.72E-2</c:v>
                </c:pt>
                <c:pt idx="23" formatCode="0.0000">
                  <c:v>1.8599999999999998E-2</c:v>
                </c:pt>
              </c:numCache>
            </c:numRef>
          </c:yVal>
          <c:smooth val="1"/>
          <c:extLst>
            <c:ext xmlns:c16="http://schemas.microsoft.com/office/drawing/2014/chart" uri="{C3380CC4-5D6E-409C-BE32-E72D297353CC}">
              <c16:uniqueId val="{00000002-815F-4D59-A774-7834874CDC81}"/>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Cm</a:t>
            </a:r>
            <a:r>
              <a:rPr lang="en-US" baseline="0"/>
              <a:t> c/4 vs Alpha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Hoja1!$A$4</c:f>
              <c:strCache>
                <c:ptCount val="1"/>
                <c:pt idx="0">
                  <c:v>Report 824     Re=3.1E6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Hoja1!$A$6:$A$42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Hoja1!$D$6:$D$42</c:f>
              <c:numCache>
                <c:formatCode>0.0000</c:formatCode>
                <c:ptCount val="37"/>
                <c:pt idx="0">
                  <c:v>0.05</c:v>
                </c:pt>
                <c:pt idx="1">
                  <c:v>2.5000000000000001E-2</c:v>
                </c:pt>
                <c:pt idx="2">
                  <c:v>7.4999999999999997E-3</c:v>
                </c:pt>
                <c:pt idx="3">
                  <c:v>-0.01</c:v>
                </c:pt>
                <c:pt idx="4">
                  <c:v>-1.4999999999999999E-2</c:v>
                </c:pt>
                <c:pt idx="5">
                  <c:v>-2.5000000000000001E-2</c:v>
                </c:pt>
                <c:pt idx="6">
                  <c:v>-3.2500000000000001E-2</c:v>
                </c:pt>
                <c:pt idx="7">
                  <c:v>-0.04</c:v>
                </c:pt>
                <c:pt idx="8">
                  <c:v>-4.4999999999999998E-2</c:v>
                </c:pt>
                <c:pt idx="9">
                  <c:v>-4.5999999999999999E-2</c:v>
                </c:pt>
                <c:pt idx="10">
                  <c:v>-4.9000000000000002E-2</c:v>
                </c:pt>
                <c:pt idx="11">
                  <c:v>-4.8000000000000001E-2</c:v>
                </c:pt>
                <c:pt idx="12">
                  <c:v>-4.7E-2</c:v>
                </c:pt>
                <c:pt idx="13">
                  <c:v>-4.5999999999999999E-2</c:v>
                </c:pt>
                <c:pt idx="14">
                  <c:v>-4.5999999999999999E-2</c:v>
                </c:pt>
                <c:pt idx="15">
                  <c:v>-4.5999999999999999E-2</c:v>
                </c:pt>
                <c:pt idx="16">
                  <c:v>-4.4999999999999998E-2</c:v>
                </c:pt>
                <c:pt idx="17">
                  <c:v>-4.4999999999999998E-2</c:v>
                </c:pt>
                <c:pt idx="18">
                  <c:v>-4.7E-2</c:v>
                </c:pt>
                <c:pt idx="19">
                  <c:v>-4.4999999999999998E-2</c:v>
                </c:pt>
                <c:pt idx="20">
                  <c:v>-4.3999999999999997E-2</c:v>
                </c:pt>
                <c:pt idx="21">
                  <c:v>-4.3999999999999997E-2</c:v>
                </c:pt>
                <c:pt idx="22">
                  <c:v>-4.2000000000000003E-2</c:v>
                </c:pt>
                <c:pt idx="23">
                  <c:v>-4.1000000000000002E-2</c:v>
                </c:pt>
                <c:pt idx="24">
                  <c:v>-0.04</c:v>
                </c:pt>
                <c:pt idx="25">
                  <c:v>-3.7999999999999999E-2</c:v>
                </c:pt>
                <c:pt idx="26">
                  <c:v>-3.7499999999999999E-2</c:v>
                </c:pt>
                <c:pt idx="27">
                  <c:v>-3.5999999999999997E-2</c:v>
                </c:pt>
                <c:pt idx="28">
                  <c:v>-3.2500000000000001E-2</c:v>
                </c:pt>
                <c:pt idx="29">
                  <c:v>-0.03</c:v>
                </c:pt>
                <c:pt idx="30">
                  <c:v>-2.5999999999999999E-2</c:v>
                </c:pt>
                <c:pt idx="31">
                  <c:v>-2.5000000000000001E-2</c:v>
                </c:pt>
                <c:pt idx="32" formatCode="General">
                  <c:v>-2.5000000000000001E-2</c:v>
                </c:pt>
                <c:pt idx="33">
                  <c:v>-2.5000000000000001E-2</c:v>
                </c:pt>
                <c:pt idx="34">
                  <c:v>-3.2500000000000001E-2</c:v>
                </c:pt>
                <c:pt idx="35">
                  <c:v>-0.05</c:v>
                </c:pt>
                <c:pt idx="36">
                  <c:v>-8.7499999999999994E-2</c:v>
                </c:pt>
              </c:numCache>
            </c:numRef>
          </c:yVal>
          <c:smooth val="1"/>
          <c:extLst>
            <c:ext xmlns:c16="http://schemas.microsoft.com/office/drawing/2014/chart" uri="{C3380CC4-5D6E-409C-BE32-E72D297353CC}">
              <c16:uniqueId val="{00000000-E4CD-4050-97B6-E557FFDC3262}"/>
            </c:ext>
          </c:extLst>
        </c:ser>
        <c:ser>
          <c:idx val="1"/>
          <c:order val="1"/>
          <c:tx>
            <c:strRef>
              <c:f>Hoja1!$F$4</c:f>
              <c:strCache>
                <c:ptCount val="1"/>
                <c:pt idx="0">
                  <c:v>Report 824     Re=5.7E6</c:v>
                </c:pt>
              </c:strCache>
            </c:strRef>
          </c:tx>
          <c:spPr>
            <a:ln w="19050" cap="rnd">
              <a:solidFill>
                <a:schemeClr val="accent2"/>
              </a:solidFill>
              <a:round/>
            </a:ln>
            <a:effectLst/>
          </c:spPr>
          <c:marker>
            <c:symbol val="square"/>
            <c:size val="4"/>
            <c:spPr>
              <a:solidFill>
                <a:schemeClr val="accent2"/>
              </a:solidFill>
              <a:ln w="9525">
                <a:solidFill>
                  <a:schemeClr val="accent2"/>
                </a:solidFill>
              </a:ln>
              <a:effectLst/>
            </c:spPr>
          </c:marker>
          <c:xVal>
            <c:numRef>
              <c:f>Hoja1!$F$16:$F$42</c:f>
              <c:numCache>
                <c:formatCode>General</c:formatCode>
                <c:ptCount val="27"/>
                <c:pt idx="0">
                  <c:v>-8</c:v>
                </c:pt>
                <c:pt idx="1">
                  <c:v>-7</c:v>
                </c:pt>
                <c:pt idx="2">
                  <c:v>-6</c:v>
                </c:pt>
                <c:pt idx="3">
                  <c:v>-5</c:v>
                </c:pt>
                <c:pt idx="4">
                  <c:v>-4</c:v>
                </c:pt>
                <c:pt idx="5">
                  <c:v>-3</c:v>
                </c:pt>
                <c:pt idx="6">
                  <c:v>-2</c:v>
                </c:pt>
                <c:pt idx="7">
                  <c:v>-1</c:v>
                </c:pt>
                <c:pt idx="8">
                  <c:v>0</c:v>
                </c:pt>
                <c:pt idx="9">
                  <c:v>1</c:v>
                </c:pt>
                <c:pt idx="10">
                  <c:v>2</c:v>
                </c:pt>
                <c:pt idx="11">
                  <c:v>3</c:v>
                </c:pt>
                <c:pt idx="12">
                  <c:v>4</c:v>
                </c:pt>
                <c:pt idx="13">
                  <c:v>5</c:v>
                </c:pt>
                <c:pt idx="14">
                  <c:v>6</c:v>
                </c:pt>
                <c:pt idx="15">
                  <c:v>7</c:v>
                </c:pt>
                <c:pt idx="16">
                  <c:v>8</c:v>
                </c:pt>
                <c:pt idx="17">
                  <c:v>9</c:v>
                </c:pt>
                <c:pt idx="18">
                  <c:v>10</c:v>
                </c:pt>
                <c:pt idx="19">
                  <c:v>11</c:v>
                </c:pt>
                <c:pt idx="20">
                  <c:v>12</c:v>
                </c:pt>
                <c:pt idx="21">
                  <c:v>13</c:v>
                </c:pt>
                <c:pt idx="22">
                  <c:v>14</c:v>
                </c:pt>
                <c:pt idx="23">
                  <c:v>15</c:v>
                </c:pt>
                <c:pt idx="24">
                  <c:v>16</c:v>
                </c:pt>
                <c:pt idx="25">
                  <c:v>17</c:v>
                </c:pt>
                <c:pt idx="26">
                  <c:v>18</c:v>
                </c:pt>
              </c:numCache>
            </c:numRef>
          </c:xVal>
          <c:yVal>
            <c:numRef>
              <c:f>Hoja1!$I$16:$I$42</c:f>
              <c:numCache>
                <c:formatCode>0.0000</c:formatCode>
                <c:ptCount val="27"/>
                <c:pt idx="0">
                  <c:v>-4.9000000000000002E-2</c:v>
                </c:pt>
                <c:pt idx="1">
                  <c:v>-4.8000000000000001E-2</c:v>
                </c:pt>
                <c:pt idx="2">
                  <c:v>-4.7E-2</c:v>
                </c:pt>
                <c:pt idx="3">
                  <c:v>-4.5999999999999999E-2</c:v>
                </c:pt>
                <c:pt idx="4">
                  <c:v>-4.5999999999999999E-2</c:v>
                </c:pt>
                <c:pt idx="5">
                  <c:v>-4.5999999999999999E-2</c:v>
                </c:pt>
                <c:pt idx="6">
                  <c:v>-4.4999999999999998E-2</c:v>
                </c:pt>
                <c:pt idx="7">
                  <c:v>-4.4999999999999998E-2</c:v>
                </c:pt>
                <c:pt idx="8">
                  <c:v>-4.7E-2</c:v>
                </c:pt>
                <c:pt idx="9">
                  <c:v>-4.4999999999999998E-2</c:v>
                </c:pt>
                <c:pt idx="10">
                  <c:v>-4.3999999999999997E-2</c:v>
                </c:pt>
                <c:pt idx="11">
                  <c:v>-4.3999999999999997E-2</c:v>
                </c:pt>
                <c:pt idx="12">
                  <c:v>-4.2000000000000003E-2</c:v>
                </c:pt>
                <c:pt idx="13">
                  <c:v>-4.1000000000000002E-2</c:v>
                </c:pt>
                <c:pt idx="14">
                  <c:v>-0.04</c:v>
                </c:pt>
                <c:pt idx="15">
                  <c:v>-3.7999999999999999E-2</c:v>
                </c:pt>
                <c:pt idx="16">
                  <c:v>-3.7499999999999999E-2</c:v>
                </c:pt>
                <c:pt idx="17">
                  <c:v>-3.4000000000000002E-2</c:v>
                </c:pt>
                <c:pt idx="18">
                  <c:v>-3.7499999999999999E-2</c:v>
                </c:pt>
                <c:pt idx="19">
                  <c:v>-3.5000000000000003E-2</c:v>
                </c:pt>
                <c:pt idx="20">
                  <c:v>-3.4000000000000002E-2</c:v>
                </c:pt>
                <c:pt idx="21">
                  <c:v>-0.03</c:v>
                </c:pt>
                <c:pt idx="22" formatCode="General">
                  <c:v>-2.5000000000000001E-2</c:v>
                </c:pt>
                <c:pt idx="23">
                  <c:v>-2.5000000000000001E-2</c:v>
                </c:pt>
                <c:pt idx="24">
                  <c:v>-4.2500000000000003E-2</c:v>
                </c:pt>
                <c:pt idx="25">
                  <c:v>-5.7500000000000002E-2</c:v>
                </c:pt>
                <c:pt idx="26">
                  <c:v>-0.105</c:v>
                </c:pt>
              </c:numCache>
            </c:numRef>
          </c:yVal>
          <c:smooth val="1"/>
          <c:extLst>
            <c:ext xmlns:c16="http://schemas.microsoft.com/office/drawing/2014/chart" uri="{C3380CC4-5D6E-409C-BE32-E72D297353CC}">
              <c16:uniqueId val="{00000001-E4CD-4050-97B6-E557FFDC3262}"/>
            </c:ext>
          </c:extLst>
        </c:ser>
        <c:ser>
          <c:idx val="2"/>
          <c:order val="2"/>
          <c:tx>
            <c:strRef>
              <c:f>Hoja1!$L$4</c:f>
              <c:strCache>
                <c:ptCount val="1"/>
                <c:pt idx="0">
                  <c:v>Report 824     Re=8.9E6</c:v>
                </c:pt>
              </c:strCache>
            </c:strRef>
          </c:tx>
          <c:spPr>
            <a:ln w="19050" cap="rnd">
              <a:solidFill>
                <a:schemeClr val="accent3"/>
              </a:solidFill>
              <a:round/>
            </a:ln>
            <a:effectLst/>
          </c:spPr>
          <c:marker>
            <c:symbol val="diamond"/>
            <c:size val="4"/>
            <c:spPr>
              <a:solidFill>
                <a:schemeClr val="accent3"/>
              </a:solidFill>
              <a:ln w="9525">
                <a:solidFill>
                  <a:schemeClr val="accent3"/>
                </a:solidFill>
              </a:ln>
              <a:effectLst/>
            </c:spPr>
          </c:marker>
          <c:xVal>
            <c:numRef>
              <c:f>Hoja1!$L$16:$L$42</c:f>
              <c:numCache>
                <c:formatCode>General</c:formatCode>
                <c:ptCount val="27"/>
                <c:pt idx="0">
                  <c:v>-8</c:v>
                </c:pt>
                <c:pt idx="1">
                  <c:v>-7</c:v>
                </c:pt>
                <c:pt idx="2">
                  <c:v>-6</c:v>
                </c:pt>
                <c:pt idx="3">
                  <c:v>-5</c:v>
                </c:pt>
                <c:pt idx="4">
                  <c:v>-4</c:v>
                </c:pt>
                <c:pt idx="5">
                  <c:v>-3</c:v>
                </c:pt>
                <c:pt idx="6">
                  <c:v>-2</c:v>
                </c:pt>
                <c:pt idx="7">
                  <c:v>-1</c:v>
                </c:pt>
                <c:pt idx="8">
                  <c:v>0</c:v>
                </c:pt>
                <c:pt idx="9">
                  <c:v>1</c:v>
                </c:pt>
                <c:pt idx="10">
                  <c:v>2</c:v>
                </c:pt>
                <c:pt idx="11">
                  <c:v>3</c:v>
                </c:pt>
                <c:pt idx="12">
                  <c:v>4</c:v>
                </c:pt>
                <c:pt idx="13">
                  <c:v>5</c:v>
                </c:pt>
                <c:pt idx="14">
                  <c:v>6</c:v>
                </c:pt>
                <c:pt idx="15">
                  <c:v>7</c:v>
                </c:pt>
                <c:pt idx="16">
                  <c:v>8</c:v>
                </c:pt>
                <c:pt idx="17">
                  <c:v>9</c:v>
                </c:pt>
                <c:pt idx="18">
                  <c:v>10</c:v>
                </c:pt>
                <c:pt idx="19">
                  <c:v>11</c:v>
                </c:pt>
                <c:pt idx="20">
                  <c:v>12</c:v>
                </c:pt>
                <c:pt idx="21">
                  <c:v>13</c:v>
                </c:pt>
                <c:pt idx="22">
                  <c:v>14</c:v>
                </c:pt>
                <c:pt idx="23">
                  <c:v>15</c:v>
                </c:pt>
                <c:pt idx="24">
                  <c:v>16</c:v>
                </c:pt>
                <c:pt idx="25">
                  <c:v>17</c:v>
                </c:pt>
                <c:pt idx="26">
                  <c:v>18</c:v>
                </c:pt>
              </c:numCache>
            </c:numRef>
          </c:xVal>
          <c:yVal>
            <c:numRef>
              <c:f>Hoja1!$O$16:$O$42</c:f>
              <c:numCache>
                <c:formatCode>0.0000</c:formatCode>
                <c:ptCount val="27"/>
                <c:pt idx="0">
                  <c:v>-4.9000000000000002E-2</c:v>
                </c:pt>
                <c:pt idx="1">
                  <c:v>-4.8000000000000001E-2</c:v>
                </c:pt>
                <c:pt idx="2">
                  <c:v>-4.7E-2</c:v>
                </c:pt>
                <c:pt idx="3">
                  <c:v>-4.5999999999999999E-2</c:v>
                </c:pt>
                <c:pt idx="4">
                  <c:v>-4.5999999999999999E-2</c:v>
                </c:pt>
                <c:pt idx="5">
                  <c:v>-4.5999999999999999E-2</c:v>
                </c:pt>
                <c:pt idx="6">
                  <c:v>-4.4999999999999998E-2</c:v>
                </c:pt>
                <c:pt idx="7">
                  <c:v>-4.4999999999999998E-2</c:v>
                </c:pt>
                <c:pt idx="8">
                  <c:v>-4.7E-2</c:v>
                </c:pt>
                <c:pt idx="9">
                  <c:v>-4.4999999999999998E-2</c:v>
                </c:pt>
                <c:pt idx="10">
                  <c:v>-4.3999999999999997E-2</c:v>
                </c:pt>
                <c:pt idx="11">
                  <c:v>-4.3999999999999997E-2</c:v>
                </c:pt>
                <c:pt idx="12">
                  <c:v>-4.2000000000000003E-2</c:v>
                </c:pt>
                <c:pt idx="13">
                  <c:v>-4.1000000000000002E-2</c:v>
                </c:pt>
                <c:pt idx="14">
                  <c:v>-0.04</c:v>
                </c:pt>
                <c:pt idx="15">
                  <c:v>-3.7999999999999999E-2</c:v>
                </c:pt>
                <c:pt idx="16">
                  <c:v>-3.7499999999999999E-2</c:v>
                </c:pt>
                <c:pt idx="17">
                  <c:v>-3.4000000000000002E-2</c:v>
                </c:pt>
                <c:pt idx="18">
                  <c:v>-3.7499999999999999E-2</c:v>
                </c:pt>
                <c:pt idx="19">
                  <c:v>-3.5000000000000003E-2</c:v>
                </c:pt>
                <c:pt idx="20">
                  <c:v>-3.4000000000000002E-2</c:v>
                </c:pt>
                <c:pt idx="21">
                  <c:v>-0.03</c:v>
                </c:pt>
                <c:pt idx="22" formatCode="General">
                  <c:v>-2.5000000000000001E-2</c:v>
                </c:pt>
                <c:pt idx="23">
                  <c:v>-2.2499999999999999E-2</c:v>
                </c:pt>
                <c:pt idx="24">
                  <c:v>-0.02</c:v>
                </c:pt>
                <c:pt idx="25">
                  <c:v>-3.5000000000000003E-2</c:v>
                </c:pt>
                <c:pt idx="26">
                  <c:v>-6.25E-2</c:v>
                </c:pt>
              </c:numCache>
            </c:numRef>
          </c:yVal>
          <c:smooth val="1"/>
          <c:extLst>
            <c:ext xmlns:c16="http://schemas.microsoft.com/office/drawing/2014/chart" uri="{C3380CC4-5D6E-409C-BE32-E72D297353CC}">
              <c16:uniqueId val="{00000002-E4CD-4050-97B6-E557FFDC3262}"/>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Cl</a:t>
            </a:r>
            <a:r>
              <a:rPr lang="es-CO" baseline="0"/>
              <a:t> vs Alpha (Report 824 vs Xfoil vs Rfoil)     Re = 3.1e6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v>Report 824, Re 3.1E6</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Hoja1!$A$6:$A$42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Hoja1!$B$6:$B$42</c:f>
              <c:numCache>
                <c:formatCode>General</c:formatCode>
                <c:ptCount val="37"/>
                <c:pt idx="10" formatCode="0.000">
                  <c:v>-0.6</c:v>
                </c:pt>
                <c:pt idx="11" formatCode="0.000">
                  <c:v>-0.5</c:v>
                </c:pt>
                <c:pt idx="12" formatCode="0.000">
                  <c:v>-0.4</c:v>
                </c:pt>
                <c:pt idx="13" formatCode="0.000">
                  <c:v>-0.3</c:v>
                </c:pt>
                <c:pt idx="14" formatCode="0.000">
                  <c:v>-0.2</c:v>
                </c:pt>
                <c:pt idx="15" formatCode="0.000">
                  <c:v>-0.1</c:v>
                </c:pt>
                <c:pt idx="16" formatCode="0.000">
                  <c:v>0</c:v>
                </c:pt>
                <c:pt idx="17" formatCode="0.000">
                  <c:v>0.12</c:v>
                </c:pt>
                <c:pt idx="18" formatCode="0.000">
                  <c:v>0.23</c:v>
                </c:pt>
                <c:pt idx="19" formatCode="0.000">
                  <c:v>0.35</c:v>
                </c:pt>
                <c:pt idx="20" formatCode="0.000">
                  <c:v>0.44</c:v>
                </c:pt>
                <c:pt idx="21" formatCode="0.000">
                  <c:v>0.55000000000000004</c:v>
                </c:pt>
                <c:pt idx="22" formatCode="0.000">
                  <c:v>0.65</c:v>
                </c:pt>
                <c:pt idx="23" formatCode="0.000">
                  <c:v>0.75</c:v>
                </c:pt>
                <c:pt idx="24" formatCode="0.000">
                  <c:v>0.86</c:v>
                </c:pt>
                <c:pt idx="25" formatCode="0.000">
                  <c:v>0.96</c:v>
                </c:pt>
                <c:pt idx="26" formatCode="0.000">
                  <c:v>1.0649999999999999</c:v>
                </c:pt>
                <c:pt idx="27" formatCode="0.000">
                  <c:v>1.1499999999999999</c:v>
                </c:pt>
                <c:pt idx="28" formatCode="0.000">
                  <c:v>1.24</c:v>
                </c:pt>
                <c:pt idx="29" formatCode="0.000">
                  <c:v>1.32</c:v>
                </c:pt>
                <c:pt idx="30" formatCode="0.000">
                  <c:v>1.4</c:v>
                </c:pt>
                <c:pt idx="31" formatCode="0.000">
                  <c:v>1.4750000000000001</c:v>
                </c:pt>
                <c:pt idx="32" formatCode="0.000">
                  <c:v>1.52</c:v>
                </c:pt>
                <c:pt idx="33" formatCode="0.000">
                  <c:v>1.58</c:v>
                </c:pt>
                <c:pt idx="34" formatCode="0.000">
                  <c:v>1.55</c:v>
                </c:pt>
                <c:pt idx="35" formatCode="0.000">
                  <c:v>1.39</c:v>
                </c:pt>
                <c:pt idx="36" formatCode="0.000">
                  <c:v>1.24</c:v>
                </c:pt>
              </c:numCache>
            </c:numRef>
          </c:yVal>
          <c:smooth val="1"/>
          <c:extLst>
            <c:ext xmlns:c16="http://schemas.microsoft.com/office/drawing/2014/chart" uri="{C3380CC4-5D6E-409C-BE32-E72D297353CC}">
              <c16:uniqueId val="{00000000-86C3-47DA-B1D5-1D95A46644A4}"/>
            </c:ext>
          </c:extLst>
        </c:ser>
        <c:ser>
          <c:idx val="1"/>
          <c:order val="1"/>
          <c:tx>
            <c:strRef>
              <c:f>Hoja1!$A$46</c:f>
              <c:strCache>
                <c:ptCount val="1"/>
                <c:pt idx="0">
                  <c:v>XFOIL     Re=3.1E6</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Hoja1!$A$60:$A$96</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Hoja1!$B$60:$B$96</c:f>
              <c:numCache>
                <c:formatCode>General</c:formatCode>
                <c:ptCount val="37"/>
                <c:pt idx="0">
                  <c:v>-1.5113000000000001</c:v>
                </c:pt>
                <c:pt idx="1">
                  <c:v>-1.4985999999999999</c:v>
                </c:pt>
                <c:pt idx="2">
                  <c:v>-1.4491000000000001</c:v>
                </c:pt>
                <c:pt idx="3">
                  <c:v>-1.3787</c:v>
                </c:pt>
                <c:pt idx="4">
                  <c:v>-1.3049999999999999</c:v>
                </c:pt>
                <c:pt idx="5">
                  <c:v>-1.2225999999999999</c:v>
                </c:pt>
                <c:pt idx="6">
                  <c:v>-1.1036999999999999</c:v>
                </c:pt>
                <c:pt idx="7">
                  <c:v>-0.98140000000000005</c:v>
                </c:pt>
                <c:pt idx="8">
                  <c:v>-0.86250000000000004</c:v>
                </c:pt>
                <c:pt idx="9">
                  <c:v>-0.75760000000000005</c:v>
                </c:pt>
                <c:pt idx="10">
                  <c:v>-0.65190000000000003</c:v>
                </c:pt>
                <c:pt idx="11">
                  <c:v>-0.54259999999999997</c:v>
                </c:pt>
                <c:pt idx="12">
                  <c:v>-0.43180000000000002</c:v>
                </c:pt>
                <c:pt idx="13">
                  <c:v>-0.3201</c:v>
                </c:pt>
                <c:pt idx="14">
                  <c:v>-0.20799999999999999</c:v>
                </c:pt>
                <c:pt idx="15">
                  <c:v>-9.5600000000000004E-2</c:v>
                </c:pt>
                <c:pt idx="16">
                  <c:v>1.7000000000000001E-2</c:v>
                </c:pt>
                <c:pt idx="17">
                  <c:v>0.12959999999999999</c:v>
                </c:pt>
                <c:pt idx="18">
                  <c:v>0.2422</c:v>
                </c:pt>
                <c:pt idx="19">
                  <c:v>0.35370000000000001</c:v>
                </c:pt>
                <c:pt idx="20">
                  <c:v>0.46539999999999998</c:v>
                </c:pt>
                <c:pt idx="21">
                  <c:v>0.57379999999999998</c:v>
                </c:pt>
                <c:pt idx="22">
                  <c:v>0.67659999999999998</c:v>
                </c:pt>
                <c:pt idx="23">
                  <c:v>0.80369999999999997</c:v>
                </c:pt>
                <c:pt idx="24">
                  <c:v>0.9113</c:v>
                </c:pt>
                <c:pt idx="25">
                  <c:v>1.0085</c:v>
                </c:pt>
                <c:pt idx="26">
                  <c:v>1.1092</c:v>
                </c:pt>
                <c:pt idx="27">
                  <c:v>1.2092000000000001</c:v>
                </c:pt>
                <c:pt idx="28">
                  <c:v>1.3068</c:v>
                </c:pt>
                <c:pt idx="29">
                  <c:v>1.4005000000000001</c:v>
                </c:pt>
                <c:pt idx="30">
                  <c:v>1.4884999999999999</c:v>
                </c:pt>
                <c:pt idx="31">
                  <c:v>1.5649</c:v>
                </c:pt>
                <c:pt idx="32">
                  <c:v>1.6258999999999999</c:v>
                </c:pt>
                <c:pt idx="33">
                  <c:v>1.6782999999999999</c:v>
                </c:pt>
                <c:pt idx="34">
                  <c:v>1.7188000000000001</c:v>
                </c:pt>
                <c:pt idx="35">
                  <c:v>1.7518</c:v>
                </c:pt>
                <c:pt idx="36">
                  <c:v>1.7619</c:v>
                </c:pt>
              </c:numCache>
            </c:numRef>
          </c:yVal>
          <c:smooth val="1"/>
          <c:extLst>
            <c:ext xmlns:c16="http://schemas.microsoft.com/office/drawing/2014/chart" uri="{C3380CC4-5D6E-409C-BE32-E72D297353CC}">
              <c16:uniqueId val="{00000001-86C3-47DA-B1D5-1D95A46644A4}"/>
            </c:ext>
          </c:extLst>
        </c:ser>
        <c:ser>
          <c:idx val="2"/>
          <c:order val="2"/>
          <c:tx>
            <c:strRef>
              <c:f>Hoja1!$A$104</c:f>
              <c:strCache>
                <c:ptCount val="1"/>
                <c:pt idx="0">
                  <c:v>RFOIL     Re=3.1E6</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Hoja1!$A$123:$A$154</c:f>
              <c:numCache>
                <c:formatCode>General</c:formatCode>
                <c:ptCount val="32"/>
                <c:pt idx="0">
                  <c:v>-13</c:v>
                </c:pt>
                <c:pt idx="1">
                  <c:v>-12</c:v>
                </c:pt>
                <c:pt idx="2">
                  <c:v>-11</c:v>
                </c:pt>
                <c:pt idx="3">
                  <c:v>-10</c:v>
                </c:pt>
                <c:pt idx="4">
                  <c:v>-9</c:v>
                </c:pt>
                <c:pt idx="5">
                  <c:v>-8</c:v>
                </c:pt>
                <c:pt idx="6">
                  <c:v>-7</c:v>
                </c:pt>
                <c:pt idx="7">
                  <c:v>-6</c:v>
                </c:pt>
                <c:pt idx="8">
                  <c:v>-5</c:v>
                </c:pt>
                <c:pt idx="9">
                  <c:v>-4</c:v>
                </c:pt>
                <c:pt idx="10">
                  <c:v>-3</c:v>
                </c:pt>
                <c:pt idx="11">
                  <c:v>-2</c:v>
                </c:pt>
                <c:pt idx="12">
                  <c:v>-1</c:v>
                </c:pt>
                <c:pt idx="13">
                  <c:v>0</c:v>
                </c:pt>
                <c:pt idx="14">
                  <c:v>1</c:v>
                </c:pt>
                <c:pt idx="15">
                  <c:v>2</c:v>
                </c:pt>
                <c:pt idx="16">
                  <c:v>3</c:v>
                </c:pt>
                <c:pt idx="17">
                  <c:v>4</c:v>
                </c:pt>
                <c:pt idx="18">
                  <c:v>5</c:v>
                </c:pt>
                <c:pt idx="19">
                  <c:v>6</c:v>
                </c:pt>
                <c:pt idx="20">
                  <c:v>7</c:v>
                </c:pt>
                <c:pt idx="21">
                  <c:v>8</c:v>
                </c:pt>
                <c:pt idx="22">
                  <c:v>9</c:v>
                </c:pt>
                <c:pt idx="23">
                  <c:v>10</c:v>
                </c:pt>
                <c:pt idx="24">
                  <c:v>11</c:v>
                </c:pt>
                <c:pt idx="25">
                  <c:v>12</c:v>
                </c:pt>
                <c:pt idx="26">
                  <c:v>13</c:v>
                </c:pt>
                <c:pt idx="27">
                  <c:v>14</c:v>
                </c:pt>
                <c:pt idx="28">
                  <c:v>15</c:v>
                </c:pt>
                <c:pt idx="29">
                  <c:v>16</c:v>
                </c:pt>
                <c:pt idx="30">
                  <c:v>17</c:v>
                </c:pt>
                <c:pt idx="31">
                  <c:v>18</c:v>
                </c:pt>
              </c:numCache>
            </c:numRef>
          </c:xVal>
          <c:yVal>
            <c:numRef>
              <c:f>Hoja1!$B$123:$B$154</c:f>
              <c:numCache>
                <c:formatCode>General</c:formatCode>
                <c:ptCount val="32"/>
                <c:pt idx="0">
                  <c:v>-1.2118</c:v>
                </c:pt>
                <c:pt idx="1">
                  <c:v>-1.0945</c:v>
                </c:pt>
                <c:pt idx="2">
                  <c:v>-0.97509999999999997</c:v>
                </c:pt>
                <c:pt idx="3">
                  <c:v>-0.85880000000000001</c:v>
                </c:pt>
                <c:pt idx="4">
                  <c:v>-0.75480000000000003</c:v>
                </c:pt>
                <c:pt idx="5">
                  <c:v>-0.64810000000000001</c:v>
                </c:pt>
                <c:pt idx="6">
                  <c:v>-0.53890000000000005</c:v>
                </c:pt>
                <c:pt idx="7">
                  <c:v>-0.42820000000000003</c:v>
                </c:pt>
                <c:pt idx="8">
                  <c:v>-0.31669999999999998</c:v>
                </c:pt>
                <c:pt idx="9">
                  <c:v>-0.20480000000000001</c:v>
                </c:pt>
                <c:pt idx="10">
                  <c:v>-9.2600000000000002E-2</c:v>
                </c:pt>
                <c:pt idx="11">
                  <c:v>1.9800000000000002E-2</c:v>
                </c:pt>
                <c:pt idx="12">
                  <c:v>0.13239999999999999</c:v>
                </c:pt>
                <c:pt idx="13">
                  <c:v>0.24490000000000001</c:v>
                </c:pt>
                <c:pt idx="14">
                  <c:v>0.35680000000000001</c:v>
                </c:pt>
                <c:pt idx="15">
                  <c:v>0.4677</c:v>
                </c:pt>
                <c:pt idx="16">
                  <c:v>0.57579999999999998</c:v>
                </c:pt>
                <c:pt idx="17">
                  <c:v>0.67720000000000002</c:v>
                </c:pt>
                <c:pt idx="18">
                  <c:v>0.79390000000000005</c:v>
                </c:pt>
                <c:pt idx="19">
                  <c:v>0.90449999999999997</c:v>
                </c:pt>
                <c:pt idx="20">
                  <c:v>1.0039</c:v>
                </c:pt>
                <c:pt idx="21">
                  <c:v>1.1047</c:v>
                </c:pt>
                <c:pt idx="22">
                  <c:v>1.2037</c:v>
                </c:pt>
                <c:pt idx="23">
                  <c:v>1.2988999999999999</c:v>
                </c:pt>
                <c:pt idx="24">
                  <c:v>1.3886000000000001</c:v>
                </c:pt>
                <c:pt idx="25">
                  <c:v>1.4653</c:v>
                </c:pt>
                <c:pt idx="26">
                  <c:v>1.5290999999999999</c:v>
                </c:pt>
                <c:pt idx="27">
                  <c:v>1.5798000000000001</c:v>
                </c:pt>
                <c:pt idx="28">
                  <c:v>1.6128</c:v>
                </c:pt>
                <c:pt idx="29">
                  <c:v>1.6238999999999999</c:v>
                </c:pt>
                <c:pt idx="30">
                  <c:v>1.607</c:v>
                </c:pt>
                <c:pt idx="31">
                  <c:v>1.5411999999999999</c:v>
                </c:pt>
              </c:numCache>
            </c:numRef>
          </c:yVal>
          <c:smooth val="1"/>
          <c:extLst>
            <c:ext xmlns:c16="http://schemas.microsoft.com/office/drawing/2014/chart" uri="{C3380CC4-5D6E-409C-BE32-E72D297353CC}">
              <c16:uniqueId val="{00000003-86C3-47DA-B1D5-1D95A46644A4}"/>
            </c:ext>
          </c:extLst>
        </c:ser>
        <c:dLbls>
          <c:showLegendKey val="0"/>
          <c:showVal val="0"/>
          <c:showCatName val="0"/>
          <c:showSerName val="0"/>
          <c:showPercent val="0"/>
          <c:showBubbleSize val="0"/>
        </c:dLbls>
        <c:axId val="549837328"/>
        <c:axId val="549824848"/>
      </c:scatterChart>
      <c:valAx>
        <c:axId val="549837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Alpha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9824848"/>
        <c:crosses val="autoZero"/>
        <c:crossBetween val="midCat"/>
      </c:valAx>
      <c:valAx>
        <c:axId val="54982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9837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Cl</a:t>
            </a:r>
            <a:r>
              <a:rPr lang="es-CO" baseline="0"/>
              <a:t> vs Alpha (Report 824 vs Xfoil vs Rfoil)     Re = 5.7e6</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Hoja1!$F$4</c:f>
              <c:strCache>
                <c:ptCount val="1"/>
                <c:pt idx="0">
                  <c:v>Report 824     Re=5.7E6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Hoja1!$F$6:$F$42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Hoja1!$G$6:$G$42</c:f>
              <c:numCache>
                <c:formatCode>General</c:formatCode>
                <c:ptCount val="37"/>
                <c:pt idx="0">
                  <c:v>-0.83499999999999996</c:v>
                </c:pt>
                <c:pt idx="1">
                  <c:v>-0.875</c:v>
                </c:pt>
                <c:pt idx="2" formatCode="0.000">
                  <c:v>-0.94</c:v>
                </c:pt>
                <c:pt idx="3" formatCode="0.000">
                  <c:v>-1.05</c:v>
                </c:pt>
                <c:pt idx="4" formatCode="0.000">
                  <c:v>-1.1599999999999999</c:v>
                </c:pt>
                <c:pt idx="5">
                  <c:v>-1.04</c:v>
                </c:pt>
                <c:pt idx="6" formatCode="0.000">
                  <c:v>-0.98</c:v>
                </c:pt>
                <c:pt idx="7" formatCode="0.000">
                  <c:v>-0.9</c:v>
                </c:pt>
                <c:pt idx="8" formatCode="0.000">
                  <c:v>-0.8</c:v>
                </c:pt>
                <c:pt idx="9" formatCode="0.000">
                  <c:v>-0.7</c:v>
                </c:pt>
                <c:pt idx="10" formatCode="0.000">
                  <c:v>-0.6</c:v>
                </c:pt>
                <c:pt idx="11" formatCode="0.000">
                  <c:v>-0.5</c:v>
                </c:pt>
                <c:pt idx="12" formatCode="0.000">
                  <c:v>-0.4</c:v>
                </c:pt>
                <c:pt idx="13" formatCode="0.000">
                  <c:v>-0.3</c:v>
                </c:pt>
                <c:pt idx="14" formatCode="0.000">
                  <c:v>-0.2</c:v>
                </c:pt>
                <c:pt idx="15" formatCode="0.000">
                  <c:v>-0.1</c:v>
                </c:pt>
                <c:pt idx="16" formatCode="0.000">
                  <c:v>0</c:v>
                </c:pt>
                <c:pt idx="17" formatCode="0.000">
                  <c:v>0.12</c:v>
                </c:pt>
                <c:pt idx="18" formatCode="0.000">
                  <c:v>0.24</c:v>
                </c:pt>
                <c:pt idx="19" formatCode="0.000">
                  <c:v>0.35</c:v>
                </c:pt>
                <c:pt idx="20" formatCode="0.000">
                  <c:v>0.44</c:v>
                </c:pt>
                <c:pt idx="21" formatCode="0.000">
                  <c:v>0.55000000000000004</c:v>
                </c:pt>
                <c:pt idx="22" formatCode="0.000">
                  <c:v>0.65</c:v>
                </c:pt>
                <c:pt idx="23" formatCode="0.000">
                  <c:v>0.75</c:v>
                </c:pt>
                <c:pt idx="24" formatCode="0.000">
                  <c:v>0.86</c:v>
                </c:pt>
                <c:pt idx="25" formatCode="0.000">
                  <c:v>0.96</c:v>
                </c:pt>
                <c:pt idx="26" formatCode="0.000">
                  <c:v>1.0649999999999999</c:v>
                </c:pt>
                <c:pt idx="27" formatCode="0.000">
                  <c:v>1.1499999999999999</c:v>
                </c:pt>
                <c:pt idx="28" formatCode="0.000">
                  <c:v>1.24</c:v>
                </c:pt>
                <c:pt idx="29" formatCode="0.000">
                  <c:v>1.32</c:v>
                </c:pt>
                <c:pt idx="30" formatCode="0.000">
                  <c:v>1.4</c:v>
                </c:pt>
                <c:pt idx="31" formatCode="0.000">
                  <c:v>1.48</c:v>
                </c:pt>
                <c:pt idx="32" formatCode="0.000">
                  <c:v>1.52</c:v>
                </c:pt>
                <c:pt idx="33" formatCode="0.000">
                  <c:v>1.6</c:v>
                </c:pt>
                <c:pt idx="34" formatCode="0.000">
                  <c:v>1.68</c:v>
                </c:pt>
                <c:pt idx="35" formatCode="0.000">
                  <c:v>1.68</c:v>
                </c:pt>
                <c:pt idx="36" formatCode="0.000">
                  <c:v>1.55</c:v>
                </c:pt>
              </c:numCache>
            </c:numRef>
          </c:yVal>
          <c:smooth val="1"/>
          <c:extLst>
            <c:ext xmlns:c16="http://schemas.microsoft.com/office/drawing/2014/chart" uri="{C3380CC4-5D6E-409C-BE32-E72D297353CC}">
              <c16:uniqueId val="{00000000-07AB-4A8B-B8EF-902373E24F2C}"/>
            </c:ext>
          </c:extLst>
        </c:ser>
        <c:ser>
          <c:idx val="1"/>
          <c:order val="1"/>
          <c:tx>
            <c:strRef>
              <c:f>Hoja1!$H$46</c:f>
              <c:strCache>
                <c:ptCount val="1"/>
                <c:pt idx="0">
                  <c:v>XFOIL     Re=5.7E6</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Hoja1!$H$60:$H$96</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Hoja1!$I$60:$I$96</c:f>
              <c:numCache>
                <c:formatCode>General</c:formatCode>
                <c:ptCount val="37"/>
                <c:pt idx="0">
                  <c:v>-1.6155999999999999</c:v>
                </c:pt>
                <c:pt idx="1">
                  <c:v>-1.5685</c:v>
                </c:pt>
                <c:pt idx="2">
                  <c:v>-1.4917</c:v>
                </c:pt>
                <c:pt idx="3">
                  <c:v>-1.4120999999999999</c:v>
                </c:pt>
                <c:pt idx="4">
                  <c:v>-1.3232999999999999</c:v>
                </c:pt>
                <c:pt idx="5">
                  <c:v>-1.2078</c:v>
                </c:pt>
                <c:pt idx="6">
                  <c:v>-1.0899000000000001</c:v>
                </c:pt>
                <c:pt idx="7">
                  <c:v>-0.98280000000000001</c:v>
                </c:pt>
                <c:pt idx="8">
                  <c:v>-0.87939999999999996</c:v>
                </c:pt>
                <c:pt idx="9">
                  <c:v>-0.77239999999999998</c:v>
                </c:pt>
                <c:pt idx="10">
                  <c:v>-0.66220000000000001</c:v>
                </c:pt>
                <c:pt idx="11">
                  <c:v>-0.55059999999999998</c:v>
                </c:pt>
                <c:pt idx="12">
                  <c:v>-0.43830000000000002</c:v>
                </c:pt>
                <c:pt idx="13">
                  <c:v>-0.32519999999999999</c:v>
                </c:pt>
                <c:pt idx="14">
                  <c:v>-0.21179999999999999</c:v>
                </c:pt>
                <c:pt idx="15">
                  <c:v>-9.8199999999999996E-2</c:v>
                </c:pt>
                <c:pt idx="16">
                  <c:v>1.55E-2</c:v>
                </c:pt>
                <c:pt idx="17">
                  <c:v>0.12939999999999999</c:v>
                </c:pt>
                <c:pt idx="18">
                  <c:v>0.24349999999999999</c:v>
                </c:pt>
                <c:pt idx="19">
                  <c:v>0.35720000000000002</c:v>
                </c:pt>
                <c:pt idx="20">
                  <c:v>0.46939999999999998</c:v>
                </c:pt>
                <c:pt idx="21">
                  <c:v>0.57999999999999996</c:v>
                </c:pt>
                <c:pt idx="22">
                  <c:v>0.68779999999999997</c:v>
                </c:pt>
                <c:pt idx="23">
                  <c:v>0.78949999999999998</c:v>
                </c:pt>
                <c:pt idx="24">
                  <c:v>0.90959999999999996</c:v>
                </c:pt>
                <c:pt idx="25">
                  <c:v>1.0165</c:v>
                </c:pt>
                <c:pt idx="26">
                  <c:v>1.1192</c:v>
                </c:pt>
                <c:pt idx="27">
                  <c:v>1.222</c:v>
                </c:pt>
                <c:pt idx="28">
                  <c:v>1.3229</c:v>
                </c:pt>
                <c:pt idx="29">
                  <c:v>1.4207000000000001</c:v>
                </c:pt>
                <c:pt idx="30">
                  <c:v>1.5137</c:v>
                </c:pt>
                <c:pt idx="31">
                  <c:v>1.6005</c:v>
                </c:pt>
                <c:pt idx="32">
                  <c:v>1.6729000000000001</c:v>
                </c:pt>
                <c:pt idx="33">
                  <c:v>1.7336</c:v>
                </c:pt>
                <c:pt idx="34">
                  <c:v>1.7853000000000001</c:v>
                </c:pt>
                <c:pt idx="35">
                  <c:v>1.8252999999999999</c:v>
                </c:pt>
                <c:pt idx="36">
                  <c:v>1.8563000000000001</c:v>
                </c:pt>
              </c:numCache>
            </c:numRef>
          </c:yVal>
          <c:smooth val="1"/>
          <c:extLst>
            <c:ext xmlns:c16="http://schemas.microsoft.com/office/drawing/2014/chart" uri="{C3380CC4-5D6E-409C-BE32-E72D297353CC}">
              <c16:uniqueId val="{00000001-07AB-4A8B-B8EF-902373E24F2C}"/>
            </c:ext>
          </c:extLst>
        </c:ser>
        <c:ser>
          <c:idx val="2"/>
          <c:order val="2"/>
          <c:tx>
            <c:strRef>
              <c:f>Hoja1!$H$104</c:f>
              <c:strCache>
                <c:ptCount val="1"/>
                <c:pt idx="0">
                  <c:v>RFOIL     Re=5.7E6</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Hoja1!$H$123:$H$154</c:f>
              <c:numCache>
                <c:formatCode>General</c:formatCode>
                <c:ptCount val="32"/>
                <c:pt idx="0">
                  <c:v>-13</c:v>
                </c:pt>
                <c:pt idx="1">
                  <c:v>-12</c:v>
                </c:pt>
                <c:pt idx="2">
                  <c:v>-11</c:v>
                </c:pt>
                <c:pt idx="3">
                  <c:v>-10</c:v>
                </c:pt>
                <c:pt idx="4">
                  <c:v>-9</c:v>
                </c:pt>
                <c:pt idx="5">
                  <c:v>-8</c:v>
                </c:pt>
                <c:pt idx="6">
                  <c:v>-7</c:v>
                </c:pt>
                <c:pt idx="7">
                  <c:v>-6</c:v>
                </c:pt>
                <c:pt idx="8">
                  <c:v>-5</c:v>
                </c:pt>
                <c:pt idx="9">
                  <c:v>-4</c:v>
                </c:pt>
                <c:pt idx="10">
                  <c:v>-3</c:v>
                </c:pt>
                <c:pt idx="11">
                  <c:v>-2</c:v>
                </c:pt>
                <c:pt idx="12">
                  <c:v>-1</c:v>
                </c:pt>
                <c:pt idx="13">
                  <c:v>0</c:v>
                </c:pt>
                <c:pt idx="14">
                  <c:v>1</c:v>
                </c:pt>
                <c:pt idx="15">
                  <c:v>2</c:v>
                </c:pt>
                <c:pt idx="16">
                  <c:v>3</c:v>
                </c:pt>
                <c:pt idx="17">
                  <c:v>4</c:v>
                </c:pt>
                <c:pt idx="18">
                  <c:v>5</c:v>
                </c:pt>
                <c:pt idx="19">
                  <c:v>6</c:v>
                </c:pt>
                <c:pt idx="20">
                  <c:v>7</c:v>
                </c:pt>
                <c:pt idx="21">
                  <c:v>8</c:v>
                </c:pt>
                <c:pt idx="22">
                  <c:v>9</c:v>
                </c:pt>
                <c:pt idx="23">
                  <c:v>10</c:v>
                </c:pt>
                <c:pt idx="24">
                  <c:v>11</c:v>
                </c:pt>
                <c:pt idx="25">
                  <c:v>12</c:v>
                </c:pt>
                <c:pt idx="26">
                  <c:v>13</c:v>
                </c:pt>
                <c:pt idx="27">
                  <c:v>14</c:v>
                </c:pt>
                <c:pt idx="28">
                  <c:v>15</c:v>
                </c:pt>
                <c:pt idx="29">
                  <c:v>16</c:v>
                </c:pt>
                <c:pt idx="30">
                  <c:v>17</c:v>
                </c:pt>
                <c:pt idx="31">
                  <c:v>18</c:v>
                </c:pt>
              </c:numCache>
            </c:numRef>
          </c:xVal>
          <c:yVal>
            <c:numRef>
              <c:f>Hoja1!$I$123:$I$154</c:f>
              <c:numCache>
                <c:formatCode>General</c:formatCode>
                <c:ptCount val="32"/>
                <c:pt idx="0">
                  <c:v>-1.202</c:v>
                </c:pt>
                <c:pt idx="1">
                  <c:v>-1.0852999999999999</c:v>
                </c:pt>
                <c:pt idx="2">
                  <c:v>-0.97819999999999996</c:v>
                </c:pt>
                <c:pt idx="3">
                  <c:v>-0.87560000000000004</c:v>
                </c:pt>
                <c:pt idx="4">
                  <c:v>-0.76800000000000002</c:v>
                </c:pt>
                <c:pt idx="5">
                  <c:v>-0.65810000000000002</c:v>
                </c:pt>
                <c:pt idx="6">
                  <c:v>-0.54669999999999996</c:v>
                </c:pt>
                <c:pt idx="7">
                  <c:v>-0.43469999999999998</c:v>
                </c:pt>
                <c:pt idx="8">
                  <c:v>-0.32190000000000002</c:v>
                </c:pt>
                <c:pt idx="9">
                  <c:v>-0.2087</c:v>
                </c:pt>
                <c:pt idx="10">
                  <c:v>-9.5200000000000007E-2</c:v>
                </c:pt>
                <c:pt idx="11">
                  <c:v>1.8499999999999999E-2</c:v>
                </c:pt>
                <c:pt idx="12">
                  <c:v>0.13220000000000001</c:v>
                </c:pt>
                <c:pt idx="13">
                  <c:v>0.24610000000000001</c:v>
                </c:pt>
                <c:pt idx="14">
                  <c:v>0.35959999999999998</c:v>
                </c:pt>
                <c:pt idx="15">
                  <c:v>0.47070000000000001</c:v>
                </c:pt>
                <c:pt idx="16">
                  <c:v>0.58040000000000003</c:v>
                </c:pt>
                <c:pt idx="17">
                  <c:v>0.68789999999999996</c:v>
                </c:pt>
                <c:pt idx="18">
                  <c:v>0.79179999999999995</c:v>
                </c:pt>
                <c:pt idx="19">
                  <c:v>0.90229999999999999</c:v>
                </c:pt>
                <c:pt idx="20">
                  <c:v>1.0134000000000001</c:v>
                </c:pt>
                <c:pt idx="21">
                  <c:v>1.1164000000000001</c:v>
                </c:pt>
                <c:pt idx="22">
                  <c:v>1.2183999999999999</c:v>
                </c:pt>
                <c:pt idx="23">
                  <c:v>1.3172999999999999</c:v>
                </c:pt>
                <c:pt idx="24">
                  <c:v>1.4127000000000001</c:v>
                </c:pt>
                <c:pt idx="25">
                  <c:v>1.5013000000000001</c:v>
                </c:pt>
                <c:pt idx="26">
                  <c:v>1.5763</c:v>
                </c:pt>
                <c:pt idx="27">
                  <c:v>1.637</c:v>
                </c:pt>
                <c:pt idx="28">
                  <c:v>1.6843999999999999</c:v>
                </c:pt>
                <c:pt idx="29">
                  <c:v>1.7143999999999999</c:v>
                </c:pt>
                <c:pt idx="30">
                  <c:v>1.7257</c:v>
                </c:pt>
                <c:pt idx="31">
                  <c:v>1.6972</c:v>
                </c:pt>
              </c:numCache>
            </c:numRef>
          </c:yVal>
          <c:smooth val="1"/>
          <c:extLst>
            <c:ext xmlns:c16="http://schemas.microsoft.com/office/drawing/2014/chart" uri="{C3380CC4-5D6E-409C-BE32-E72D297353CC}">
              <c16:uniqueId val="{00000002-07AB-4A8B-B8EF-902373E24F2C}"/>
            </c:ext>
          </c:extLst>
        </c:ser>
        <c:dLbls>
          <c:showLegendKey val="0"/>
          <c:showVal val="0"/>
          <c:showCatName val="0"/>
          <c:showSerName val="0"/>
          <c:showPercent val="0"/>
          <c:showBubbleSize val="0"/>
        </c:dLbls>
        <c:axId val="549837328"/>
        <c:axId val="549824848"/>
      </c:scatterChart>
      <c:valAx>
        <c:axId val="549837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Alpha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9824848"/>
        <c:crosses val="autoZero"/>
        <c:crossBetween val="midCat"/>
      </c:valAx>
      <c:valAx>
        <c:axId val="54982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9837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Cl</a:t>
            </a:r>
            <a:r>
              <a:rPr lang="es-CO" baseline="0"/>
              <a:t> vs Alpha (Report 824 vs Xfoil vs Rfoil)     Re = 8.9e6</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Hoja1!$L$4</c:f>
              <c:strCache>
                <c:ptCount val="1"/>
                <c:pt idx="0">
                  <c:v>Report 824     Re=8.9E6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Hoja1!$L$6:$L$42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Hoja1!$M$6:$M$42</c:f>
              <c:numCache>
                <c:formatCode>General</c:formatCode>
                <c:ptCount val="37"/>
                <c:pt idx="0">
                  <c:v>-0.83499999999999996</c:v>
                </c:pt>
                <c:pt idx="1">
                  <c:v>-0.875</c:v>
                </c:pt>
                <c:pt idx="2" formatCode="0.000">
                  <c:v>-0.94</c:v>
                </c:pt>
                <c:pt idx="3" formatCode="0.000">
                  <c:v>-1.05</c:v>
                </c:pt>
                <c:pt idx="4" formatCode="0.000">
                  <c:v>-1.1599999999999999</c:v>
                </c:pt>
                <c:pt idx="5">
                  <c:v>-1.04</c:v>
                </c:pt>
                <c:pt idx="6" formatCode="0.000">
                  <c:v>-0.98</c:v>
                </c:pt>
                <c:pt idx="7" formatCode="0.000">
                  <c:v>-0.9</c:v>
                </c:pt>
                <c:pt idx="8" formatCode="0.000">
                  <c:v>-0.8</c:v>
                </c:pt>
                <c:pt idx="9" formatCode="0.000">
                  <c:v>-0.7</c:v>
                </c:pt>
                <c:pt idx="10" formatCode="0.000">
                  <c:v>-0.6</c:v>
                </c:pt>
                <c:pt idx="11" formatCode="0.000">
                  <c:v>-0.5</c:v>
                </c:pt>
                <c:pt idx="12" formatCode="0.000">
                  <c:v>-0.4</c:v>
                </c:pt>
                <c:pt idx="13" formatCode="0.000">
                  <c:v>-0.3</c:v>
                </c:pt>
                <c:pt idx="14" formatCode="0.000">
                  <c:v>-0.2</c:v>
                </c:pt>
                <c:pt idx="15" formatCode="0.000">
                  <c:v>-0.1</c:v>
                </c:pt>
                <c:pt idx="16" formatCode="0.000">
                  <c:v>0</c:v>
                </c:pt>
                <c:pt idx="17" formatCode="0.000">
                  <c:v>0.12</c:v>
                </c:pt>
                <c:pt idx="18" formatCode="0.000">
                  <c:v>0.23</c:v>
                </c:pt>
                <c:pt idx="19" formatCode="0.000">
                  <c:v>0.35</c:v>
                </c:pt>
                <c:pt idx="20" formatCode="0.000">
                  <c:v>0.44</c:v>
                </c:pt>
                <c:pt idx="21" formatCode="0.000">
                  <c:v>0.55000000000000004</c:v>
                </c:pt>
                <c:pt idx="22" formatCode="0.000">
                  <c:v>0.65</c:v>
                </c:pt>
                <c:pt idx="23" formatCode="0.000">
                  <c:v>0.75</c:v>
                </c:pt>
                <c:pt idx="24" formatCode="0.000">
                  <c:v>0.86</c:v>
                </c:pt>
                <c:pt idx="25" formatCode="0.000">
                  <c:v>0.96</c:v>
                </c:pt>
                <c:pt idx="26" formatCode="0.000">
                  <c:v>1.0649999999999999</c:v>
                </c:pt>
                <c:pt idx="27" formatCode="0.000">
                  <c:v>1.1499999999999999</c:v>
                </c:pt>
                <c:pt idx="28" formatCode="0.000">
                  <c:v>1.24</c:v>
                </c:pt>
                <c:pt idx="29" formatCode="0.000">
                  <c:v>1.32</c:v>
                </c:pt>
                <c:pt idx="30" formatCode="0.000">
                  <c:v>1.4</c:v>
                </c:pt>
                <c:pt idx="31" formatCode="0.000">
                  <c:v>1.48</c:v>
                </c:pt>
                <c:pt idx="32" formatCode="0.000">
                  <c:v>1.52</c:v>
                </c:pt>
                <c:pt idx="33" formatCode="0.000">
                  <c:v>1.6</c:v>
                </c:pt>
                <c:pt idx="34" formatCode="0.000">
                  <c:v>1.68</c:v>
                </c:pt>
                <c:pt idx="35" formatCode="0.000">
                  <c:v>1.55</c:v>
                </c:pt>
                <c:pt idx="36" formatCode="0.000">
                  <c:v>1.47</c:v>
                </c:pt>
              </c:numCache>
            </c:numRef>
          </c:yVal>
          <c:smooth val="1"/>
          <c:extLst>
            <c:ext xmlns:c16="http://schemas.microsoft.com/office/drawing/2014/chart" uri="{C3380CC4-5D6E-409C-BE32-E72D297353CC}">
              <c16:uniqueId val="{00000000-6944-4287-B180-5EA9BE7D654C}"/>
            </c:ext>
          </c:extLst>
        </c:ser>
        <c:ser>
          <c:idx val="1"/>
          <c:order val="1"/>
          <c:tx>
            <c:strRef>
              <c:f>Hoja1!$P$46</c:f>
              <c:strCache>
                <c:ptCount val="1"/>
                <c:pt idx="0">
                  <c:v>XFOIL     Re=8.9E6</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Hoja1!$O$60:$O$96</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Hoja1!$P$60:$P$96</c:f>
              <c:numCache>
                <c:formatCode>General</c:formatCode>
                <c:ptCount val="37"/>
                <c:pt idx="0">
                  <c:v>-1.6694</c:v>
                </c:pt>
                <c:pt idx="1">
                  <c:v>-1.595</c:v>
                </c:pt>
                <c:pt idx="2">
                  <c:v>-1.5107999999999999</c:v>
                </c:pt>
                <c:pt idx="3">
                  <c:v>-1.4298</c:v>
                </c:pt>
                <c:pt idx="4">
                  <c:v>-1.3169999999999999</c:v>
                </c:pt>
                <c:pt idx="5">
                  <c:v>-1.2034</c:v>
                </c:pt>
                <c:pt idx="6">
                  <c:v>-1.0994999999999999</c:v>
                </c:pt>
                <c:pt idx="7">
                  <c:v>-0.99590000000000001</c:v>
                </c:pt>
                <c:pt idx="8">
                  <c:v>-0.88880000000000003</c:v>
                </c:pt>
                <c:pt idx="9">
                  <c:v>-0.77910000000000001</c:v>
                </c:pt>
                <c:pt idx="10">
                  <c:v>-0.66749999999999998</c:v>
                </c:pt>
                <c:pt idx="11">
                  <c:v>-0.55510000000000004</c:v>
                </c:pt>
                <c:pt idx="12">
                  <c:v>-0.44190000000000002</c:v>
                </c:pt>
                <c:pt idx="13">
                  <c:v>-0.32829999999999998</c:v>
                </c:pt>
                <c:pt idx="14">
                  <c:v>-0.2142</c:v>
                </c:pt>
                <c:pt idx="15">
                  <c:v>-0.1</c:v>
                </c:pt>
                <c:pt idx="16">
                  <c:v>1.4500000000000001E-2</c:v>
                </c:pt>
                <c:pt idx="17">
                  <c:v>0.1293</c:v>
                </c:pt>
                <c:pt idx="18">
                  <c:v>0.24399999999999999</c:v>
                </c:pt>
                <c:pt idx="19">
                  <c:v>0.35830000000000001</c:v>
                </c:pt>
                <c:pt idx="20">
                  <c:v>0.4708</c:v>
                </c:pt>
                <c:pt idx="21">
                  <c:v>0.58179999999999998</c:v>
                </c:pt>
                <c:pt idx="22">
                  <c:v>0.69179999999999997</c:v>
                </c:pt>
                <c:pt idx="23">
                  <c:v>0.79990000000000006</c:v>
                </c:pt>
                <c:pt idx="24">
                  <c:v>0.90249999999999997</c:v>
                </c:pt>
                <c:pt idx="25">
                  <c:v>1.0226</c:v>
                </c:pt>
                <c:pt idx="26">
                  <c:v>1.1258999999999999</c:v>
                </c:pt>
                <c:pt idx="27">
                  <c:v>1.2302</c:v>
                </c:pt>
                <c:pt idx="28">
                  <c:v>1.3328</c:v>
                </c:pt>
                <c:pt idx="29">
                  <c:v>1.4329000000000001</c:v>
                </c:pt>
                <c:pt idx="30">
                  <c:v>1.5287999999999999</c:v>
                </c:pt>
                <c:pt idx="31">
                  <c:v>1.6197999999999999</c:v>
                </c:pt>
                <c:pt idx="32">
                  <c:v>1.7029000000000001</c:v>
                </c:pt>
                <c:pt idx="33">
                  <c:v>1.7678</c:v>
                </c:pt>
                <c:pt idx="34">
                  <c:v>1.8239000000000001</c:v>
                </c:pt>
                <c:pt idx="35">
                  <c:v>1.8714</c:v>
                </c:pt>
                <c:pt idx="36">
                  <c:v>1.9080999999999999</c:v>
                </c:pt>
              </c:numCache>
            </c:numRef>
          </c:yVal>
          <c:smooth val="1"/>
          <c:extLst>
            <c:ext xmlns:c16="http://schemas.microsoft.com/office/drawing/2014/chart" uri="{C3380CC4-5D6E-409C-BE32-E72D297353CC}">
              <c16:uniqueId val="{00000001-6944-4287-B180-5EA9BE7D654C}"/>
            </c:ext>
          </c:extLst>
        </c:ser>
        <c:ser>
          <c:idx val="2"/>
          <c:order val="2"/>
          <c:tx>
            <c:strRef>
              <c:f>Hoja1!$O$104</c:f>
              <c:strCache>
                <c:ptCount val="1"/>
                <c:pt idx="0">
                  <c:v>RFOIL     Re=8.9E6</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Hoja1!$O$117:$O$153</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Hoja1!$P$118:$P$153</c:f>
              <c:numCache>
                <c:formatCode>General</c:formatCode>
                <c:ptCount val="36"/>
                <c:pt idx="4">
                  <c:v>-1.1981999999999999</c:v>
                </c:pt>
                <c:pt idx="5">
                  <c:v>-1.0942000000000001</c:v>
                </c:pt>
                <c:pt idx="6">
                  <c:v>-0.99129999999999996</c:v>
                </c:pt>
                <c:pt idx="7">
                  <c:v>-0.88419999999999999</c:v>
                </c:pt>
                <c:pt idx="8">
                  <c:v>-0.77449999999999997</c:v>
                </c:pt>
                <c:pt idx="9">
                  <c:v>-0.66349999999999998</c:v>
                </c:pt>
                <c:pt idx="10">
                  <c:v>-0.5514</c:v>
                </c:pt>
                <c:pt idx="11">
                  <c:v>-0.43840000000000001</c:v>
                </c:pt>
                <c:pt idx="12">
                  <c:v>-0.32490000000000002</c:v>
                </c:pt>
                <c:pt idx="13">
                  <c:v>-0.21099999999999999</c:v>
                </c:pt>
                <c:pt idx="14">
                  <c:v>-9.69E-2</c:v>
                </c:pt>
                <c:pt idx="15">
                  <c:v>1.7600000000000001E-2</c:v>
                </c:pt>
                <c:pt idx="16">
                  <c:v>0.13220000000000001</c:v>
                </c:pt>
                <c:pt idx="17">
                  <c:v>0.2467</c:v>
                </c:pt>
                <c:pt idx="18">
                  <c:v>0.36020000000000002</c:v>
                </c:pt>
                <c:pt idx="19">
                  <c:v>0.47210000000000002</c:v>
                </c:pt>
                <c:pt idx="20">
                  <c:v>0.58199999999999996</c:v>
                </c:pt>
                <c:pt idx="21">
                  <c:v>0.69169999999999998</c:v>
                </c:pt>
                <c:pt idx="22">
                  <c:v>0.80010000000000003</c:v>
                </c:pt>
                <c:pt idx="23">
                  <c:v>0.90580000000000005</c:v>
                </c:pt>
                <c:pt idx="24">
                  <c:v>1.0184</c:v>
                </c:pt>
                <c:pt idx="25">
                  <c:v>1.1238999999999999</c:v>
                </c:pt>
                <c:pt idx="26">
                  <c:v>1.2276</c:v>
                </c:pt>
                <c:pt idx="27">
                  <c:v>1.3289</c:v>
                </c:pt>
                <c:pt idx="28">
                  <c:v>1.4267000000000001</c:v>
                </c:pt>
                <c:pt idx="29">
                  <c:v>1.5201</c:v>
                </c:pt>
                <c:pt idx="30">
                  <c:v>1.6060000000000001</c:v>
                </c:pt>
                <c:pt idx="31">
                  <c:v>1.6700999999999999</c:v>
                </c:pt>
                <c:pt idx="32">
                  <c:v>1.7276</c:v>
                </c:pt>
                <c:pt idx="33">
                  <c:v>1.768</c:v>
                </c:pt>
                <c:pt idx="34">
                  <c:v>1.7871999999999999</c:v>
                </c:pt>
                <c:pt idx="35">
                  <c:v>1.7865</c:v>
                </c:pt>
              </c:numCache>
            </c:numRef>
          </c:yVal>
          <c:smooth val="1"/>
          <c:extLst>
            <c:ext xmlns:c16="http://schemas.microsoft.com/office/drawing/2014/chart" uri="{C3380CC4-5D6E-409C-BE32-E72D297353CC}">
              <c16:uniqueId val="{00000002-6944-4287-B180-5EA9BE7D654C}"/>
            </c:ext>
          </c:extLst>
        </c:ser>
        <c:dLbls>
          <c:showLegendKey val="0"/>
          <c:showVal val="0"/>
          <c:showCatName val="0"/>
          <c:showSerName val="0"/>
          <c:showPercent val="0"/>
          <c:showBubbleSize val="0"/>
        </c:dLbls>
        <c:axId val="549837328"/>
        <c:axId val="549824848"/>
      </c:scatterChart>
      <c:valAx>
        <c:axId val="549837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Alpha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9824848"/>
        <c:crosses val="autoZero"/>
        <c:crossBetween val="midCat"/>
      </c:valAx>
      <c:valAx>
        <c:axId val="549824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98373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a:t>
            </a:r>
            <a:r>
              <a:rPr lang="en-US" baseline="0"/>
              <a:t> vs Cl     Re = 3.1e6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Hoja1!$A$4</c:f>
              <c:strCache>
                <c:ptCount val="1"/>
                <c:pt idx="0">
                  <c:v>Report 824     Re=3.1E6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Hoja1!$B$16:$B$42</c:f>
              <c:numCache>
                <c:formatCode>0.000</c:formatCode>
                <c:ptCount val="27"/>
                <c:pt idx="0">
                  <c:v>-0.6</c:v>
                </c:pt>
                <c:pt idx="1">
                  <c:v>-0.5</c:v>
                </c:pt>
                <c:pt idx="2">
                  <c:v>-0.4</c:v>
                </c:pt>
                <c:pt idx="3">
                  <c:v>-0.3</c:v>
                </c:pt>
                <c:pt idx="4">
                  <c:v>-0.2</c:v>
                </c:pt>
                <c:pt idx="5">
                  <c:v>-0.1</c:v>
                </c:pt>
                <c:pt idx="6">
                  <c:v>0</c:v>
                </c:pt>
                <c:pt idx="7">
                  <c:v>0.12</c:v>
                </c:pt>
                <c:pt idx="8">
                  <c:v>0.23</c:v>
                </c:pt>
                <c:pt idx="9">
                  <c:v>0.35</c:v>
                </c:pt>
                <c:pt idx="10">
                  <c:v>0.44</c:v>
                </c:pt>
                <c:pt idx="11">
                  <c:v>0.55000000000000004</c:v>
                </c:pt>
                <c:pt idx="12">
                  <c:v>0.65</c:v>
                </c:pt>
                <c:pt idx="13">
                  <c:v>0.75</c:v>
                </c:pt>
                <c:pt idx="14">
                  <c:v>0.86</c:v>
                </c:pt>
                <c:pt idx="15">
                  <c:v>0.96</c:v>
                </c:pt>
                <c:pt idx="16">
                  <c:v>1.0649999999999999</c:v>
                </c:pt>
                <c:pt idx="17">
                  <c:v>1.1499999999999999</c:v>
                </c:pt>
                <c:pt idx="18">
                  <c:v>1.24</c:v>
                </c:pt>
                <c:pt idx="19">
                  <c:v>1.32</c:v>
                </c:pt>
                <c:pt idx="20">
                  <c:v>1.4</c:v>
                </c:pt>
                <c:pt idx="21">
                  <c:v>1.4750000000000001</c:v>
                </c:pt>
                <c:pt idx="22">
                  <c:v>1.52</c:v>
                </c:pt>
                <c:pt idx="23">
                  <c:v>1.58</c:v>
                </c:pt>
                <c:pt idx="24">
                  <c:v>1.55</c:v>
                </c:pt>
                <c:pt idx="25">
                  <c:v>1.39</c:v>
                </c:pt>
                <c:pt idx="26">
                  <c:v>1.24</c:v>
                </c:pt>
              </c:numCache>
            </c:numRef>
          </c:xVal>
          <c:yVal>
            <c:numRef>
              <c:f>Hoja1!$C$16:$C$37</c:f>
              <c:numCache>
                <c:formatCode>General</c:formatCode>
                <c:ptCount val="22"/>
                <c:pt idx="0">
                  <c:v>9.7999999999999997E-3</c:v>
                </c:pt>
                <c:pt idx="1">
                  <c:v>8.8999999999999999E-3</c:v>
                </c:pt>
                <c:pt idx="2" formatCode="0.0000">
                  <c:v>8.0000000000000002E-3</c:v>
                </c:pt>
                <c:pt idx="3">
                  <c:v>7.7999999999999996E-3</c:v>
                </c:pt>
                <c:pt idx="4">
                  <c:v>7.4999999999999997E-3</c:v>
                </c:pt>
                <c:pt idx="5">
                  <c:v>7.1999999999999998E-3</c:v>
                </c:pt>
                <c:pt idx="6" formatCode="0.0000">
                  <c:v>7.0000000000000001E-3</c:v>
                </c:pt>
                <c:pt idx="7">
                  <c:v>6.7999999999999996E-3</c:v>
                </c:pt>
                <c:pt idx="8">
                  <c:v>6.6E-3</c:v>
                </c:pt>
                <c:pt idx="9">
                  <c:v>6.6E-3</c:v>
                </c:pt>
                <c:pt idx="10" formatCode="0.0000">
                  <c:v>6.4999999999999997E-3</c:v>
                </c:pt>
                <c:pt idx="11">
                  <c:v>6.6E-3</c:v>
                </c:pt>
                <c:pt idx="12">
                  <c:v>6.7999999999999996E-3</c:v>
                </c:pt>
                <c:pt idx="13">
                  <c:v>7.6E-3</c:v>
                </c:pt>
                <c:pt idx="14" formatCode="0.0000">
                  <c:v>9.1000000000000004E-3</c:v>
                </c:pt>
                <c:pt idx="15">
                  <c:v>1.0500000000000001E-2</c:v>
                </c:pt>
                <c:pt idx="16">
                  <c:v>1.15E-2</c:v>
                </c:pt>
                <c:pt idx="17">
                  <c:v>1.26E-2</c:v>
                </c:pt>
                <c:pt idx="18" formatCode="0.0000">
                  <c:v>1.3599999999999999E-2</c:v>
                </c:pt>
                <c:pt idx="19" formatCode="0.0000">
                  <c:v>1.4999999999999999E-2</c:v>
                </c:pt>
                <c:pt idx="20">
                  <c:v>1.72E-2</c:v>
                </c:pt>
                <c:pt idx="21" formatCode="0.0000">
                  <c:v>2.1000000000000001E-2</c:v>
                </c:pt>
              </c:numCache>
            </c:numRef>
          </c:yVal>
          <c:smooth val="1"/>
          <c:extLst>
            <c:ext xmlns:c16="http://schemas.microsoft.com/office/drawing/2014/chart" uri="{C3380CC4-5D6E-409C-BE32-E72D297353CC}">
              <c16:uniqueId val="{00000000-6499-4F21-83E2-6BD36A1A2439}"/>
            </c:ext>
          </c:extLst>
        </c:ser>
        <c:ser>
          <c:idx val="1"/>
          <c:order val="1"/>
          <c:tx>
            <c:strRef>
              <c:f>Hoja1!$A$46</c:f>
              <c:strCache>
                <c:ptCount val="1"/>
                <c:pt idx="0">
                  <c:v>XFOIL     Re=3.1E6</c:v>
                </c:pt>
              </c:strCache>
            </c:strRef>
          </c:tx>
          <c:spPr>
            <a:ln w="19050" cap="rnd">
              <a:solidFill>
                <a:schemeClr val="accent2"/>
              </a:solidFill>
              <a:round/>
            </a:ln>
            <a:effectLst/>
          </c:spPr>
          <c:marker>
            <c:symbol val="square"/>
            <c:size val="4"/>
            <c:spPr>
              <a:solidFill>
                <a:schemeClr val="accent2"/>
              </a:solidFill>
              <a:ln w="9525">
                <a:solidFill>
                  <a:schemeClr val="accent2"/>
                </a:solidFill>
              </a:ln>
              <a:effectLst/>
            </c:spPr>
          </c:marker>
          <c:xVal>
            <c:numRef>
              <c:f>Hoja1!$B$60:$B$96</c:f>
              <c:numCache>
                <c:formatCode>General</c:formatCode>
                <c:ptCount val="37"/>
                <c:pt idx="0">
                  <c:v>-1.5113000000000001</c:v>
                </c:pt>
                <c:pt idx="1">
                  <c:v>-1.4985999999999999</c:v>
                </c:pt>
                <c:pt idx="2">
                  <c:v>-1.4491000000000001</c:v>
                </c:pt>
                <c:pt idx="3">
                  <c:v>-1.3787</c:v>
                </c:pt>
                <c:pt idx="4">
                  <c:v>-1.3049999999999999</c:v>
                </c:pt>
                <c:pt idx="5">
                  <c:v>-1.2225999999999999</c:v>
                </c:pt>
                <c:pt idx="6">
                  <c:v>-1.1036999999999999</c:v>
                </c:pt>
                <c:pt idx="7">
                  <c:v>-0.98140000000000005</c:v>
                </c:pt>
                <c:pt idx="8">
                  <c:v>-0.86250000000000004</c:v>
                </c:pt>
                <c:pt idx="9">
                  <c:v>-0.75760000000000005</c:v>
                </c:pt>
                <c:pt idx="10">
                  <c:v>-0.65190000000000003</c:v>
                </c:pt>
                <c:pt idx="11">
                  <c:v>-0.54259999999999997</c:v>
                </c:pt>
                <c:pt idx="12">
                  <c:v>-0.43180000000000002</c:v>
                </c:pt>
                <c:pt idx="13">
                  <c:v>-0.3201</c:v>
                </c:pt>
                <c:pt idx="14">
                  <c:v>-0.20799999999999999</c:v>
                </c:pt>
                <c:pt idx="15">
                  <c:v>-9.5600000000000004E-2</c:v>
                </c:pt>
                <c:pt idx="16">
                  <c:v>1.7000000000000001E-2</c:v>
                </c:pt>
                <c:pt idx="17">
                  <c:v>0.12959999999999999</c:v>
                </c:pt>
                <c:pt idx="18">
                  <c:v>0.2422</c:v>
                </c:pt>
                <c:pt idx="19">
                  <c:v>0.35370000000000001</c:v>
                </c:pt>
                <c:pt idx="20">
                  <c:v>0.46539999999999998</c:v>
                </c:pt>
                <c:pt idx="21">
                  <c:v>0.57379999999999998</c:v>
                </c:pt>
                <c:pt idx="22">
                  <c:v>0.67659999999999998</c:v>
                </c:pt>
                <c:pt idx="23">
                  <c:v>0.80369999999999997</c:v>
                </c:pt>
                <c:pt idx="24">
                  <c:v>0.9113</c:v>
                </c:pt>
                <c:pt idx="25">
                  <c:v>1.0085</c:v>
                </c:pt>
                <c:pt idx="26">
                  <c:v>1.1092</c:v>
                </c:pt>
                <c:pt idx="27">
                  <c:v>1.2092000000000001</c:v>
                </c:pt>
                <c:pt idx="28">
                  <c:v>1.3068</c:v>
                </c:pt>
                <c:pt idx="29">
                  <c:v>1.4005000000000001</c:v>
                </c:pt>
                <c:pt idx="30">
                  <c:v>1.4884999999999999</c:v>
                </c:pt>
                <c:pt idx="31">
                  <c:v>1.5649</c:v>
                </c:pt>
                <c:pt idx="32">
                  <c:v>1.6258999999999999</c:v>
                </c:pt>
                <c:pt idx="33">
                  <c:v>1.6782999999999999</c:v>
                </c:pt>
                <c:pt idx="34">
                  <c:v>1.7188000000000001</c:v>
                </c:pt>
                <c:pt idx="35">
                  <c:v>1.7518</c:v>
                </c:pt>
                <c:pt idx="36">
                  <c:v>1.7619</c:v>
                </c:pt>
              </c:numCache>
            </c:numRef>
          </c:xVal>
          <c:yVal>
            <c:numRef>
              <c:f>Hoja1!$C$60:$C$96</c:f>
              <c:numCache>
                <c:formatCode>General</c:formatCode>
                <c:ptCount val="37"/>
                <c:pt idx="0">
                  <c:v>3.1469999999999998E-2</c:v>
                </c:pt>
                <c:pt idx="1">
                  <c:v>2.462E-2</c:v>
                </c:pt>
                <c:pt idx="2">
                  <c:v>2.1340000000000001E-2</c:v>
                </c:pt>
                <c:pt idx="3">
                  <c:v>1.8589999999999999E-2</c:v>
                </c:pt>
                <c:pt idx="4">
                  <c:v>1.6590000000000001E-2</c:v>
                </c:pt>
                <c:pt idx="5">
                  <c:v>1.4749999999999999E-2</c:v>
                </c:pt>
                <c:pt idx="6">
                  <c:v>1.308E-2</c:v>
                </c:pt>
                <c:pt idx="7">
                  <c:v>1.162E-2</c:v>
                </c:pt>
                <c:pt idx="8">
                  <c:v>1.035E-2</c:v>
                </c:pt>
                <c:pt idx="9">
                  <c:v>9.3500000000000007E-3</c:v>
                </c:pt>
                <c:pt idx="10">
                  <c:v>8.5199999999999998E-3</c:v>
                </c:pt>
                <c:pt idx="11">
                  <c:v>7.8200000000000006E-3</c:v>
                </c:pt>
                <c:pt idx="12">
                  <c:v>7.2399999999999999E-3</c:v>
                </c:pt>
                <c:pt idx="13">
                  <c:v>6.7799999999999996E-3</c:v>
                </c:pt>
                <c:pt idx="14">
                  <c:v>6.3800000000000003E-3</c:v>
                </c:pt>
                <c:pt idx="15">
                  <c:v>6.0699999999999999E-3</c:v>
                </c:pt>
                <c:pt idx="16">
                  <c:v>5.8399999999999997E-3</c:v>
                </c:pt>
                <c:pt idx="17">
                  <c:v>5.6699999999999997E-3</c:v>
                </c:pt>
                <c:pt idx="18">
                  <c:v>5.4900000000000001E-3</c:v>
                </c:pt>
                <c:pt idx="19">
                  <c:v>5.2199999999999998E-3</c:v>
                </c:pt>
                <c:pt idx="20">
                  <c:v>5.11E-3</c:v>
                </c:pt>
                <c:pt idx="21">
                  <c:v>5.1900000000000002E-3</c:v>
                </c:pt>
                <c:pt idx="22">
                  <c:v>5.7099999999999998E-3</c:v>
                </c:pt>
                <c:pt idx="23">
                  <c:v>6.7600000000000004E-3</c:v>
                </c:pt>
                <c:pt idx="24">
                  <c:v>7.9000000000000008E-3</c:v>
                </c:pt>
                <c:pt idx="25">
                  <c:v>8.94E-3</c:v>
                </c:pt>
                <c:pt idx="26">
                  <c:v>9.9699999999999997E-3</c:v>
                </c:pt>
                <c:pt idx="27">
                  <c:v>1.1050000000000001E-2</c:v>
                </c:pt>
                <c:pt idx="28">
                  <c:v>1.221E-2</c:v>
                </c:pt>
                <c:pt idx="29">
                  <c:v>1.3509999999999999E-2</c:v>
                </c:pt>
                <c:pt idx="30">
                  <c:v>1.4970000000000001E-2</c:v>
                </c:pt>
                <c:pt idx="31">
                  <c:v>1.6650000000000002E-2</c:v>
                </c:pt>
                <c:pt idx="32">
                  <c:v>1.8769999999999998E-2</c:v>
                </c:pt>
                <c:pt idx="33">
                  <c:v>2.1669999999999998E-2</c:v>
                </c:pt>
                <c:pt idx="34">
                  <c:v>2.5860000000000001E-2</c:v>
                </c:pt>
                <c:pt idx="35">
                  <c:v>3.141E-2</c:v>
                </c:pt>
                <c:pt idx="36">
                  <c:v>4.0070000000000001E-2</c:v>
                </c:pt>
              </c:numCache>
            </c:numRef>
          </c:yVal>
          <c:smooth val="1"/>
          <c:extLst>
            <c:ext xmlns:c16="http://schemas.microsoft.com/office/drawing/2014/chart" uri="{C3380CC4-5D6E-409C-BE32-E72D297353CC}">
              <c16:uniqueId val="{00000001-6499-4F21-83E2-6BD36A1A2439}"/>
            </c:ext>
          </c:extLst>
        </c:ser>
        <c:ser>
          <c:idx val="2"/>
          <c:order val="2"/>
          <c:tx>
            <c:strRef>
              <c:f>Hoja1!$A$104</c:f>
              <c:strCache>
                <c:ptCount val="1"/>
                <c:pt idx="0">
                  <c:v>RFOIL     Re=3.1E6</c:v>
                </c:pt>
              </c:strCache>
            </c:strRef>
          </c:tx>
          <c:spPr>
            <a:ln w="19050" cap="rnd">
              <a:solidFill>
                <a:schemeClr val="accent3"/>
              </a:solidFill>
              <a:round/>
            </a:ln>
            <a:effectLst/>
          </c:spPr>
          <c:marker>
            <c:symbol val="diamond"/>
            <c:size val="4"/>
            <c:spPr>
              <a:solidFill>
                <a:schemeClr val="accent3"/>
              </a:solidFill>
              <a:ln w="9525">
                <a:solidFill>
                  <a:schemeClr val="accent3"/>
                </a:solidFill>
              </a:ln>
              <a:effectLst/>
            </c:spPr>
          </c:marker>
          <c:xVal>
            <c:numRef>
              <c:f>Hoja1!$B$123:$B$154</c:f>
              <c:numCache>
                <c:formatCode>General</c:formatCode>
                <c:ptCount val="32"/>
                <c:pt idx="0">
                  <c:v>-1.2118</c:v>
                </c:pt>
                <c:pt idx="1">
                  <c:v>-1.0945</c:v>
                </c:pt>
                <c:pt idx="2">
                  <c:v>-0.97509999999999997</c:v>
                </c:pt>
                <c:pt idx="3">
                  <c:v>-0.85880000000000001</c:v>
                </c:pt>
                <c:pt idx="4">
                  <c:v>-0.75480000000000003</c:v>
                </c:pt>
                <c:pt idx="5">
                  <c:v>-0.64810000000000001</c:v>
                </c:pt>
                <c:pt idx="6">
                  <c:v>-0.53890000000000005</c:v>
                </c:pt>
                <c:pt idx="7">
                  <c:v>-0.42820000000000003</c:v>
                </c:pt>
                <c:pt idx="8">
                  <c:v>-0.31669999999999998</c:v>
                </c:pt>
                <c:pt idx="9">
                  <c:v>-0.20480000000000001</c:v>
                </c:pt>
                <c:pt idx="10">
                  <c:v>-9.2600000000000002E-2</c:v>
                </c:pt>
                <c:pt idx="11">
                  <c:v>1.9800000000000002E-2</c:v>
                </c:pt>
                <c:pt idx="12">
                  <c:v>0.13239999999999999</c:v>
                </c:pt>
                <c:pt idx="13">
                  <c:v>0.24490000000000001</c:v>
                </c:pt>
                <c:pt idx="14">
                  <c:v>0.35680000000000001</c:v>
                </c:pt>
                <c:pt idx="15">
                  <c:v>0.4677</c:v>
                </c:pt>
                <c:pt idx="16">
                  <c:v>0.57579999999999998</c:v>
                </c:pt>
                <c:pt idx="17">
                  <c:v>0.67720000000000002</c:v>
                </c:pt>
                <c:pt idx="18">
                  <c:v>0.79390000000000005</c:v>
                </c:pt>
                <c:pt idx="19">
                  <c:v>0.90449999999999997</c:v>
                </c:pt>
                <c:pt idx="20">
                  <c:v>1.0039</c:v>
                </c:pt>
                <c:pt idx="21">
                  <c:v>1.1047</c:v>
                </c:pt>
                <c:pt idx="22">
                  <c:v>1.2037</c:v>
                </c:pt>
                <c:pt idx="23">
                  <c:v>1.2988999999999999</c:v>
                </c:pt>
                <c:pt idx="24">
                  <c:v>1.3886000000000001</c:v>
                </c:pt>
                <c:pt idx="25">
                  <c:v>1.4653</c:v>
                </c:pt>
                <c:pt idx="26">
                  <c:v>1.5290999999999999</c:v>
                </c:pt>
                <c:pt idx="27">
                  <c:v>1.5798000000000001</c:v>
                </c:pt>
                <c:pt idx="28">
                  <c:v>1.6128</c:v>
                </c:pt>
                <c:pt idx="29">
                  <c:v>1.6238999999999999</c:v>
                </c:pt>
                <c:pt idx="30">
                  <c:v>1.607</c:v>
                </c:pt>
                <c:pt idx="31">
                  <c:v>1.5411999999999999</c:v>
                </c:pt>
              </c:numCache>
            </c:numRef>
          </c:xVal>
          <c:yVal>
            <c:numRef>
              <c:f>Hoja1!$C$123:$C$154</c:f>
              <c:numCache>
                <c:formatCode>General</c:formatCode>
                <c:ptCount val="32"/>
                <c:pt idx="0">
                  <c:v>1.448E-2</c:v>
                </c:pt>
                <c:pt idx="1">
                  <c:v>1.299E-2</c:v>
                </c:pt>
                <c:pt idx="2">
                  <c:v>1.1350000000000001E-2</c:v>
                </c:pt>
                <c:pt idx="3">
                  <c:v>1.0120000000000001E-2</c:v>
                </c:pt>
                <c:pt idx="4">
                  <c:v>9.1500000000000001E-3</c:v>
                </c:pt>
                <c:pt idx="5">
                  <c:v>8.3499999999999998E-3</c:v>
                </c:pt>
                <c:pt idx="6">
                  <c:v>7.6899999999999998E-3</c:v>
                </c:pt>
                <c:pt idx="7">
                  <c:v>7.1599999999999997E-3</c:v>
                </c:pt>
                <c:pt idx="8">
                  <c:v>6.7200000000000003E-3</c:v>
                </c:pt>
                <c:pt idx="9">
                  <c:v>6.3899999999999998E-3</c:v>
                </c:pt>
                <c:pt idx="10">
                  <c:v>6.1399999999999996E-3</c:v>
                </c:pt>
                <c:pt idx="11">
                  <c:v>5.9300000000000004E-3</c:v>
                </c:pt>
                <c:pt idx="12">
                  <c:v>5.79E-3</c:v>
                </c:pt>
                <c:pt idx="13">
                  <c:v>5.6800000000000002E-3</c:v>
                </c:pt>
                <c:pt idx="14">
                  <c:v>5.4999999999999997E-3</c:v>
                </c:pt>
                <c:pt idx="15">
                  <c:v>5.4400000000000004E-3</c:v>
                </c:pt>
                <c:pt idx="16">
                  <c:v>5.6299999999999996E-3</c:v>
                </c:pt>
                <c:pt idx="17">
                  <c:v>6.11E-3</c:v>
                </c:pt>
                <c:pt idx="18">
                  <c:v>7.1399999999999996E-3</c:v>
                </c:pt>
                <c:pt idx="19">
                  <c:v>8.1899999999999994E-3</c:v>
                </c:pt>
                <c:pt idx="20">
                  <c:v>9.1400000000000006E-3</c:v>
                </c:pt>
                <c:pt idx="21">
                  <c:v>1.01E-2</c:v>
                </c:pt>
                <c:pt idx="22">
                  <c:v>1.1129999999999999E-2</c:v>
                </c:pt>
                <c:pt idx="23">
                  <c:v>1.2319999999999999E-2</c:v>
                </c:pt>
                <c:pt idx="24">
                  <c:v>1.366E-2</c:v>
                </c:pt>
                <c:pt idx="25">
                  <c:v>1.523E-2</c:v>
                </c:pt>
                <c:pt idx="26">
                  <c:v>1.7100000000000001E-2</c:v>
                </c:pt>
                <c:pt idx="27">
                  <c:v>1.9789999999999999E-2</c:v>
                </c:pt>
                <c:pt idx="28">
                  <c:v>2.3910000000000001E-2</c:v>
                </c:pt>
                <c:pt idx="29">
                  <c:v>3.048E-2</c:v>
                </c:pt>
                <c:pt idx="30">
                  <c:v>4.0939999999999997E-2</c:v>
                </c:pt>
                <c:pt idx="31">
                  <c:v>5.8540000000000002E-2</c:v>
                </c:pt>
              </c:numCache>
            </c:numRef>
          </c:yVal>
          <c:smooth val="1"/>
          <c:extLst>
            <c:ext xmlns:c16="http://schemas.microsoft.com/office/drawing/2014/chart" uri="{C3380CC4-5D6E-409C-BE32-E72D297353CC}">
              <c16:uniqueId val="{00000002-6499-4F21-83E2-6BD36A1A2439}"/>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a:t>
            </a:r>
            <a:r>
              <a:rPr lang="en-US" baseline="0"/>
              <a:t> vs Cl     Re = 5.7e6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Hoja1!$F$4</c:f>
              <c:strCache>
                <c:ptCount val="1"/>
                <c:pt idx="0">
                  <c:v>Report 824     Re=5.7E6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Hoja1!$G$11:$G$39</c:f>
              <c:numCache>
                <c:formatCode>0.000</c:formatCode>
                <c:ptCount val="29"/>
                <c:pt idx="0" formatCode="General">
                  <c:v>-1.04</c:v>
                </c:pt>
                <c:pt idx="1">
                  <c:v>-0.98</c:v>
                </c:pt>
                <c:pt idx="2">
                  <c:v>-0.9</c:v>
                </c:pt>
                <c:pt idx="3">
                  <c:v>-0.8</c:v>
                </c:pt>
                <c:pt idx="4">
                  <c:v>-0.7</c:v>
                </c:pt>
                <c:pt idx="5">
                  <c:v>-0.6</c:v>
                </c:pt>
                <c:pt idx="6">
                  <c:v>-0.5</c:v>
                </c:pt>
                <c:pt idx="7">
                  <c:v>-0.4</c:v>
                </c:pt>
                <c:pt idx="8">
                  <c:v>-0.3</c:v>
                </c:pt>
                <c:pt idx="9">
                  <c:v>-0.2</c:v>
                </c:pt>
                <c:pt idx="10">
                  <c:v>-0.1</c:v>
                </c:pt>
                <c:pt idx="11">
                  <c:v>0</c:v>
                </c:pt>
                <c:pt idx="12">
                  <c:v>0.12</c:v>
                </c:pt>
                <c:pt idx="13">
                  <c:v>0.24</c:v>
                </c:pt>
                <c:pt idx="14">
                  <c:v>0.35</c:v>
                </c:pt>
                <c:pt idx="15">
                  <c:v>0.44</c:v>
                </c:pt>
                <c:pt idx="16">
                  <c:v>0.55000000000000004</c:v>
                </c:pt>
                <c:pt idx="17">
                  <c:v>0.65</c:v>
                </c:pt>
                <c:pt idx="18">
                  <c:v>0.75</c:v>
                </c:pt>
                <c:pt idx="19">
                  <c:v>0.86</c:v>
                </c:pt>
                <c:pt idx="20">
                  <c:v>0.96</c:v>
                </c:pt>
                <c:pt idx="21">
                  <c:v>1.0649999999999999</c:v>
                </c:pt>
                <c:pt idx="22">
                  <c:v>1.1499999999999999</c:v>
                </c:pt>
                <c:pt idx="23">
                  <c:v>1.24</c:v>
                </c:pt>
                <c:pt idx="24">
                  <c:v>1.32</c:v>
                </c:pt>
                <c:pt idx="25">
                  <c:v>1.4</c:v>
                </c:pt>
                <c:pt idx="26">
                  <c:v>1.48</c:v>
                </c:pt>
                <c:pt idx="27">
                  <c:v>1.52</c:v>
                </c:pt>
                <c:pt idx="28">
                  <c:v>1.6</c:v>
                </c:pt>
              </c:numCache>
            </c:numRef>
          </c:xVal>
          <c:yVal>
            <c:numRef>
              <c:f>Hoja1!$H$11:$H$39</c:f>
              <c:numCache>
                <c:formatCode>0.0000</c:formatCode>
                <c:ptCount val="29"/>
                <c:pt idx="0">
                  <c:v>1.26E-2</c:v>
                </c:pt>
                <c:pt idx="1">
                  <c:v>1.2E-2</c:v>
                </c:pt>
                <c:pt idx="2">
                  <c:v>1.0699999999999999E-2</c:v>
                </c:pt>
                <c:pt idx="3">
                  <c:v>9.4999999999999998E-3</c:v>
                </c:pt>
                <c:pt idx="4">
                  <c:v>8.8000000000000005E-3</c:v>
                </c:pt>
                <c:pt idx="5">
                  <c:v>8.0000000000000002E-3</c:v>
                </c:pt>
                <c:pt idx="6">
                  <c:v>7.6E-3</c:v>
                </c:pt>
                <c:pt idx="7">
                  <c:v>7.1999999999999998E-3</c:v>
                </c:pt>
                <c:pt idx="8">
                  <c:v>7.0000000000000001E-3</c:v>
                </c:pt>
                <c:pt idx="9">
                  <c:v>6.7999999999999996E-3</c:v>
                </c:pt>
                <c:pt idx="10">
                  <c:v>6.7000000000000002E-3</c:v>
                </c:pt>
                <c:pt idx="11">
                  <c:v>6.6E-3</c:v>
                </c:pt>
                <c:pt idx="12">
                  <c:v>6.4999999999999997E-3</c:v>
                </c:pt>
                <c:pt idx="13">
                  <c:v>6.4999999999999997E-3</c:v>
                </c:pt>
                <c:pt idx="14">
                  <c:v>6.1000000000000004E-3</c:v>
                </c:pt>
                <c:pt idx="15">
                  <c:v>6.1999999999999998E-3</c:v>
                </c:pt>
                <c:pt idx="16">
                  <c:v>6.7999999999999996E-3</c:v>
                </c:pt>
                <c:pt idx="17">
                  <c:v>7.3000000000000001E-3</c:v>
                </c:pt>
                <c:pt idx="18">
                  <c:v>7.6E-3</c:v>
                </c:pt>
                <c:pt idx="19">
                  <c:v>7.7999999999999996E-3</c:v>
                </c:pt>
                <c:pt idx="20">
                  <c:v>8.6E-3</c:v>
                </c:pt>
                <c:pt idx="21">
                  <c:v>9.7999999999999997E-3</c:v>
                </c:pt>
                <c:pt idx="22">
                  <c:v>1.0699999999999999E-2</c:v>
                </c:pt>
                <c:pt idx="23">
                  <c:v>1.18E-2</c:v>
                </c:pt>
                <c:pt idx="24">
                  <c:v>1.3100000000000001E-2</c:v>
                </c:pt>
                <c:pt idx="25">
                  <c:v>1.4800000000000001E-2</c:v>
                </c:pt>
                <c:pt idx="26">
                  <c:v>1.6500000000000001E-2</c:v>
                </c:pt>
                <c:pt idx="27">
                  <c:v>1.72E-2</c:v>
                </c:pt>
                <c:pt idx="28">
                  <c:v>1.8599999999999998E-2</c:v>
                </c:pt>
              </c:numCache>
            </c:numRef>
          </c:yVal>
          <c:smooth val="1"/>
          <c:extLst>
            <c:ext xmlns:c16="http://schemas.microsoft.com/office/drawing/2014/chart" uri="{C3380CC4-5D6E-409C-BE32-E72D297353CC}">
              <c16:uniqueId val="{00000000-5D8A-49BE-A428-8D1EED4AE6BC}"/>
            </c:ext>
          </c:extLst>
        </c:ser>
        <c:ser>
          <c:idx val="1"/>
          <c:order val="1"/>
          <c:tx>
            <c:strRef>
              <c:f>Hoja1!$H$46</c:f>
              <c:strCache>
                <c:ptCount val="1"/>
                <c:pt idx="0">
                  <c:v>XFOIL     Re=5.7E6</c:v>
                </c:pt>
              </c:strCache>
            </c:strRef>
          </c:tx>
          <c:spPr>
            <a:ln w="19050" cap="rnd">
              <a:solidFill>
                <a:schemeClr val="accent2"/>
              </a:solidFill>
              <a:round/>
            </a:ln>
            <a:effectLst/>
          </c:spPr>
          <c:marker>
            <c:symbol val="square"/>
            <c:size val="4"/>
            <c:spPr>
              <a:solidFill>
                <a:schemeClr val="accent2"/>
              </a:solidFill>
              <a:ln w="9525">
                <a:solidFill>
                  <a:schemeClr val="accent2"/>
                </a:solidFill>
              </a:ln>
              <a:effectLst/>
            </c:spPr>
          </c:marker>
          <c:xVal>
            <c:numRef>
              <c:f>Hoja1!$I$60:$I$96</c:f>
              <c:numCache>
                <c:formatCode>General</c:formatCode>
                <c:ptCount val="37"/>
                <c:pt idx="0">
                  <c:v>-1.6155999999999999</c:v>
                </c:pt>
                <c:pt idx="1">
                  <c:v>-1.5685</c:v>
                </c:pt>
                <c:pt idx="2">
                  <c:v>-1.4917</c:v>
                </c:pt>
                <c:pt idx="3">
                  <c:v>-1.4120999999999999</c:v>
                </c:pt>
                <c:pt idx="4">
                  <c:v>-1.3232999999999999</c:v>
                </c:pt>
                <c:pt idx="5">
                  <c:v>-1.2078</c:v>
                </c:pt>
                <c:pt idx="6">
                  <c:v>-1.0899000000000001</c:v>
                </c:pt>
                <c:pt idx="7">
                  <c:v>-0.98280000000000001</c:v>
                </c:pt>
                <c:pt idx="8">
                  <c:v>-0.87939999999999996</c:v>
                </c:pt>
                <c:pt idx="9">
                  <c:v>-0.77239999999999998</c:v>
                </c:pt>
                <c:pt idx="10">
                  <c:v>-0.66220000000000001</c:v>
                </c:pt>
                <c:pt idx="11">
                  <c:v>-0.55059999999999998</c:v>
                </c:pt>
                <c:pt idx="12">
                  <c:v>-0.43830000000000002</c:v>
                </c:pt>
                <c:pt idx="13">
                  <c:v>-0.32519999999999999</c:v>
                </c:pt>
                <c:pt idx="14">
                  <c:v>-0.21179999999999999</c:v>
                </c:pt>
                <c:pt idx="15">
                  <c:v>-9.8199999999999996E-2</c:v>
                </c:pt>
                <c:pt idx="16">
                  <c:v>1.55E-2</c:v>
                </c:pt>
                <c:pt idx="17">
                  <c:v>0.12939999999999999</c:v>
                </c:pt>
                <c:pt idx="18">
                  <c:v>0.24349999999999999</c:v>
                </c:pt>
                <c:pt idx="19">
                  <c:v>0.35720000000000002</c:v>
                </c:pt>
                <c:pt idx="20">
                  <c:v>0.46939999999999998</c:v>
                </c:pt>
                <c:pt idx="21">
                  <c:v>0.57999999999999996</c:v>
                </c:pt>
                <c:pt idx="22">
                  <c:v>0.68779999999999997</c:v>
                </c:pt>
                <c:pt idx="23">
                  <c:v>0.78949999999999998</c:v>
                </c:pt>
                <c:pt idx="24">
                  <c:v>0.90959999999999996</c:v>
                </c:pt>
                <c:pt idx="25">
                  <c:v>1.0165</c:v>
                </c:pt>
                <c:pt idx="26">
                  <c:v>1.1192</c:v>
                </c:pt>
                <c:pt idx="27">
                  <c:v>1.222</c:v>
                </c:pt>
                <c:pt idx="28">
                  <c:v>1.3229</c:v>
                </c:pt>
                <c:pt idx="29">
                  <c:v>1.4207000000000001</c:v>
                </c:pt>
                <c:pt idx="30">
                  <c:v>1.5137</c:v>
                </c:pt>
                <c:pt idx="31">
                  <c:v>1.6005</c:v>
                </c:pt>
                <c:pt idx="32">
                  <c:v>1.6729000000000001</c:v>
                </c:pt>
                <c:pt idx="33">
                  <c:v>1.7336</c:v>
                </c:pt>
                <c:pt idx="34">
                  <c:v>1.7853000000000001</c:v>
                </c:pt>
                <c:pt idx="35">
                  <c:v>1.8252999999999999</c:v>
                </c:pt>
                <c:pt idx="36">
                  <c:v>1.8563000000000001</c:v>
                </c:pt>
              </c:numCache>
            </c:numRef>
          </c:xVal>
          <c:yVal>
            <c:numRef>
              <c:f>Hoja1!$J$60:$J$96</c:f>
              <c:numCache>
                <c:formatCode>General</c:formatCode>
                <c:ptCount val="37"/>
                <c:pt idx="0">
                  <c:v>2.3089999999999999E-2</c:v>
                </c:pt>
                <c:pt idx="1">
                  <c:v>1.976E-2</c:v>
                </c:pt>
                <c:pt idx="2">
                  <c:v>1.7489999999999999E-2</c:v>
                </c:pt>
                <c:pt idx="3">
                  <c:v>1.5610000000000001E-2</c:v>
                </c:pt>
                <c:pt idx="4">
                  <c:v>1.3939999999999999E-2</c:v>
                </c:pt>
                <c:pt idx="5">
                  <c:v>1.238E-2</c:v>
                </c:pt>
                <c:pt idx="6">
                  <c:v>1.11E-2</c:v>
                </c:pt>
                <c:pt idx="7">
                  <c:v>9.9900000000000006E-3</c:v>
                </c:pt>
                <c:pt idx="8">
                  <c:v>9.0799999999999995E-3</c:v>
                </c:pt>
                <c:pt idx="9">
                  <c:v>8.2799999999999992E-3</c:v>
                </c:pt>
                <c:pt idx="10">
                  <c:v>7.62E-3</c:v>
                </c:pt>
                <c:pt idx="11">
                  <c:v>7.0699999999999999E-3</c:v>
                </c:pt>
                <c:pt idx="12">
                  <c:v>6.6100000000000004E-3</c:v>
                </c:pt>
                <c:pt idx="13">
                  <c:v>6.2599999999999999E-3</c:v>
                </c:pt>
                <c:pt idx="14">
                  <c:v>5.9899999999999997E-3</c:v>
                </c:pt>
                <c:pt idx="15">
                  <c:v>5.77E-3</c:v>
                </c:pt>
                <c:pt idx="16">
                  <c:v>5.5799999999999999E-3</c:v>
                </c:pt>
                <c:pt idx="17">
                  <c:v>5.4599999999999996E-3</c:v>
                </c:pt>
                <c:pt idx="18">
                  <c:v>5.3299999999999997E-3</c:v>
                </c:pt>
                <c:pt idx="19">
                  <c:v>5.2199999999999998E-3</c:v>
                </c:pt>
                <c:pt idx="20">
                  <c:v>5.13E-3</c:v>
                </c:pt>
                <c:pt idx="21">
                  <c:v>5.3200000000000001E-3</c:v>
                </c:pt>
                <c:pt idx="22">
                  <c:v>5.7200000000000003E-3</c:v>
                </c:pt>
                <c:pt idx="23">
                  <c:v>6.3600000000000002E-3</c:v>
                </c:pt>
                <c:pt idx="24">
                  <c:v>7.26E-3</c:v>
                </c:pt>
                <c:pt idx="25">
                  <c:v>8.1399999999999997E-3</c:v>
                </c:pt>
                <c:pt idx="26">
                  <c:v>8.9899999999999997E-3</c:v>
                </c:pt>
                <c:pt idx="27">
                  <c:v>9.8899999999999995E-3</c:v>
                </c:pt>
                <c:pt idx="28">
                  <c:v>1.0880000000000001E-2</c:v>
                </c:pt>
                <c:pt idx="29">
                  <c:v>1.197E-2</c:v>
                </c:pt>
                <c:pt idx="30">
                  <c:v>1.323E-2</c:v>
                </c:pt>
                <c:pt idx="31">
                  <c:v>1.465E-2</c:v>
                </c:pt>
                <c:pt idx="32">
                  <c:v>1.6289999999999999E-2</c:v>
                </c:pt>
                <c:pt idx="33">
                  <c:v>1.8329999999999999E-2</c:v>
                </c:pt>
                <c:pt idx="34">
                  <c:v>2.1180000000000001E-2</c:v>
                </c:pt>
                <c:pt idx="35">
                  <c:v>2.5319999999999999E-2</c:v>
                </c:pt>
                <c:pt idx="36">
                  <c:v>3.091E-2</c:v>
                </c:pt>
              </c:numCache>
            </c:numRef>
          </c:yVal>
          <c:smooth val="1"/>
          <c:extLst>
            <c:ext xmlns:c16="http://schemas.microsoft.com/office/drawing/2014/chart" uri="{C3380CC4-5D6E-409C-BE32-E72D297353CC}">
              <c16:uniqueId val="{00000001-5D8A-49BE-A428-8D1EED4AE6BC}"/>
            </c:ext>
          </c:extLst>
        </c:ser>
        <c:ser>
          <c:idx val="2"/>
          <c:order val="2"/>
          <c:tx>
            <c:strRef>
              <c:f>Hoja1!$H$104</c:f>
              <c:strCache>
                <c:ptCount val="1"/>
                <c:pt idx="0">
                  <c:v>RFOIL     Re=5.7E6</c:v>
                </c:pt>
              </c:strCache>
            </c:strRef>
          </c:tx>
          <c:spPr>
            <a:ln w="19050" cap="rnd">
              <a:solidFill>
                <a:schemeClr val="accent3"/>
              </a:solidFill>
              <a:round/>
            </a:ln>
            <a:effectLst/>
          </c:spPr>
          <c:marker>
            <c:symbol val="diamond"/>
            <c:size val="4"/>
            <c:spPr>
              <a:solidFill>
                <a:schemeClr val="accent3"/>
              </a:solidFill>
              <a:ln w="9525">
                <a:solidFill>
                  <a:schemeClr val="accent3"/>
                </a:solidFill>
              </a:ln>
              <a:effectLst/>
            </c:spPr>
          </c:marker>
          <c:xVal>
            <c:numRef>
              <c:f>Hoja1!$I$123:$I$154</c:f>
              <c:numCache>
                <c:formatCode>General</c:formatCode>
                <c:ptCount val="32"/>
                <c:pt idx="0">
                  <c:v>-1.202</c:v>
                </c:pt>
                <c:pt idx="1">
                  <c:v>-1.0852999999999999</c:v>
                </c:pt>
                <c:pt idx="2">
                  <c:v>-0.97819999999999996</c:v>
                </c:pt>
                <c:pt idx="3">
                  <c:v>-0.87560000000000004</c:v>
                </c:pt>
                <c:pt idx="4">
                  <c:v>-0.76800000000000002</c:v>
                </c:pt>
                <c:pt idx="5">
                  <c:v>-0.65810000000000002</c:v>
                </c:pt>
                <c:pt idx="6">
                  <c:v>-0.54669999999999996</c:v>
                </c:pt>
                <c:pt idx="7">
                  <c:v>-0.43469999999999998</c:v>
                </c:pt>
                <c:pt idx="8">
                  <c:v>-0.32190000000000002</c:v>
                </c:pt>
                <c:pt idx="9">
                  <c:v>-0.2087</c:v>
                </c:pt>
                <c:pt idx="10">
                  <c:v>-9.5200000000000007E-2</c:v>
                </c:pt>
                <c:pt idx="11">
                  <c:v>1.8499999999999999E-2</c:v>
                </c:pt>
                <c:pt idx="12">
                  <c:v>0.13220000000000001</c:v>
                </c:pt>
                <c:pt idx="13">
                  <c:v>0.24610000000000001</c:v>
                </c:pt>
                <c:pt idx="14">
                  <c:v>0.35959999999999998</c:v>
                </c:pt>
                <c:pt idx="15">
                  <c:v>0.47070000000000001</c:v>
                </c:pt>
                <c:pt idx="16">
                  <c:v>0.58040000000000003</c:v>
                </c:pt>
                <c:pt idx="17">
                  <c:v>0.68789999999999996</c:v>
                </c:pt>
                <c:pt idx="18">
                  <c:v>0.79179999999999995</c:v>
                </c:pt>
                <c:pt idx="19">
                  <c:v>0.90229999999999999</c:v>
                </c:pt>
                <c:pt idx="20">
                  <c:v>1.0134000000000001</c:v>
                </c:pt>
                <c:pt idx="21">
                  <c:v>1.1164000000000001</c:v>
                </c:pt>
                <c:pt idx="22">
                  <c:v>1.2183999999999999</c:v>
                </c:pt>
                <c:pt idx="23">
                  <c:v>1.3172999999999999</c:v>
                </c:pt>
                <c:pt idx="24">
                  <c:v>1.4127000000000001</c:v>
                </c:pt>
                <c:pt idx="25">
                  <c:v>1.5013000000000001</c:v>
                </c:pt>
                <c:pt idx="26">
                  <c:v>1.5763</c:v>
                </c:pt>
                <c:pt idx="27">
                  <c:v>1.637</c:v>
                </c:pt>
                <c:pt idx="28">
                  <c:v>1.6843999999999999</c:v>
                </c:pt>
                <c:pt idx="29">
                  <c:v>1.7143999999999999</c:v>
                </c:pt>
                <c:pt idx="30">
                  <c:v>1.7257</c:v>
                </c:pt>
                <c:pt idx="31">
                  <c:v>1.6972</c:v>
                </c:pt>
              </c:numCache>
            </c:numRef>
          </c:xVal>
          <c:yVal>
            <c:numRef>
              <c:f>Hoja1!$J$123:$J$154</c:f>
              <c:numCache>
                <c:formatCode>General</c:formatCode>
                <c:ptCount val="32"/>
                <c:pt idx="0">
                  <c:v>1.2189999999999999E-2</c:v>
                </c:pt>
                <c:pt idx="1">
                  <c:v>1.0840000000000001E-2</c:v>
                </c:pt>
                <c:pt idx="2">
                  <c:v>9.8200000000000006E-3</c:v>
                </c:pt>
                <c:pt idx="3">
                  <c:v>8.8599999999999998E-3</c:v>
                </c:pt>
                <c:pt idx="4">
                  <c:v>8.0999999999999996E-3</c:v>
                </c:pt>
                <c:pt idx="5">
                  <c:v>7.4700000000000001E-3</c:v>
                </c:pt>
                <c:pt idx="6">
                  <c:v>6.96E-3</c:v>
                </c:pt>
                <c:pt idx="7">
                  <c:v>6.5599999999999999E-3</c:v>
                </c:pt>
                <c:pt idx="8">
                  <c:v>6.2500000000000003E-3</c:v>
                </c:pt>
                <c:pt idx="9">
                  <c:v>6.0000000000000001E-3</c:v>
                </c:pt>
                <c:pt idx="10">
                  <c:v>5.8100000000000001E-3</c:v>
                </c:pt>
                <c:pt idx="11">
                  <c:v>5.6499999999999996E-3</c:v>
                </c:pt>
                <c:pt idx="12">
                  <c:v>5.5399999999999998E-3</c:v>
                </c:pt>
                <c:pt idx="13">
                  <c:v>5.4599999999999996E-3</c:v>
                </c:pt>
                <c:pt idx="14">
                  <c:v>5.4299999999999999E-3</c:v>
                </c:pt>
                <c:pt idx="15">
                  <c:v>5.4799999999999996E-3</c:v>
                </c:pt>
                <c:pt idx="16">
                  <c:v>5.7600000000000004E-3</c:v>
                </c:pt>
                <c:pt idx="17">
                  <c:v>6.2199999999999998E-3</c:v>
                </c:pt>
                <c:pt idx="18">
                  <c:v>6.6899999999999998E-3</c:v>
                </c:pt>
                <c:pt idx="19">
                  <c:v>7.43E-3</c:v>
                </c:pt>
                <c:pt idx="20">
                  <c:v>8.2400000000000008E-3</c:v>
                </c:pt>
                <c:pt idx="21">
                  <c:v>9.0600000000000003E-3</c:v>
                </c:pt>
                <c:pt idx="22">
                  <c:v>9.9399999999999992E-3</c:v>
                </c:pt>
                <c:pt idx="23">
                  <c:v>1.0959999999999999E-2</c:v>
                </c:pt>
                <c:pt idx="24">
                  <c:v>1.206E-2</c:v>
                </c:pt>
                <c:pt idx="25">
                  <c:v>1.338E-2</c:v>
                </c:pt>
                <c:pt idx="26">
                  <c:v>1.481E-2</c:v>
                </c:pt>
                <c:pt idx="27">
                  <c:v>1.6719999999999999E-2</c:v>
                </c:pt>
                <c:pt idx="28">
                  <c:v>1.949E-2</c:v>
                </c:pt>
                <c:pt idx="29">
                  <c:v>2.3740000000000001E-2</c:v>
                </c:pt>
                <c:pt idx="30">
                  <c:v>3.0200000000000001E-2</c:v>
                </c:pt>
                <c:pt idx="31">
                  <c:v>4.1439999999999998E-2</c:v>
                </c:pt>
              </c:numCache>
            </c:numRef>
          </c:yVal>
          <c:smooth val="1"/>
          <c:extLst>
            <c:ext xmlns:c16="http://schemas.microsoft.com/office/drawing/2014/chart" uri="{C3380CC4-5D6E-409C-BE32-E72D297353CC}">
              <c16:uniqueId val="{00000002-5D8A-49BE-A428-8D1EED4AE6BC}"/>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a:t>
            </a:r>
            <a:r>
              <a:rPr lang="en-US" baseline="0"/>
              <a:t> vs Cl     Re = 8.9e6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Hoja1!$L$4</c:f>
              <c:strCache>
                <c:ptCount val="1"/>
                <c:pt idx="0">
                  <c:v>Report 824     Re=8.9E6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Hoja1!$M$16:$M$39</c:f>
              <c:numCache>
                <c:formatCode>0.000</c:formatCode>
                <c:ptCount val="24"/>
                <c:pt idx="0">
                  <c:v>-0.6</c:v>
                </c:pt>
                <c:pt idx="1">
                  <c:v>-0.5</c:v>
                </c:pt>
                <c:pt idx="2">
                  <c:v>-0.4</c:v>
                </c:pt>
                <c:pt idx="3">
                  <c:v>-0.3</c:v>
                </c:pt>
                <c:pt idx="4">
                  <c:v>-0.2</c:v>
                </c:pt>
                <c:pt idx="5">
                  <c:v>-0.1</c:v>
                </c:pt>
                <c:pt idx="6">
                  <c:v>0</c:v>
                </c:pt>
                <c:pt idx="7">
                  <c:v>0.12</c:v>
                </c:pt>
                <c:pt idx="8">
                  <c:v>0.23</c:v>
                </c:pt>
                <c:pt idx="9">
                  <c:v>0.35</c:v>
                </c:pt>
                <c:pt idx="10">
                  <c:v>0.44</c:v>
                </c:pt>
                <c:pt idx="11">
                  <c:v>0.55000000000000004</c:v>
                </c:pt>
                <c:pt idx="12">
                  <c:v>0.65</c:v>
                </c:pt>
                <c:pt idx="13">
                  <c:v>0.75</c:v>
                </c:pt>
                <c:pt idx="14">
                  <c:v>0.86</c:v>
                </c:pt>
                <c:pt idx="15">
                  <c:v>0.96</c:v>
                </c:pt>
                <c:pt idx="16">
                  <c:v>1.0649999999999999</c:v>
                </c:pt>
                <c:pt idx="17">
                  <c:v>1.1499999999999999</c:v>
                </c:pt>
                <c:pt idx="18">
                  <c:v>1.24</c:v>
                </c:pt>
                <c:pt idx="19">
                  <c:v>1.32</c:v>
                </c:pt>
                <c:pt idx="20">
                  <c:v>1.4</c:v>
                </c:pt>
                <c:pt idx="21">
                  <c:v>1.48</c:v>
                </c:pt>
                <c:pt idx="22">
                  <c:v>1.52</c:v>
                </c:pt>
                <c:pt idx="23">
                  <c:v>1.6</c:v>
                </c:pt>
              </c:numCache>
            </c:numRef>
          </c:xVal>
          <c:yVal>
            <c:numRef>
              <c:f>Hoja1!$N$16:$N$39</c:f>
              <c:numCache>
                <c:formatCode>General</c:formatCode>
                <c:ptCount val="24"/>
                <c:pt idx="0">
                  <c:v>7.7000000000000002E-3</c:v>
                </c:pt>
                <c:pt idx="1">
                  <c:v>7.3000000000000001E-3</c:v>
                </c:pt>
                <c:pt idx="2" formatCode="0.0000">
                  <c:v>7.0000000000000001E-3</c:v>
                </c:pt>
                <c:pt idx="3" formatCode="0.0000">
                  <c:v>6.7999999999999996E-3</c:v>
                </c:pt>
                <c:pt idx="4" formatCode="0.0000">
                  <c:v>6.4000000000000003E-3</c:v>
                </c:pt>
                <c:pt idx="5" formatCode="0.0000">
                  <c:v>6.1999999999999998E-3</c:v>
                </c:pt>
                <c:pt idx="6" formatCode="0.0000">
                  <c:v>6.0000000000000001E-3</c:v>
                </c:pt>
                <c:pt idx="7" formatCode="0.0000">
                  <c:v>5.8999999999999999E-3</c:v>
                </c:pt>
                <c:pt idx="8" formatCode="0.0000">
                  <c:v>5.7999999999999996E-3</c:v>
                </c:pt>
                <c:pt idx="9" formatCode="0.0000">
                  <c:v>6.0000000000000001E-3</c:v>
                </c:pt>
                <c:pt idx="10" formatCode="0.0000">
                  <c:v>6.1999999999999998E-3</c:v>
                </c:pt>
                <c:pt idx="11" formatCode="0.0000">
                  <c:v>6.7999999999999996E-3</c:v>
                </c:pt>
                <c:pt idx="12" formatCode="0.0000">
                  <c:v>7.1999999999999998E-3</c:v>
                </c:pt>
                <c:pt idx="13" formatCode="0.0000">
                  <c:v>7.3000000000000001E-3</c:v>
                </c:pt>
                <c:pt idx="14" formatCode="0.0000">
                  <c:v>7.6E-3</c:v>
                </c:pt>
                <c:pt idx="15" formatCode="0.0000">
                  <c:v>8.5000000000000006E-3</c:v>
                </c:pt>
                <c:pt idx="16" formatCode="0.0000">
                  <c:v>9.1000000000000004E-3</c:v>
                </c:pt>
                <c:pt idx="17" formatCode="0.0000">
                  <c:v>1.0200000000000001E-2</c:v>
                </c:pt>
                <c:pt idx="18" formatCode="0.0000">
                  <c:v>1.15E-2</c:v>
                </c:pt>
                <c:pt idx="19" formatCode="0.0000">
                  <c:v>1.2500000000000001E-2</c:v>
                </c:pt>
                <c:pt idx="20" formatCode="0.0000">
                  <c:v>1.47E-2</c:v>
                </c:pt>
                <c:pt idx="21" formatCode="0.0000">
                  <c:v>1.6500000000000001E-2</c:v>
                </c:pt>
                <c:pt idx="22" formatCode="0.0000">
                  <c:v>1.72E-2</c:v>
                </c:pt>
                <c:pt idx="23" formatCode="0.0000">
                  <c:v>1.8599999999999998E-2</c:v>
                </c:pt>
              </c:numCache>
            </c:numRef>
          </c:yVal>
          <c:smooth val="1"/>
          <c:extLst>
            <c:ext xmlns:c16="http://schemas.microsoft.com/office/drawing/2014/chart" uri="{C3380CC4-5D6E-409C-BE32-E72D297353CC}">
              <c16:uniqueId val="{00000000-5550-4624-9A30-7616E1A8CE09}"/>
            </c:ext>
          </c:extLst>
        </c:ser>
        <c:ser>
          <c:idx val="1"/>
          <c:order val="1"/>
          <c:tx>
            <c:strRef>
              <c:f>Hoja1!$P$46</c:f>
              <c:strCache>
                <c:ptCount val="1"/>
                <c:pt idx="0">
                  <c:v>XFOIL     Re=8.9E6</c:v>
                </c:pt>
              </c:strCache>
            </c:strRef>
          </c:tx>
          <c:spPr>
            <a:ln w="19050" cap="rnd">
              <a:solidFill>
                <a:schemeClr val="accent2"/>
              </a:solidFill>
              <a:round/>
            </a:ln>
            <a:effectLst/>
          </c:spPr>
          <c:marker>
            <c:symbol val="square"/>
            <c:size val="4"/>
            <c:spPr>
              <a:solidFill>
                <a:schemeClr val="accent2"/>
              </a:solidFill>
              <a:ln w="9525">
                <a:solidFill>
                  <a:schemeClr val="accent2"/>
                </a:solidFill>
              </a:ln>
              <a:effectLst/>
            </c:spPr>
          </c:marker>
          <c:xVal>
            <c:numRef>
              <c:f>Hoja1!$P$60:$P$96</c:f>
              <c:numCache>
                <c:formatCode>General</c:formatCode>
                <c:ptCount val="37"/>
                <c:pt idx="0">
                  <c:v>-1.6694</c:v>
                </c:pt>
                <c:pt idx="1">
                  <c:v>-1.595</c:v>
                </c:pt>
                <c:pt idx="2">
                  <c:v>-1.5107999999999999</c:v>
                </c:pt>
                <c:pt idx="3">
                  <c:v>-1.4298</c:v>
                </c:pt>
                <c:pt idx="4">
                  <c:v>-1.3169999999999999</c:v>
                </c:pt>
                <c:pt idx="5">
                  <c:v>-1.2034</c:v>
                </c:pt>
                <c:pt idx="6">
                  <c:v>-1.0994999999999999</c:v>
                </c:pt>
                <c:pt idx="7">
                  <c:v>-0.99590000000000001</c:v>
                </c:pt>
                <c:pt idx="8">
                  <c:v>-0.88880000000000003</c:v>
                </c:pt>
                <c:pt idx="9">
                  <c:v>-0.77910000000000001</c:v>
                </c:pt>
                <c:pt idx="10">
                  <c:v>-0.66749999999999998</c:v>
                </c:pt>
                <c:pt idx="11">
                  <c:v>-0.55510000000000004</c:v>
                </c:pt>
                <c:pt idx="12">
                  <c:v>-0.44190000000000002</c:v>
                </c:pt>
                <c:pt idx="13">
                  <c:v>-0.32829999999999998</c:v>
                </c:pt>
                <c:pt idx="14">
                  <c:v>-0.2142</c:v>
                </c:pt>
                <c:pt idx="15">
                  <c:v>-0.1</c:v>
                </c:pt>
                <c:pt idx="16">
                  <c:v>1.4500000000000001E-2</c:v>
                </c:pt>
                <c:pt idx="17">
                  <c:v>0.1293</c:v>
                </c:pt>
                <c:pt idx="18">
                  <c:v>0.24399999999999999</c:v>
                </c:pt>
                <c:pt idx="19">
                  <c:v>0.35830000000000001</c:v>
                </c:pt>
                <c:pt idx="20">
                  <c:v>0.4708</c:v>
                </c:pt>
                <c:pt idx="21">
                  <c:v>0.58179999999999998</c:v>
                </c:pt>
                <c:pt idx="22">
                  <c:v>0.69179999999999997</c:v>
                </c:pt>
                <c:pt idx="23">
                  <c:v>0.79990000000000006</c:v>
                </c:pt>
                <c:pt idx="24">
                  <c:v>0.90249999999999997</c:v>
                </c:pt>
                <c:pt idx="25">
                  <c:v>1.0226</c:v>
                </c:pt>
                <c:pt idx="26">
                  <c:v>1.1258999999999999</c:v>
                </c:pt>
                <c:pt idx="27">
                  <c:v>1.2302</c:v>
                </c:pt>
                <c:pt idx="28">
                  <c:v>1.3328</c:v>
                </c:pt>
                <c:pt idx="29">
                  <c:v>1.4329000000000001</c:v>
                </c:pt>
                <c:pt idx="30">
                  <c:v>1.5287999999999999</c:v>
                </c:pt>
                <c:pt idx="31">
                  <c:v>1.6197999999999999</c:v>
                </c:pt>
                <c:pt idx="32">
                  <c:v>1.7029000000000001</c:v>
                </c:pt>
                <c:pt idx="33">
                  <c:v>1.7678</c:v>
                </c:pt>
                <c:pt idx="34">
                  <c:v>1.8239000000000001</c:v>
                </c:pt>
                <c:pt idx="35">
                  <c:v>1.8714</c:v>
                </c:pt>
                <c:pt idx="36">
                  <c:v>1.9080999999999999</c:v>
                </c:pt>
              </c:numCache>
            </c:numRef>
          </c:xVal>
          <c:yVal>
            <c:numRef>
              <c:f>Hoja1!$Q$60:$Q$96</c:f>
              <c:numCache>
                <c:formatCode>General</c:formatCode>
                <c:ptCount val="37"/>
                <c:pt idx="0">
                  <c:v>1.9820000000000001E-2</c:v>
                </c:pt>
                <c:pt idx="1">
                  <c:v>1.7520000000000001E-2</c:v>
                </c:pt>
                <c:pt idx="2">
                  <c:v>1.5699999999999999E-2</c:v>
                </c:pt>
                <c:pt idx="3">
                  <c:v>1.3979999999999999E-2</c:v>
                </c:pt>
                <c:pt idx="4">
                  <c:v>1.2540000000000001E-2</c:v>
                </c:pt>
                <c:pt idx="5">
                  <c:v>1.1140000000000001E-2</c:v>
                </c:pt>
                <c:pt idx="6">
                  <c:v>1.0059999999999999E-2</c:v>
                </c:pt>
                <c:pt idx="7">
                  <c:v>9.1699999999999993E-3</c:v>
                </c:pt>
                <c:pt idx="8">
                  <c:v>8.3800000000000003E-3</c:v>
                </c:pt>
                <c:pt idx="9">
                  <c:v>7.6899999999999998E-3</c:v>
                </c:pt>
                <c:pt idx="10">
                  <c:v>7.1199999999999996E-3</c:v>
                </c:pt>
                <c:pt idx="11">
                  <c:v>6.6499999999999997E-3</c:v>
                </c:pt>
                <c:pt idx="12">
                  <c:v>6.28E-3</c:v>
                </c:pt>
                <c:pt idx="13">
                  <c:v>5.9899999999999997E-3</c:v>
                </c:pt>
                <c:pt idx="14">
                  <c:v>5.7600000000000004E-3</c:v>
                </c:pt>
                <c:pt idx="15">
                  <c:v>5.5799999999999999E-3</c:v>
                </c:pt>
                <c:pt idx="16">
                  <c:v>5.4400000000000004E-3</c:v>
                </c:pt>
                <c:pt idx="17">
                  <c:v>5.3200000000000001E-3</c:v>
                </c:pt>
                <c:pt idx="18">
                  <c:v>5.2199999999999998E-3</c:v>
                </c:pt>
                <c:pt idx="19">
                  <c:v>5.1700000000000001E-3</c:v>
                </c:pt>
                <c:pt idx="20">
                  <c:v>5.2300000000000003E-3</c:v>
                </c:pt>
                <c:pt idx="21">
                  <c:v>5.47E-3</c:v>
                </c:pt>
                <c:pt idx="22">
                  <c:v>5.8500000000000002E-3</c:v>
                </c:pt>
                <c:pt idx="23">
                  <c:v>6.3299999999999997E-3</c:v>
                </c:pt>
                <c:pt idx="24">
                  <c:v>6.8399999999999997E-3</c:v>
                </c:pt>
                <c:pt idx="25">
                  <c:v>7.6099999999999996E-3</c:v>
                </c:pt>
                <c:pt idx="26">
                  <c:v>8.3599999999999994E-3</c:v>
                </c:pt>
                <c:pt idx="27">
                  <c:v>9.1800000000000007E-3</c:v>
                </c:pt>
                <c:pt idx="28">
                  <c:v>1.0070000000000001E-2</c:v>
                </c:pt>
                <c:pt idx="29">
                  <c:v>1.1050000000000001E-2</c:v>
                </c:pt>
                <c:pt idx="30">
                  <c:v>1.2189999999999999E-2</c:v>
                </c:pt>
                <c:pt idx="31">
                  <c:v>1.345E-2</c:v>
                </c:pt>
                <c:pt idx="32">
                  <c:v>1.49E-2</c:v>
                </c:pt>
                <c:pt idx="33">
                  <c:v>1.6559999999999998E-2</c:v>
                </c:pt>
                <c:pt idx="34">
                  <c:v>1.8859999999999998E-2</c:v>
                </c:pt>
                <c:pt idx="35">
                  <c:v>2.205E-2</c:v>
                </c:pt>
                <c:pt idx="36">
                  <c:v>2.6589999999999999E-2</c:v>
                </c:pt>
              </c:numCache>
            </c:numRef>
          </c:yVal>
          <c:smooth val="1"/>
          <c:extLst>
            <c:ext xmlns:c16="http://schemas.microsoft.com/office/drawing/2014/chart" uri="{C3380CC4-5D6E-409C-BE32-E72D297353CC}">
              <c16:uniqueId val="{00000001-5550-4624-9A30-7616E1A8CE09}"/>
            </c:ext>
          </c:extLst>
        </c:ser>
        <c:ser>
          <c:idx val="2"/>
          <c:order val="2"/>
          <c:tx>
            <c:strRef>
              <c:f>Hoja1!$O$104</c:f>
              <c:strCache>
                <c:ptCount val="1"/>
                <c:pt idx="0">
                  <c:v>RFOIL     Re=8.9E6</c:v>
                </c:pt>
              </c:strCache>
            </c:strRef>
          </c:tx>
          <c:spPr>
            <a:ln w="19050" cap="rnd">
              <a:solidFill>
                <a:schemeClr val="accent3"/>
              </a:solidFill>
              <a:round/>
            </a:ln>
            <a:effectLst/>
          </c:spPr>
          <c:marker>
            <c:symbol val="diamond"/>
            <c:size val="4"/>
            <c:spPr>
              <a:solidFill>
                <a:schemeClr val="accent3"/>
              </a:solidFill>
              <a:ln w="9525">
                <a:solidFill>
                  <a:schemeClr val="accent3"/>
                </a:solidFill>
              </a:ln>
              <a:effectLst/>
            </c:spPr>
          </c:marker>
          <c:xVal>
            <c:numRef>
              <c:f>Hoja1!$P$118:$P$153</c:f>
              <c:numCache>
                <c:formatCode>General</c:formatCode>
                <c:ptCount val="36"/>
                <c:pt idx="4">
                  <c:v>-1.1981999999999999</c:v>
                </c:pt>
                <c:pt idx="5">
                  <c:v>-1.0942000000000001</c:v>
                </c:pt>
                <c:pt idx="6">
                  <c:v>-0.99129999999999996</c:v>
                </c:pt>
                <c:pt idx="7">
                  <c:v>-0.88419999999999999</c:v>
                </c:pt>
                <c:pt idx="8">
                  <c:v>-0.77449999999999997</c:v>
                </c:pt>
                <c:pt idx="9">
                  <c:v>-0.66349999999999998</c:v>
                </c:pt>
                <c:pt idx="10">
                  <c:v>-0.5514</c:v>
                </c:pt>
                <c:pt idx="11">
                  <c:v>-0.43840000000000001</c:v>
                </c:pt>
                <c:pt idx="12">
                  <c:v>-0.32490000000000002</c:v>
                </c:pt>
                <c:pt idx="13">
                  <c:v>-0.21099999999999999</c:v>
                </c:pt>
                <c:pt idx="14">
                  <c:v>-9.69E-2</c:v>
                </c:pt>
                <c:pt idx="15">
                  <c:v>1.7600000000000001E-2</c:v>
                </c:pt>
                <c:pt idx="16">
                  <c:v>0.13220000000000001</c:v>
                </c:pt>
                <c:pt idx="17">
                  <c:v>0.2467</c:v>
                </c:pt>
                <c:pt idx="18">
                  <c:v>0.36020000000000002</c:v>
                </c:pt>
                <c:pt idx="19">
                  <c:v>0.47210000000000002</c:v>
                </c:pt>
                <c:pt idx="20">
                  <c:v>0.58199999999999996</c:v>
                </c:pt>
                <c:pt idx="21">
                  <c:v>0.69169999999999998</c:v>
                </c:pt>
                <c:pt idx="22">
                  <c:v>0.80010000000000003</c:v>
                </c:pt>
                <c:pt idx="23">
                  <c:v>0.90580000000000005</c:v>
                </c:pt>
                <c:pt idx="24">
                  <c:v>1.0184</c:v>
                </c:pt>
                <c:pt idx="25">
                  <c:v>1.1238999999999999</c:v>
                </c:pt>
                <c:pt idx="26">
                  <c:v>1.2276</c:v>
                </c:pt>
                <c:pt idx="27">
                  <c:v>1.3289</c:v>
                </c:pt>
                <c:pt idx="28">
                  <c:v>1.4267000000000001</c:v>
                </c:pt>
                <c:pt idx="29">
                  <c:v>1.5201</c:v>
                </c:pt>
                <c:pt idx="30">
                  <c:v>1.6060000000000001</c:v>
                </c:pt>
                <c:pt idx="31">
                  <c:v>1.6700999999999999</c:v>
                </c:pt>
                <c:pt idx="32">
                  <c:v>1.7276</c:v>
                </c:pt>
                <c:pt idx="33">
                  <c:v>1.768</c:v>
                </c:pt>
                <c:pt idx="34">
                  <c:v>1.7871999999999999</c:v>
                </c:pt>
                <c:pt idx="35">
                  <c:v>1.7865</c:v>
                </c:pt>
              </c:numCache>
            </c:numRef>
          </c:xVal>
          <c:yVal>
            <c:numRef>
              <c:f>Hoja1!$Q$118:$Q$153</c:f>
              <c:numCache>
                <c:formatCode>General</c:formatCode>
                <c:ptCount val="36"/>
                <c:pt idx="4">
                  <c:v>1.094E-2</c:v>
                </c:pt>
                <c:pt idx="5">
                  <c:v>9.8700000000000003E-3</c:v>
                </c:pt>
                <c:pt idx="6">
                  <c:v>8.94E-3</c:v>
                </c:pt>
                <c:pt idx="7">
                  <c:v>8.2100000000000003E-3</c:v>
                </c:pt>
                <c:pt idx="8">
                  <c:v>7.5599999999999999E-3</c:v>
                </c:pt>
                <c:pt idx="9">
                  <c:v>7.0200000000000002E-3</c:v>
                </c:pt>
                <c:pt idx="10">
                  <c:v>6.5700000000000003E-3</c:v>
                </c:pt>
                <c:pt idx="11">
                  <c:v>6.2500000000000003E-3</c:v>
                </c:pt>
                <c:pt idx="12">
                  <c:v>5.9800000000000001E-3</c:v>
                </c:pt>
                <c:pt idx="13">
                  <c:v>5.77E-3</c:v>
                </c:pt>
                <c:pt idx="14">
                  <c:v>5.62E-3</c:v>
                </c:pt>
                <c:pt idx="15">
                  <c:v>5.47E-3</c:v>
                </c:pt>
                <c:pt idx="16">
                  <c:v>5.3600000000000002E-3</c:v>
                </c:pt>
                <c:pt idx="17">
                  <c:v>5.2900000000000004E-3</c:v>
                </c:pt>
                <c:pt idx="18">
                  <c:v>5.3699999999999998E-3</c:v>
                </c:pt>
                <c:pt idx="19">
                  <c:v>5.5700000000000003E-3</c:v>
                </c:pt>
                <c:pt idx="20">
                  <c:v>5.8599999999999998E-3</c:v>
                </c:pt>
                <c:pt idx="21">
                  <c:v>6.2399999999999999E-3</c:v>
                </c:pt>
                <c:pt idx="22">
                  <c:v>6.6600000000000001E-3</c:v>
                </c:pt>
                <c:pt idx="23">
                  <c:v>7.0200000000000002E-3</c:v>
                </c:pt>
                <c:pt idx="24">
                  <c:v>7.6699999999999997E-3</c:v>
                </c:pt>
                <c:pt idx="25">
                  <c:v>8.4100000000000008E-3</c:v>
                </c:pt>
                <c:pt idx="26">
                  <c:v>9.1999999999999998E-3</c:v>
                </c:pt>
                <c:pt idx="27">
                  <c:v>1.0109999999999999E-2</c:v>
                </c:pt>
                <c:pt idx="28">
                  <c:v>1.112E-2</c:v>
                </c:pt>
                <c:pt idx="29">
                  <c:v>1.225E-2</c:v>
                </c:pt>
                <c:pt idx="30">
                  <c:v>1.354E-2</c:v>
                </c:pt>
                <c:pt idx="31">
                  <c:v>1.5180000000000001E-2</c:v>
                </c:pt>
                <c:pt idx="32">
                  <c:v>1.7219999999999999E-2</c:v>
                </c:pt>
                <c:pt idx="33">
                  <c:v>2.0410000000000001E-2</c:v>
                </c:pt>
                <c:pt idx="34">
                  <c:v>2.555E-2</c:v>
                </c:pt>
                <c:pt idx="35">
                  <c:v>3.3259999999999998E-2</c:v>
                </c:pt>
              </c:numCache>
            </c:numRef>
          </c:yVal>
          <c:smooth val="1"/>
          <c:extLst>
            <c:ext xmlns:c16="http://schemas.microsoft.com/office/drawing/2014/chart" uri="{C3380CC4-5D6E-409C-BE32-E72D297353CC}">
              <c16:uniqueId val="{00000002-5550-4624-9A30-7616E1A8CE09}"/>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a:t>
            </a:r>
            <a:r>
              <a:rPr lang="en-US" baseline="0"/>
              <a:t> vs Cl     Re = 3.1e6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Hoja1!$A$4</c:f>
              <c:strCache>
                <c:ptCount val="1"/>
                <c:pt idx="0">
                  <c:v>Report 824     Re=3.1E6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Hoja1!$B$16:$B$42</c:f>
              <c:numCache>
                <c:formatCode>0.000</c:formatCode>
                <c:ptCount val="27"/>
                <c:pt idx="0">
                  <c:v>-0.6</c:v>
                </c:pt>
                <c:pt idx="1">
                  <c:v>-0.5</c:v>
                </c:pt>
                <c:pt idx="2">
                  <c:v>-0.4</c:v>
                </c:pt>
                <c:pt idx="3">
                  <c:v>-0.3</c:v>
                </c:pt>
                <c:pt idx="4">
                  <c:v>-0.2</c:v>
                </c:pt>
                <c:pt idx="5">
                  <c:v>-0.1</c:v>
                </c:pt>
                <c:pt idx="6">
                  <c:v>0</c:v>
                </c:pt>
                <c:pt idx="7">
                  <c:v>0.12</c:v>
                </c:pt>
                <c:pt idx="8">
                  <c:v>0.23</c:v>
                </c:pt>
                <c:pt idx="9">
                  <c:v>0.35</c:v>
                </c:pt>
                <c:pt idx="10">
                  <c:v>0.44</c:v>
                </c:pt>
                <c:pt idx="11">
                  <c:v>0.55000000000000004</c:v>
                </c:pt>
                <c:pt idx="12">
                  <c:v>0.65</c:v>
                </c:pt>
                <c:pt idx="13">
                  <c:v>0.75</c:v>
                </c:pt>
                <c:pt idx="14">
                  <c:v>0.86</c:v>
                </c:pt>
                <c:pt idx="15">
                  <c:v>0.96</c:v>
                </c:pt>
                <c:pt idx="16">
                  <c:v>1.0649999999999999</c:v>
                </c:pt>
                <c:pt idx="17">
                  <c:v>1.1499999999999999</c:v>
                </c:pt>
                <c:pt idx="18">
                  <c:v>1.24</c:v>
                </c:pt>
                <c:pt idx="19">
                  <c:v>1.32</c:v>
                </c:pt>
                <c:pt idx="20">
                  <c:v>1.4</c:v>
                </c:pt>
                <c:pt idx="21">
                  <c:v>1.4750000000000001</c:v>
                </c:pt>
                <c:pt idx="22">
                  <c:v>1.52</c:v>
                </c:pt>
                <c:pt idx="23">
                  <c:v>1.58</c:v>
                </c:pt>
                <c:pt idx="24">
                  <c:v>1.55</c:v>
                </c:pt>
                <c:pt idx="25">
                  <c:v>1.39</c:v>
                </c:pt>
                <c:pt idx="26">
                  <c:v>1.24</c:v>
                </c:pt>
              </c:numCache>
            </c:numRef>
          </c:xVal>
          <c:yVal>
            <c:numRef>
              <c:f>Hoja1!$C$16:$C$37</c:f>
              <c:numCache>
                <c:formatCode>General</c:formatCode>
                <c:ptCount val="22"/>
                <c:pt idx="0">
                  <c:v>9.7999999999999997E-3</c:v>
                </c:pt>
                <c:pt idx="1">
                  <c:v>8.8999999999999999E-3</c:v>
                </c:pt>
                <c:pt idx="2" formatCode="0.0000">
                  <c:v>8.0000000000000002E-3</c:v>
                </c:pt>
                <c:pt idx="3">
                  <c:v>7.7999999999999996E-3</c:v>
                </c:pt>
                <c:pt idx="4">
                  <c:v>7.4999999999999997E-3</c:v>
                </c:pt>
                <c:pt idx="5">
                  <c:v>7.1999999999999998E-3</c:v>
                </c:pt>
                <c:pt idx="6" formatCode="0.0000">
                  <c:v>7.0000000000000001E-3</c:v>
                </c:pt>
                <c:pt idx="7">
                  <c:v>6.7999999999999996E-3</c:v>
                </c:pt>
                <c:pt idx="8">
                  <c:v>6.6E-3</c:v>
                </c:pt>
                <c:pt idx="9">
                  <c:v>6.6E-3</c:v>
                </c:pt>
                <c:pt idx="10" formatCode="0.0000">
                  <c:v>6.4999999999999997E-3</c:v>
                </c:pt>
                <c:pt idx="11">
                  <c:v>6.6E-3</c:v>
                </c:pt>
                <c:pt idx="12">
                  <c:v>6.7999999999999996E-3</c:v>
                </c:pt>
                <c:pt idx="13">
                  <c:v>7.6E-3</c:v>
                </c:pt>
                <c:pt idx="14" formatCode="0.0000">
                  <c:v>9.1000000000000004E-3</c:v>
                </c:pt>
                <c:pt idx="15">
                  <c:v>1.0500000000000001E-2</c:v>
                </c:pt>
                <c:pt idx="16">
                  <c:v>1.15E-2</c:v>
                </c:pt>
                <c:pt idx="17">
                  <c:v>1.26E-2</c:v>
                </c:pt>
                <c:pt idx="18" formatCode="0.0000">
                  <c:v>1.3599999999999999E-2</c:v>
                </c:pt>
                <c:pt idx="19" formatCode="0.0000">
                  <c:v>1.4999999999999999E-2</c:v>
                </c:pt>
                <c:pt idx="20">
                  <c:v>1.72E-2</c:v>
                </c:pt>
                <c:pt idx="21" formatCode="0.0000">
                  <c:v>2.1000000000000001E-2</c:v>
                </c:pt>
              </c:numCache>
            </c:numRef>
          </c:yVal>
          <c:smooth val="1"/>
          <c:extLst>
            <c:ext xmlns:c16="http://schemas.microsoft.com/office/drawing/2014/chart" uri="{C3380CC4-5D6E-409C-BE32-E72D297353CC}">
              <c16:uniqueId val="{00000000-3F69-4B0F-94C6-1BC1497FBE3E}"/>
            </c:ext>
          </c:extLst>
        </c:ser>
        <c:ser>
          <c:idx val="1"/>
          <c:order val="1"/>
          <c:tx>
            <c:strRef>
              <c:f>Hoja1!$A$46</c:f>
              <c:strCache>
                <c:ptCount val="1"/>
                <c:pt idx="0">
                  <c:v>XFOIL     Re=3.1E6</c:v>
                </c:pt>
              </c:strCache>
            </c:strRef>
          </c:tx>
          <c:spPr>
            <a:ln w="19050" cap="rnd">
              <a:solidFill>
                <a:schemeClr val="accent2"/>
              </a:solidFill>
              <a:round/>
            </a:ln>
            <a:effectLst/>
          </c:spPr>
          <c:marker>
            <c:symbol val="square"/>
            <c:size val="4"/>
            <c:spPr>
              <a:solidFill>
                <a:schemeClr val="accent2"/>
              </a:solidFill>
              <a:ln w="9525">
                <a:solidFill>
                  <a:schemeClr val="accent2"/>
                </a:solidFill>
              </a:ln>
              <a:effectLst/>
            </c:spPr>
          </c:marker>
          <c:xVal>
            <c:numRef>
              <c:f>Hoja1!$B$70:$B$91</c:f>
              <c:numCache>
                <c:formatCode>General</c:formatCode>
                <c:ptCount val="22"/>
                <c:pt idx="0">
                  <c:v>-0.65190000000000003</c:v>
                </c:pt>
                <c:pt idx="1">
                  <c:v>-0.54259999999999997</c:v>
                </c:pt>
                <c:pt idx="2">
                  <c:v>-0.43180000000000002</c:v>
                </c:pt>
                <c:pt idx="3">
                  <c:v>-0.3201</c:v>
                </c:pt>
                <c:pt idx="4">
                  <c:v>-0.20799999999999999</c:v>
                </c:pt>
                <c:pt idx="5">
                  <c:v>-9.5600000000000004E-2</c:v>
                </c:pt>
                <c:pt idx="6">
                  <c:v>1.7000000000000001E-2</c:v>
                </c:pt>
                <c:pt idx="7">
                  <c:v>0.12959999999999999</c:v>
                </c:pt>
                <c:pt idx="8">
                  <c:v>0.2422</c:v>
                </c:pt>
                <c:pt idx="9">
                  <c:v>0.35370000000000001</c:v>
                </c:pt>
                <c:pt idx="10">
                  <c:v>0.46539999999999998</c:v>
                </c:pt>
                <c:pt idx="11">
                  <c:v>0.57379999999999998</c:v>
                </c:pt>
                <c:pt idx="12">
                  <c:v>0.67659999999999998</c:v>
                </c:pt>
                <c:pt idx="13">
                  <c:v>0.80369999999999997</c:v>
                </c:pt>
                <c:pt idx="14">
                  <c:v>0.9113</c:v>
                </c:pt>
                <c:pt idx="15">
                  <c:v>1.0085</c:v>
                </c:pt>
                <c:pt idx="16">
                  <c:v>1.1092</c:v>
                </c:pt>
                <c:pt idx="17">
                  <c:v>1.2092000000000001</c:v>
                </c:pt>
                <c:pt idx="18">
                  <c:v>1.3068</c:v>
                </c:pt>
                <c:pt idx="19">
                  <c:v>1.4005000000000001</c:v>
                </c:pt>
                <c:pt idx="20">
                  <c:v>1.4884999999999999</c:v>
                </c:pt>
                <c:pt idx="21">
                  <c:v>1.5649</c:v>
                </c:pt>
              </c:numCache>
            </c:numRef>
          </c:xVal>
          <c:yVal>
            <c:numRef>
              <c:f>Hoja1!$C$70:$C$91</c:f>
              <c:numCache>
                <c:formatCode>General</c:formatCode>
                <c:ptCount val="22"/>
                <c:pt idx="0">
                  <c:v>8.5199999999999998E-3</c:v>
                </c:pt>
                <c:pt idx="1">
                  <c:v>7.8200000000000006E-3</c:v>
                </c:pt>
                <c:pt idx="2">
                  <c:v>7.2399999999999999E-3</c:v>
                </c:pt>
                <c:pt idx="3">
                  <c:v>6.7799999999999996E-3</c:v>
                </c:pt>
                <c:pt idx="4">
                  <c:v>6.3800000000000003E-3</c:v>
                </c:pt>
                <c:pt idx="5">
                  <c:v>6.0699999999999999E-3</c:v>
                </c:pt>
                <c:pt idx="6">
                  <c:v>5.8399999999999997E-3</c:v>
                </c:pt>
                <c:pt idx="7">
                  <c:v>5.6699999999999997E-3</c:v>
                </c:pt>
                <c:pt idx="8">
                  <c:v>5.4900000000000001E-3</c:v>
                </c:pt>
                <c:pt idx="9">
                  <c:v>5.2199999999999998E-3</c:v>
                </c:pt>
                <c:pt idx="10">
                  <c:v>5.11E-3</c:v>
                </c:pt>
                <c:pt idx="11">
                  <c:v>5.1900000000000002E-3</c:v>
                </c:pt>
                <c:pt idx="12">
                  <c:v>5.7099999999999998E-3</c:v>
                </c:pt>
                <c:pt idx="13">
                  <c:v>6.7600000000000004E-3</c:v>
                </c:pt>
                <c:pt idx="14">
                  <c:v>7.9000000000000008E-3</c:v>
                </c:pt>
                <c:pt idx="15">
                  <c:v>8.94E-3</c:v>
                </c:pt>
                <c:pt idx="16">
                  <c:v>9.9699999999999997E-3</c:v>
                </c:pt>
                <c:pt idx="17">
                  <c:v>1.1050000000000001E-2</c:v>
                </c:pt>
                <c:pt idx="18">
                  <c:v>1.221E-2</c:v>
                </c:pt>
                <c:pt idx="19">
                  <c:v>1.3509999999999999E-2</c:v>
                </c:pt>
                <c:pt idx="20">
                  <c:v>1.4970000000000001E-2</c:v>
                </c:pt>
                <c:pt idx="21">
                  <c:v>1.6650000000000002E-2</c:v>
                </c:pt>
              </c:numCache>
            </c:numRef>
          </c:yVal>
          <c:smooth val="1"/>
          <c:extLst>
            <c:ext xmlns:c16="http://schemas.microsoft.com/office/drawing/2014/chart" uri="{C3380CC4-5D6E-409C-BE32-E72D297353CC}">
              <c16:uniqueId val="{00000001-3F69-4B0F-94C6-1BC1497FBE3E}"/>
            </c:ext>
          </c:extLst>
        </c:ser>
        <c:ser>
          <c:idx val="2"/>
          <c:order val="2"/>
          <c:tx>
            <c:strRef>
              <c:f>Hoja1!$A$104</c:f>
              <c:strCache>
                <c:ptCount val="1"/>
                <c:pt idx="0">
                  <c:v>RFOIL     Re=3.1E6</c:v>
                </c:pt>
              </c:strCache>
            </c:strRef>
          </c:tx>
          <c:spPr>
            <a:ln w="19050" cap="rnd">
              <a:solidFill>
                <a:schemeClr val="accent3"/>
              </a:solidFill>
              <a:round/>
            </a:ln>
            <a:effectLst/>
          </c:spPr>
          <c:marker>
            <c:symbol val="diamond"/>
            <c:size val="4"/>
            <c:spPr>
              <a:solidFill>
                <a:schemeClr val="accent3"/>
              </a:solidFill>
              <a:ln w="9525">
                <a:solidFill>
                  <a:schemeClr val="accent3"/>
                </a:solidFill>
              </a:ln>
              <a:effectLst/>
            </c:spPr>
          </c:marker>
          <c:xVal>
            <c:numRef>
              <c:f>Hoja1!$B$127:$B$148</c:f>
              <c:numCache>
                <c:formatCode>General</c:formatCode>
                <c:ptCount val="22"/>
                <c:pt idx="0">
                  <c:v>-0.75480000000000003</c:v>
                </c:pt>
                <c:pt idx="1">
                  <c:v>-0.64810000000000001</c:v>
                </c:pt>
                <c:pt idx="2">
                  <c:v>-0.53890000000000005</c:v>
                </c:pt>
                <c:pt idx="3">
                  <c:v>-0.42820000000000003</c:v>
                </c:pt>
                <c:pt idx="4">
                  <c:v>-0.31669999999999998</c:v>
                </c:pt>
                <c:pt idx="5">
                  <c:v>-0.20480000000000001</c:v>
                </c:pt>
                <c:pt idx="6">
                  <c:v>-9.2600000000000002E-2</c:v>
                </c:pt>
                <c:pt idx="7">
                  <c:v>1.9800000000000002E-2</c:v>
                </c:pt>
                <c:pt idx="8">
                  <c:v>0.13239999999999999</c:v>
                </c:pt>
                <c:pt idx="9">
                  <c:v>0.24490000000000001</c:v>
                </c:pt>
                <c:pt idx="10">
                  <c:v>0.35680000000000001</c:v>
                </c:pt>
                <c:pt idx="11">
                  <c:v>0.4677</c:v>
                </c:pt>
                <c:pt idx="12">
                  <c:v>0.57579999999999998</c:v>
                </c:pt>
                <c:pt idx="13">
                  <c:v>0.67720000000000002</c:v>
                </c:pt>
                <c:pt idx="14">
                  <c:v>0.79390000000000005</c:v>
                </c:pt>
                <c:pt idx="15">
                  <c:v>0.90449999999999997</c:v>
                </c:pt>
                <c:pt idx="16">
                  <c:v>1.0039</c:v>
                </c:pt>
                <c:pt idx="17">
                  <c:v>1.1047</c:v>
                </c:pt>
                <c:pt idx="18">
                  <c:v>1.2037</c:v>
                </c:pt>
                <c:pt idx="19">
                  <c:v>1.2988999999999999</c:v>
                </c:pt>
                <c:pt idx="20">
                  <c:v>1.3886000000000001</c:v>
                </c:pt>
                <c:pt idx="21">
                  <c:v>1.4653</c:v>
                </c:pt>
              </c:numCache>
            </c:numRef>
          </c:xVal>
          <c:yVal>
            <c:numRef>
              <c:f>Hoja1!$C$127:$C$148</c:f>
              <c:numCache>
                <c:formatCode>General</c:formatCode>
                <c:ptCount val="22"/>
                <c:pt idx="0">
                  <c:v>9.1500000000000001E-3</c:v>
                </c:pt>
                <c:pt idx="1">
                  <c:v>8.3499999999999998E-3</c:v>
                </c:pt>
                <c:pt idx="2">
                  <c:v>7.6899999999999998E-3</c:v>
                </c:pt>
                <c:pt idx="3">
                  <c:v>7.1599999999999997E-3</c:v>
                </c:pt>
                <c:pt idx="4">
                  <c:v>6.7200000000000003E-3</c:v>
                </c:pt>
                <c:pt idx="5">
                  <c:v>6.3899999999999998E-3</c:v>
                </c:pt>
                <c:pt idx="6">
                  <c:v>6.1399999999999996E-3</c:v>
                </c:pt>
                <c:pt idx="7">
                  <c:v>5.9300000000000004E-3</c:v>
                </c:pt>
                <c:pt idx="8">
                  <c:v>5.79E-3</c:v>
                </c:pt>
                <c:pt idx="9">
                  <c:v>5.6800000000000002E-3</c:v>
                </c:pt>
                <c:pt idx="10">
                  <c:v>5.4999999999999997E-3</c:v>
                </c:pt>
                <c:pt idx="11">
                  <c:v>5.4400000000000004E-3</c:v>
                </c:pt>
                <c:pt idx="12">
                  <c:v>5.6299999999999996E-3</c:v>
                </c:pt>
                <c:pt idx="13">
                  <c:v>6.11E-3</c:v>
                </c:pt>
                <c:pt idx="14">
                  <c:v>7.1399999999999996E-3</c:v>
                </c:pt>
                <c:pt idx="15">
                  <c:v>8.1899999999999994E-3</c:v>
                </c:pt>
                <c:pt idx="16">
                  <c:v>9.1400000000000006E-3</c:v>
                </c:pt>
                <c:pt idx="17">
                  <c:v>1.01E-2</c:v>
                </c:pt>
                <c:pt idx="18">
                  <c:v>1.1129999999999999E-2</c:v>
                </c:pt>
                <c:pt idx="19">
                  <c:v>1.2319999999999999E-2</c:v>
                </c:pt>
                <c:pt idx="20">
                  <c:v>1.366E-2</c:v>
                </c:pt>
                <c:pt idx="21">
                  <c:v>1.523E-2</c:v>
                </c:pt>
              </c:numCache>
            </c:numRef>
          </c:yVal>
          <c:smooth val="1"/>
          <c:extLst>
            <c:ext xmlns:c16="http://schemas.microsoft.com/office/drawing/2014/chart" uri="{C3380CC4-5D6E-409C-BE32-E72D297353CC}">
              <c16:uniqueId val="{00000002-3F69-4B0F-94C6-1BC1497FBE3E}"/>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a:t>
            </a:r>
            <a:r>
              <a:rPr lang="en-US" baseline="0"/>
              <a:t> vs Cl     Re = 5.7e6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Hoja1!$F$4</c:f>
              <c:strCache>
                <c:ptCount val="1"/>
                <c:pt idx="0">
                  <c:v>Report 824     Re=5.7E6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Hoja1!$G$11:$G$39</c:f>
              <c:numCache>
                <c:formatCode>0.000</c:formatCode>
                <c:ptCount val="29"/>
                <c:pt idx="0" formatCode="General">
                  <c:v>-1.04</c:v>
                </c:pt>
                <c:pt idx="1">
                  <c:v>-0.98</c:v>
                </c:pt>
                <c:pt idx="2">
                  <c:v>-0.9</c:v>
                </c:pt>
                <c:pt idx="3">
                  <c:v>-0.8</c:v>
                </c:pt>
                <c:pt idx="4">
                  <c:v>-0.7</c:v>
                </c:pt>
                <c:pt idx="5">
                  <c:v>-0.6</c:v>
                </c:pt>
                <c:pt idx="6">
                  <c:v>-0.5</c:v>
                </c:pt>
                <c:pt idx="7">
                  <c:v>-0.4</c:v>
                </c:pt>
                <c:pt idx="8">
                  <c:v>-0.3</c:v>
                </c:pt>
                <c:pt idx="9">
                  <c:v>-0.2</c:v>
                </c:pt>
                <c:pt idx="10">
                  <c:v>-0.1</c:v>
                </c:pt>
                <c:pt idx="11">
                  <c:v>0</c:v>
                </c:pt>
                <c:pt idx="12">
                  <c:v>0.12</c:v>
                </c:pt>
                <c:pt idx="13">
                  <c:v>0.24</c:v>
                </c:pt>
                <c:pt idx="14">
                  <c:v>0.35</c:v>
                </c:pt>
                <c:pt idx="15">
                  <c:v>0.44</c:v>
                </c:pt>
                <c:pt idx="16">
                  <c:v>0.55000000000000004</c:v>
                </c:pt>
                <c:pt idx="17">
                  <c:v>0.65</c:v>
                </c:pt>
                <c:pt idx="18">
                  <c:v>0.75</c:v>
                </c:pt>
                <c:pt idx="19">
                  <c:v>0.86</c:v>
                </c:pt>
                <c:pt idx="20">
                  <c:v>0.96</c:v>
                </c:pt>
                <c:pt idx="21">
                  <c:v>1.0649999999999999</c:v>
                </c:pt>
                <c:pt idx="22">
                  <c:v>1.1499999999999999</c:v>
                </c:pt>
                <c:pt idx="23">
                  <c:v>1.24</c:v>
                </c:pt>
                <c:pt idx="24">
                  <c:v>1.32</c:v>
                </c:pt>
                <c:pt idx="25">
                  <c:v>1.4</c:v>
                </c:pt>
                <c:pt idx="26">
                  <c:v>1.48</c:v>
                </c:pt>
                <c:pt idx="27">
                  <c:v>1.52</c:v>
                </c:pt>
                <c:pt idx="28">
                  <c:v>1.6</c:v>
                </c:pt>
              </c:numCache>
            </c:numRef>
          </c:xVal>
          <c:yVal>
            <c:numRef>
              <c:f>Hoja1!$H$11:$H$39</c:f>
              <c:numCache>
                <c:formatCode>0.0000</c:formatCode>
                <c:ptCount val="29"/>
                <c:pt idx="0">
                  <c:v>1.26E-2</c:v>
                </c:pt>
                <c:pt idx="1">
                  <c:v>1.2E-2</c:v>
                </c:pt>
                <c:pt idx="2">
                  <c:v>1.0699999999999999E-2</c:v>
                </c:pt>
                <c:pt idx="3">
                  <c:v>9.4999999999999998E-3</c:v>
                </c:pt>
                <c:pt idx="4">
                  <c:v>8.8000000000000005E-3</c:v>
                </c:pt>
                <c:pt idx="5">
                  <c:v>8.0000000000000002E-3</c:v>
                </c:pt>
                <c:pt idx="6">
                  <c:v>7.6E-3</c:v>
                </c:pt>
                <c:pt idx="7">
                  <c:v>7.1999999999999998E-3</c:v>
                </c:pt>
                <c:pt idx="8">
                  <c:v>7.0000000000000001E-3</c:v>
                </c:pt>
                <c:pt idx="9">
                  <c:v>6.7999999999999996E-3</c:v>
                </c:pt>
                <c:pt idx="10">
                  <c:v>6.7000000000000002E-3</c:v>
                </c:pt>
                <c:pt idx="11">
                  <c:v>6.6E-3</c:v>
                </c:pt>
                <c:pt idx="12">
                  <c:v>6.4999999999999997E-3</c:v>
                </c:pt>
                <c:pt idx="13">
                  <c:v>6.4999999999999997E-3</c:v>
                </c:pt>
                <c:pt idx="14">
                  <c:v>6.1000000000000004E-3</c:v>
                </c:pt>
                <c:pt idx="15">
                  <c:v>6.1999999999999998E-3</c:v>
                </c:pt>
                <c:pt idx="16">
                  <c:v>6.7999999999999996E-3</c:v>
                </c:pt>
                <c:pt idx="17">
                  <c:v>7.3000000000000001E-3</c:v>
                </c:pt>
                <c:pt idx="18">
                  <c:v>7.6E-3</c:v>
                </c:pt>
                <c:pt idx="19">
                  <c:v>7.7999999999999996E-3</c:v>
                </c:pt>
                <c:pt idx="20">
                  <c:v>8.6E-3</c:v>
                </c:pt>
                <c:pt idx="21">
                  <c:v>9.7999999999999997E-3</c:v>
                </c:pt>
                <c:pt idx="22">
                  <c:v>1.0699999999999999E-2</c:v>
                </c:pt>
                <c:pt idx="23">
                  <c:v>1.18E-2</c:v>
                </c:pt>
                <c:pt idx="24">
                  <c:v>1.3100000000000001E-2</c:v>
                </c:pt>
                <c:pt idx="25">
                  <c:v>1.4800000000000001E-2</c:v>
                </c:pt>
                <c:pt idx="26">
                  <c:v>1.6500000000000001E-2</c:v>
                </c:pt>
                <c:pt idx="27">
                  <c:v>1.72E-2</c:v>
                </c:pt>
                <c:pt idx="28">
                  <c:v>1.8599999999999998E-2</c:v>
                </c:pt>
              </c:numCache>
            </c:numRef>
          </c:yVal>
          <c:smooth val="1"/>
          <c:extLst>
            <c:ext xmlns:c16="http://schemas.microsoft.com/office/drawing/2014/chart" uri="{C3380CC4-5D6E-409C-BE32-E72D297353CC}">
              <c16:uniqueId val="{00000000-BD43-45A0-A918-E3700F3C25DB}"/>
            </c:ext>
          </c:extLst>
        </c:ser>
        <c:ser>
          <c:idx val="1"/>
          <c:order val="1"/>
          <c:tx>
            <c:strRef>
              <c:f>Hoja1!$H$46</c:f>
              <c:strCache>
                <c:ptCount val="1"/>
                <c:pt idx="0">
                  <c:v>XFOIL     Re=5.7E6</c:v>
                </c:pt>
              </c:strCache>
            </c:strRef>
          </c:tx>
          <c:spPr>
            <a:ln w="19050" cap="rnd">
              <a:solidFill>
                <a:schemeClr val="accent2"/>
              </a:solidFill>
              <a:round/>
            </a:ln>
            <a:effectLst/>
          </c:spPr>
          <c:marker>
            <c:symbol val="square"/>
            <c:size val="4"/>
            <c:spPr>
              <a:solidFill>
                <a:schemeClr val="accent2"/>
              </a:solidFill>
              <a:ln w="9525">
                <a:solidFill>
                  <a:schemeClr val="accent2"/>
                </a:solidFill>
              </a:ln>
              <a:effectLst/>
            </c:spPr>
          </c:marker>
          <c:xVal>
            <c:numRef>
              <c:f>Hoja1!$I$65:$I$93</c:f>
              <c:numCache>
                <c:formatCode>General</c:formatCode>
                <c:ptCount val="29"/>
                <c:pt idx="0">
                  <c:v>-1.2078</c:v>
                </c:pt>
                <c:pt idx="1">
                  <c:v>-1.0899000000000001</c:v>
                </c:pt>
                <c:pt idx="2">
                  <c:v>-0.98280000000000001</c:v>
                </c:pt>
                <c:pt idx="3">
                  <c:v>-0.87939999999999996</c:v>
                </c:pt>
                <c:pt idx="4">
                  <c:v>-0.77239999999999998</c:v>
                </c:pt>
                <c:pt idx="5">
                  <c:v>-0.66220000000000001</c:v>
                </c:pt>
                <c:pt idx="6">
                  <c:v>-0.55059999999999998</c:v>
                </c:pt>
                <c:pt idx="7">
                  <c:v>-0.43830000000000002</c:v>
                </c:pt>
                <c:pt idx="8">
                  <c:v>-0.32519999999999999</c:v>
                </c:pt>
                <c:pt idx="9">
                  <c:v>-0.21179999999999999</c:v>
                </c:pt>
                <c:pt idx="10">
                  <c:v>-9.8199999999999996E-2</c:v>
                </c:pt>
                <c:pt idx="11">
                  <c:v>1.55E-2</c:v>
                </c:pt>
                <c:pt idx="12">
                  <c:v>0.12939999999999999</c:v>
                </c:pt>
                <c:pt idx="13">
                  <c:v>0.24349999999999999</c:v>
                </c:pt>
                <c:pt idx="14">
                  <c:v>0.35720000000000002</c:v>
                </c:pt>
                <c:pt idx="15">
                  <c:v>0.46939999999999998</c:v>
                </c:pt>
                <c:pt idx="16">
                  <c:v>0.57999999999999996</c:v>
                </c:pt>
                <c:pt idx="17">
                  <c:v>0.68779999999999997</c:v>
                </c:pt>
                <c:pt idx="18">
                  <c:v>0.78949999999999998</c:v>
                </c:pt>
                <c:pt idx="19">
                  <c:v>0.90959999999999996</c:v>
                </c:pt>
                <c:pt idx="20">
                  <c:v>1.0165</c:v>
                </c:pt>
                <c:pt idx="21">
                  <c:v>1.1192</c:v>
                </c:pt>
                <c:pt idx="22">
                  <c:v>1.222</c:v>
                </c:pt>
                <c:pt idx="23">
                  <c:v>1.3229</c:v>
                </c:pt>
                <c:pt idx="24">
                  <c:v>1.4207000000000001</c:v>
                </c:pt>
                <c:pt idx="25">
                  <c:v>1.5137</c:v>
                </c:pt>
                <c:pt idx="26">
                  <c:v>1.6005</c:v>
                </c:pt>
                <c:pt idx="27">
                  <c:v>1.6729000000000001</c:v>
                </c:pt>
                <c:pt idx="28">
                  <c:v>1.7336</c:v>
                </c:pt>
              </c:numCache>
            </c:numRef>
          </c:xVal>
          <c:yVal>
            <c:numRef>
              <c:f>Hoja1!$J$65:$J$93</c:f>
              <c:numCache>
                <c:formatCode>General</c:formatCode>
                <c:ptCount val="29"/>
                <c:pt idx="0">
                  <c:v>1.238E-2</c:v>
                </c:pt>
                <c:pt idx="1">
                  <c:v>1.11E-2</c:v>
                </c:pt>
                <c:pt idx="2">
                  <c:v>9.9900000000000006E-3</c:v>
                </c:pt>
                <c:pt idx="3">
                  <c:v>9.0799999999999995E-3</c:v>
                </c:pt>
                <c:pt idx="4">
                  <c:v>8.2799999999999992E-3</c:v>
                </c:pt>
                <c:pt idx="5">
                  <c:v>7.62E-3</c:v>
                </c:pt>
                <c:pt idx="6">
                  <c:v>7.0699999999999999E-3</c:v>
                </c:pt>
                <c:pt idx="7">
                  <c:v>6.6100000000000004E-3</c:v>
                </c:pt>
                <c:pt idx="8">
                  <c:v>6.2599999999999999E-3</c:v>
                </c:pt>
                <c:pt idx="9">
                  <c:v>5.9899999999999997E-3</c:v>
                </c:pt>
                <c:pt idx="10">
                  <c:v>5.77E-3</c:v>
                </c:pt>
                <c:pt idx="11">
                  <c:v>5.5799999999999999E-3</c:v>
                </c:pt>
                <c:pt idx="12">
                  <c:v>5.4599999999999996E-3</c:v>
                </c:pt>
                <c:pt idx="13">
                  <c:v>5.3299999999999997E-3</c:v>
                </c:pt>
                <c:pt idx="14">
                  <c:v>5.2199999999999998E-3</c:v>
                </c:pt>
                <c:pt idx="15">
                  <c:v>5.13E-3</c:v>
                </c:pt>
                <c:pt idx="16">
                  <c:v>5.3200000000000001E-3</c:v>
                </c:pt>
                <c:pt idx="17">
                  <c:v>5.7200000000000003E-3</c:v>
                </c:pt>
                <c:pt idx="18">
                  <c:v>6.3600000000000002E-3</c:v>
                </c:pt>
                <c:pt idx="19">
                  <c:v>7.26E-3</c:v>
                </c:pt>
                <c:pt idx="20">
                  <c:v>8.1399999999999997E-3</c:v>
                </c:pt>
                <c:pt idx="21">
                  <c:v>8.9899999999999997E-3</c:v>
                </c:pt>
                <c:pt idx="22">
                  <c:v>9.8899999999999995E-3</c:v>
                </c:pt>
                <c:pt idx="23">
                  <c:v>1.0880000000000001E-2</c:v>
                </c:pt>
                <c:pt idx="24">
                  <c:v>1.197E-2</c:v>
                </c:pt>
                <c:pt idx="25">
                  <c:v>1.323E-2</c:v>
                </c:pt>
                <c:pt idx="26">
                  <c:v>1.465E-2</c:v>
                </c:pt>
                <c:pt idx="27">
                  <c:v>1.6289999999999999E-2</c:v>
                </c:pt>
                <c:pt idx="28">
                  <c:v>1.8329999999999999E-2</c:v>
                </c:pt>
              </c:numCache>
            </c:numRef>
          </c:yVal>
          <c:smooth val="1"/>
          <c:extLst>
            <c:ext xmlns:c16="http://schemas.microsoft.com/office/drawing/2014/chart" uri="{C3380CC4-5D6E-409C-BE32-E72D297353CC}">
              <c16:uniqueId val="{00000001-BD43-45A0-A918-E3700F3C25DB}"/>
            </c:ext>
          </c:extLst>
        </c:ser>
        <c:ser>
          <c:idx val="2"/>
          <c:order val="2"/>
          <c:tx>
            <c:strRef>
              <c:f>Hoja1!$H$104</c:f>
              <c:strCache>
                <c:ptCount val="1"/>
                <c:pt idx="0">
                  <c:v>RFOIL     Re=5.7E6</c:v>
                </c:pt>
              </c:strCache>
            </c:strRef>
          </c:tx>
          <c:spPr>
            <a:ln w="19050" cap="rnd">
              <a:solidFill>
                <a:schemeClr val="accent3"/>
              </a:solidFill>
              <a:round/>
            </a:ln>
            <a:effectLst/>
          </c:spPr>
          <c:marker>
            <c:symbol val="diamond"/>
            <c:size val="4"/>
            <c:spPr>
              <a:solidFill>
                <a:schemeClr val="accent3"/>
              </a:solidFill>
              <a:ln w="9525">
                <a:solidFill>
                  <a:schemeClr val="accent3"/>
                </a:solidFill>
              </a:ln>
              <a:effectLst/>
            </c:spPr>
          </c:marker>
          <c:xVal>
            <c:numRef>
              <c:f>Hoja1!$I$123:$I$148</c:f>
              <c:numCache>
                <c:formatCode>General</c:formatCode>
                <c:ptCount val="26"/>
                <c:pt idx="0">
                  <c:v>-1.202</c:v>
                </c:pt>
                <c:pt idx="1">
                  <c:v>-1.0852999999999999</c:v>
                </c:pt>
                <c:pt idx="2">
                  <c:v>-0.97819999999999996</c:v>
                </c:pt>
                <c:pt idx="3">
                  <c:v>-0.87560000000000004</c:v>
                </c:pt>
                <c:pt idx="4">
                  <c:v>-0.76800000000000002</c:v>
                </c:pt>
                <c:pt idx="5">
                  <c:v>-0.65810000000000002</c:v>
                </c:pt>
                <c:pt idx="6">
                  <c:v>-0.54669999999999996</c:v>
                </c:pt>
                <c:pt idx="7">
                  <c:v>-0.43469999999999998</c:v>
                </c:pt>
                <c:pt idx="8">
                  <c:v>-0.32190000000000002</c:v>
                </c:pt>
                <c:pt idx="9">
                  <c:v>-0.2087</c:v>
                </c:pt>
                <c:pt idx="10">
                  <c:v>-9.5200000000000007E-2</c:v>
                </c:pt>
                <c:pt idx="11">
                  <c:v>1.8499999999999999E-2</c:v>
                </c:pt>
                <c:pt idx="12">
                  <c:v>0.13220000000000001</c:v>
                </c:pt>
                <c:pt idx="13">
                  <c:v>0.24610000000000001</c:v>
                </c:pt>
                <c:pt idx="14">
                  <c:v>0.35959999999999998</c:v>
                </c:pt>
                <c:pt idx="15">
                  <c:v>0.47070000000000001</c:v>
                </c:pt>
                <c:pt idx="16">
                  <c:v>0.58040000000000003</c:v>
                </c:pt>
                <c:pt idx="17">
                  <c:v>0.68789999999999996</c:v>
                </c:pt>
                <c:pt idx="18">
                  <c:v>0.79179999999999995</c:v>
                </c:pt>
                <c:pt idx="19">
                  <c:v>0.90229999999999999</c:v>
                </c:pt>
                <c:pt idx="20">
                  <c:v>1.0134000000000001</c:v>
                </c:pt>
                <c:pt idx="21">
                  <c:v>1.1164000000000001</c:v>
                </c:pt>
                <c:pt idx="22">
                  <c:v>1.2183999999999999</c:v>
                </c:pt>
                <c:pt idx="23">
                  <c:v>1.3172999999999999</c:v>
                </c:pt>
                <c:pt idx="24">
                  <c:v>1.4127000000000001</c:v>
                </c:pt>
                <c:pt idx="25">
                  <c:v>1.5013000000000001</c:v>
                </c:pt>
              </c:numCache>
            </c:numRef>
          </c:xVal>
          <c:yVal>
            <c:numRef>
              <c:f>Hoja1!$J$123:$J$148</c:f>
              <c:numCache>
                <c:formatCode>General</c:formatCode>
                <c:ptCount val="26"/>
                <c:pt idx="0">
                  <c:v>1.2189999999999999E-2</c:v>
                </c:pt>
                <c:pt idx="1">
                  <c:v>1.0840000000000001E-2</c:v>
                </c:pt>
                <c:pt idx="2">
                  <c:v>9.8200000000000006E-3</c:v>
                </c:pt>
                <c:pt idx="3">
                  <c:v>8.8599999999999998E-3</c:v>
                </c:pt>
                <c:pt idx="4">
                  <c:v>8.0999999999999996E-3</c:v>
                </c:pt>
                <c:pt idx="5">
                  <c:v>7.4700000000000001E-3</c:v>
                </c:pt>
                <c:pt idx="6">
                  <c:v>6.96E-3</c:v>
                </c:pt>
                <c:pt idx="7">
                  <c:v>6.5599999999999999E-3</c:v>
                </c:pt>
                <c:pt idx="8">
                  <c:v>6.2500000000000003E-3</c:v>
                </c:pt>
                <c:pt idx="9">
                  <c:v>6.0000000000000001E-3</c:v>
                </c:pt>
                <c:pt idx="10">
                  <c:v>5.8100000000000001E-3</c:v>
                </c:pt>
                <c:pt idx="11">
                  <c:v>5.6499999999999996E-3</c:v>
                </c:pt>
                <c:pt idx="12">
                  <c:v>5.5399999999999998E-3</c:v>
                </c:pt>
                <c:pt idx="13">
                  <c:v>5.4599999999999996E-3</c:v>
                </c:pt>
                <c:pt idx="14">
                  <c:v>5.4299999999999999E-3</c:v>
                </c:pt>
                <c:pt idx="15">
                  <c:v>5.4799999999999996E-3</c:v>
                </c:pt>
                <c:pt idx="16">
                  <c:v>5.7600000000000004E-3</c:v>
                </c:pt>
                <c:pt idx="17">
                  <c:v>6.2199999999999998E-3</c:v>
                </c:pt>
                <c:pt idx="18">
                  <c:v>6.6899999999999998E-3</c:v>
                </c:pt>
                <c:pt idx="19">
                  <c:v>7.43E-3</c:v>
                </c:pt>
                <c:pt idx="20">
                  <c:v>8.2400000000000008E-3</c:v>
                </c:pt>
                <c:pt idx="21">
                  <c:v>9.0600000000000003E-3</c:v>
                </c:pt>
                <c:pt idx="22">
                  <c:v>9.9399999999999992E-3</c:v>
                </c:pt>
                <c:pt idx="23">
                  <c:v>1.0959999999999999E-2</c:v>
                </c:pt>
                <c:pt idx="24">
                  <c:v>1.206E-2</c:v>
                </c:pt>
                <c:pt idx="25">
                  <c:v>1.338E-2</c:v>
                </c:pt>
              </c:numCache>
            </c:numRef>
          </c:yVal>
          <c:smooth val="1"/>
          <c:extLst>
            <c:ext xmlns:c16="http://schemas.microsoft.com/office/drawing/2014/chart" uri="{C3380CC4-5D6E-409C-BE32-E72D297353CC}">
              <c16:uniqueId val="{00000002-BD43-45A0-A918-E3700F3C25DB}"/>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a:t>
            </a:r>
            <a:r>
              <a:rPr lang="en-US" baseline="0"/>
              <a:t> vs Cl     Re = 8.9e6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Hoja1!$L$4</c:f>
              <c:strCache>
                <c:ptCount val="1"/>
                <c:pt idx="0">
                  <c:v>Report 824     Re=8.9E6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Hoja1!$M$16:$M$39</c:f>
              <c:numCache>
                <c:formatCode>0.000</c:formatCode>
                <c:ptCount val="24"/>
                <c:pt idx="0">
                  <c:v>-0.6</c:v>
                </c:pt>
                <c:pt idx="1">
                  <c:v>-0.5</c:v>
                </c:pt>
                <c:pt idx="2">
                  <c:v>-0.4</c:v>
                </c:pt>
                <c:pt idx="3">
                  <c:v>-0.3</c:v>
                </c:pt>
                <c:pt idx="4">
                  <c:v>-0.2</c:v>
                </c:pt>
                <c:pt idx="5">
                  <c:v>-0.1</c:v>
                </c:pt>
                <c:pt idx="6">
                  <c:v>0</c:v>
                </c:pt>
                <c:pt idx="7">
                  <c:v>0.12</c:v>
                </c:pt>
                <c:pt idx="8">
                  <c:v>0.23</c:v>
                </c:pt>
                <c:pt idx="9">
                  <c:v>0.35</c:v>
                </c:pt>
                <c:pt idx="10">
                  <c:v>0.44</c:v>
                </c:pt>
                <c:pt idx="11">
                  <c:v>0.55000000000000004</c:v>
                </c:pt>
                <c:pt idx="12">
                  <c:v>0.65</c:v>
                </c:pt>
                <c:pt idx="13">
                  <c:v>0.75</c:v>
                </c:pt>
                <c:pt idx="14">
                  <c:v>0.86</c:v>
                </c:pt>
                <c:pt idx="15">
                  <c:v>0.96</c:v>
                </c:pt>
                <c:pt idx="16">
                  <c:v>1.0649999999999999</c:v>
                </c:pt>
                <c:pt idx="17">
                  <c:v>1.1499999999999999</c:v>
                </c:pt>
                <c:pt idx="18">
                  <c:v>1.24</c:v>
                </c:pt>
                <c:pt idx="19">
                  <c:v>1.32</c:v>
                </c:pt>
                <c:pt idx="20">
                  <c:v>1.4</c:v>
                </c:pt>
                <c:pt idx="21">
                  <c:v>1.48</c:v>
                </c:pt>
                <c:pt idx="22">
                  <c:v>1.52</c:v>
                </c:pt>
                <c:pt idx="23">
                  <c:v>1.6</c:v>
                </c:pt>
              </c:numCache>
            </c:numRef>
          </c:xVal>
          <c:yVal>
            <c:numRef>
              <c:f>Hoja1!$N$16:$N$39</c:f>
              <c:numCache>
                <c:formatCode>General</c:formatCode>
                <c:ptCount val="24"/>
                <c:pt idx="0">
                  <c:v>7.7000000000000002E-3</c:v>
                </c:pt>
                <c:pt idx="1">
                  <c:v>7.3000000000000001E-3</c:v>
                </c:pt>
                <c:pt idx="2" formatCode="0.0000">
                  <c:v>7.0000000000000001E-3</c:v>
                </c:pt>
                <c:pt idx="3" formatCode="0.0000">
                  <c:v>6.7999999999999996E-3</c:v>
                </c:pt>
                <c:pt idx="4" formatCode="0.0000">
                  <c:v>6.4000000000000003E-3</c:v>
                </c:pt>
                <c:pt idx="5" formatCode="0.0000">
                  <c:v>6.1999999999999998E-3</c:v>
                </c:pt>
                <c:pt idx="6" formatCode="0.0000">
                  <c:v>6.0000000000000001E-3</c:v>
                </c:pt>
                <c:pt idx="7" formatCode="0.0000">
                  <c:v>5.8999999999999999E-3</c:v>
                </c:pt>
                <c:pt idx="8" formatCode="0.0000">
                  <c:v>5.7999999999999996E-3</c:v>
                </c:pt>
                <c:pt idx="9" formatCode="0.0000">
                  <c:v>6.0000000000000001E-3</c:v>
                </c:pt>
                <c:pt idx="10" formatCode="0.0000">
                  <c:v>6.1999999999999998E-3</c:v>
                </c:pt>
                <c:pt idx="11" formatCode="0.0000">
                  <c:v>6.7999999999999996E-3</c:v>
                </c:pt>
                <c:pt idx="12" formatCode="0.0000">
                  <c:v>7.1999999999999998E-3</c:v>
                </c:pt>
                <c:pt idx="13" formatCode="0.0000">
                  <c:v>7.3000000000000001E-3</c:v>
                </c:pt>
                <c:pt idx="14" formatCode="0.0000">
                  <c:v>7.6E-3</c:v>
                </c:pt>
                <c:pt idx="15" formatCode="0.0000">
                  <c:v>8.5000000000000006E-3</c:v>
                </c:pt>
                <c:pt idx="16" formatCode="0.0000">
                  <c:v>9.1000000000000004E-3</c:v>
                </c:pt>
                <c:pt idx="17" formatCode="0.0000">
                  <c:v>1.0200000000000001E-2</c:v>
                </c:pt>
                <c:pt idx="18" formatCode="0.0000">
                  <c:v>1.15E-2</c:v>
                </c:pt>
                <c:pt idx="19" formatCode="0.0000">
                  <c:v>1.2500000000000001E-2</c:v>
                </c:pt>
                <c:pt idx="20" formatCode="0.0000">
                  <c:v>1.47E-2</c:v>
                </c:pt>
                <c:pt idx="21" formatCode="0.0000">
                  <c:v>1.6500000000000001E-2</c:v>
                </c:pt>
                <c:pt idx="22" formatCode="0.0000">
                  <c:v>1.72E-2</c:v>
                </c:pt>
                <c:pt idx="23" formatCode="0.0000">
                  <c:v>1.8599999999999998E-2</c:v>
                </c:pt>
              </c:numCache>
            </c:numRef>
          </c:yVal>
          <c:smooth val="1"/>
          <c:extLst>
            <c:ext xmlns:c16="http://schemas.microsoft.com/office/drawing/2014/chart" uri="{C3380CC4-5D6E-409C-BE32-E72D297353CC}">
              <c16:uniqueId val="{00000000-6413-43D7-B7C3-3DA8145FD5B1}"/>
            </c:ext>
          </c:extLst>
        </c:ser>
        <c:ser>
          <c:idx val="1"/>
          <c:order val="1"/>
          <c:tx>
            <c:strRef>
              <c:f>Hoja1!$P$46</c:f>
              <c:strCache>
                <c:ptCount val="1"/>
                <c:pt idx="0">
                  <c:v>XFOIL     Re=8.9E6</c:v>
                </c:pt>
              </c:strCache>
            </c:strRef>
          </c:tx>
          <c:spPr>
            <a:ln w="19050" cap="rnd">
              <a:solidFill>
                <a:schemeClr val="accent2"/>
              </a:solidFill>
              <a:round/>
            </a:ln>
            <a:effectLst/>
          </c:spPr>
          <c:marker>
            <c:symbol val="square"/>
            <c:size val="4"/>
            <c:spPr>
              <a:solidFill>
                <a:schemeClr val="accent2"/>
              </a:solidFill>
              <a:ln w="9525">
                <a:solidFill>
                  <a:schemeClr val="accent2"/>
                </a:solidFill>
              </a:ln>
              <a:effectLst/>
            </c:spPr>
          </c:marker>
          <c:xVal>
            <c:numRef>
              <c:f>Hoja1!$P$70:$P$93</c:f>
              <c:numCache>
                <c:formatCode>General</c:formatCode>
                <c:ptCount val="24"/>
                <c:pt idx="0">
                  <c:v>-0.66749999999999998</c:v>
                </c:pt>
                <c:pt idx="1">
                  <c:v>-0.55510000000000004</c:v>
                </c:pt>
                <c:pt idx="2">
                  <c:v>-0.44190000000000002</c:v>
                </c:pt>
                <c:pt idx="3">
                  <c:v>-0.32829999999999998</c:v>
                </c:pt>
                <c:pt idx="4">
                  <c:v>-0.2142</c:v>
                </c:pt>
                <c:pt idx="5">
                  <c:v>-0.1</c:v>
                </c:pt>
                <c:pt idx="6">
                  <c:v>1.4500000000000001E-2</c:v>
                </c:pt>
                <c:pt idx="7">
                  <c:v>0.1293</c:v>
                </c:pt>
                <c:pt idx="8">
                  <c:v>0.24399999999999999</c:v>
                </c:pt>
                <c:pt idx="9">
                  <c:v>0.35830000000000001</c:v>
                </c:pt>
                <c:pt idx="10">
                  <c:v>0.4708</c:v>
                </c:pt>
                <c:pt idx="11">
                  <c:v>0.58179999999999998</c:v>
                </c:pt>
                <c:pt idx="12">
                  <c:v>0.69179999999999997</c:v>
                </c:pt>
                <c:pt idx="13">
                  <c:v>0.79990000000000006</c:v>
                </c:pt>
                <c:pt idx="14">
                  <c:v>0.90249999999999997</c:v>
                </c:pt>
                <c:pt idx="15">
                  <c:v>1.0226</c:v>
                </c:pt>
                <c:pt idx="16">
                  <c:v>1.1258999999999999</c:v>
                </c:pt>
                <c:pt idx="17">
                  <c:v>1.2302</c:v>
                </c:pt>
                <c:pt idx="18">
                  <c:v>1.3328</c:v>
                </c:pt>
                <c:pt idx="19">
                  <c:v>1.4329000000000001</c:v>
                </c:pt>
                <c:pt idx="20">
                  <c:v>1.5287999999999999</c:v>
                </c:pt>
                <c:pt idx="21">
                  <c:v>1.6197999999999999</c:v>
                </c:pt>
                <c:pt idx="22">
                  <c:v>1.7029000000000001</c:v>
                </c:pt>
                <c:pt idx="23">
                  <c:v>1.7678</c:v>
                </c:pt>
              </c:numCache>
            </c:numRef>
          </c:xVal>
          <c:yVal>
            <c:numRef>
              <c:f>Hoja1!$Q$70:$Q$93</c:f>
              <c:numCache>
                <c:formatCode>General</c:formatCode>
                <c:ptCount val="24"/>
                <c:pt idx="0">
                  <c:v>7.1199999999999996E-3</c:v>
                </c:pt>
                <c:pt idx="1">
                  <c:v>6.6499999999999997E-3</c:v>
                </c:pt>
                <c:pt idx="2">
                  <c:v>6.28E-3</c:v>
                </c:pt>
                <c:pt idx="3">
                  <c:v>5.9899999999999997E-3</c:v>
                </c:pt>
                <c:pt idx="4">
                  <c:v>5.7600000000000004E-3</c:v>
                </c:pt>
                <c:pt idx="5">
                  <c:v>5.5799999999999999E-3</c:v>
                </c:pt>
                <c:pt idx="6">
                  <c:v>5.4400000000000004E-3</c:v>
                </c:pt>
                <c:pt idx="7">
                  <c:v>5.3200000000000001E-3</c:v>
                </c:pt>
                <c:pt idx="8">
                  <c:v>5.2199999999999998E-3</c:v>
                </c:pt>
                <c:pt idx="9">
                  <c:v>5.1700000000000001E-3</c:v>
                </c:pt>
                <c:pt idx="10">
                  <c:v>5.2300000000000003E-3</c:v>
                </c:pt>
                <c:pt idx="11">
                  <c:v>5.47E-3</c:v>
                </c:pt>
                <c:pt idx="12">
                  <c:v>5.8500000000000002E-3</c:v>
                </c:pt>
                <c:pt idx="13">
                  <c:v>6.3299999999999997E-3</c:v>
                </c:pt>
                <c:pt idx="14">
                  <c:v>6.8399999999999997E-3</c:v>
                </c:pt>
                <c:pt idx="15">
                  <c:v>7.6099999999999996E-3</c:v>
                </c:pt>
                <c:pt idx="16">
                  <c:v>8.3599999999999994E-3</c:v>
                </c:pt>
                <c:pt idx="17">
                  <c:v>9.1800000000000007E-3</c:v>
                </c:pt>
                <c:pt idx="18">
                  <c:v>1.0070000000000001E-2</c:v>
                </c:pt>
                <c:pt idx="19">
                  <c:v>1.1050000000000001E-2</c:v>
                </c:pt>
                <c:pt idx="20">
                  <c:v>1.2189999999999999E-2</c:v>
                </c:pt>
                <c:pt idx="21">
                  <c:v>1.345E-2</c:v>
                </c:pt>
                <c:pt idx="22">
                  <c:v>1.49E-2</c:v>
                </c:pt>
                <c:pt idx="23">
                  <c:v>1.6559999999999998E-2</c:v>
                </c:pt>
              </c:numCache>
            </c:numRef>
          </c:yVal>
          <c:smooth val="1"/>
          <c:extLst>
            <c:ext xmlns:c16="http://schemas.microsoft.com/office/drawing/2014/chart" uri="{C3380CC4-5D6E-409C-BE32-E72D297353CC}">
              <c16:uniqueId val="{00000001-6413-43D7-B7C3-3DA8145FD5B1}"/>
            </c:ext>
          </c:extLst>
        </c:ser>
        <c:ser>
          <c:idx val="2"/>
          <c:order val="2"/>
          <c:tx>
            <c:strRef>
              <c:f>Hoja1!$O$104</c:f>
              <c:strCache>
                <c:ptCount val="1"/>
                <c:pt idx="0">
                  <c:v>RFOIL     Re=8.9E6</c:v>
                </c:pt>
              </c:strCache>
            </c:strRef>
          </c:tx>
          <c:spPr>
            <a:ln w="19050" cap="rnd">
              <a:solidFill>
                <a:schemeClr val="accent3"/>
              </a:solidFill>
              <a:round/>
            </a:ln>
            <a:effectLst/>
          </c:spPr>
          <c:marker>
            <c:symbol val="diamond"/>
            <c:size val="4"/>
            <c:spPr>
              <a:solidFill>
                <a:schemeClr val="accent3"/>
              </a:solidFill>
              <a:ln w="9525">
                <a:solidFill>
                  <a:schemeClr val="accent3"/>
                </a:solidFill>
              </a:ln>
              <a:effectLst/>
            </c:spPr>
          </c:marker>
          <c:xVal>
            <c:numRef>
              <c:f>Hoja1!$P$126:$P$149</c:f>
              <c:numCache>
                <c:formatCode>General</c:formatCode>
                <c:ptCount val="24"/>
                <c:pt idx="0">
                  <c:v>-0.77449999999999997</c:v>
                </c:pt>
                <c:pt idx="1">
                  <c:v>-0.66349999999999998</c:v>
                </c:pt>
                <c:pt idx="2">
                  <c:v>-0.5514</c:v>
                </c:pt>
                <c:pt idx="3">
                  <c:v>-0.43840000000000001</c:v>
                </c:pt>
                <c:pt idx="4">
                  <c:v>-0.32490000000000002</c:v>
                </c:pt>
                <c:pt idx="5">
                  <c:v>-0.21099999999999999</c:v>
                </c:pt>
                <c:pt idx="6">
                  <c:v>-9.69E-2</c:v>
                </c:pt>
                <c:pt idx="7">
                  <c:v>1.7600000000000001E-2</c:v>
                </c:pt>
                <c:pt idx="8">
                  <c:v>0.13220000000000001</c:v>
                </c:pt>
                <c:pt idx="9">
                  <c:v>0.2467</c:v>
                </c:pt>
                <c:pt idx="10">
                  <c:v>0.36020000000000002</c:v>
                </c:pt>
                <c:pt idx="11">
                  <c:v>0.47210000000000002</c:v>
                </c:pt>
                <c:pt idx="12">
                  <c:v>0.58199999999999996</c:v>
                </c:pt>
                <c:pt idx="13">
                  <c:v>0.69169999999999998</c:v>
                </c:pt>
                <c:pt idx="14">
                  <c:v>0.80010000000000003</c:v>
                </c:pt>
                <c:pt idx="15">
                  <c:v>0.90580000000000005</c:v>
                </c:pt>
                <c:pt idx="16">
                  <c:v>1.0184</c:v>
                </c:pt>
                <c:pt idx="17">
                  <c:v>1.1238999999999999</c:v>
                </c:pt>
                <c:pt idx="18">
                  <c:v>1.2276</c:v>
                </c:pt>
                <c:pt idx="19">
                  <c:v>1.3289</c:v>
                </c:pt>
                <c:pt idx="20">
                  <c:v>1.4267000000000001</c:v>
                </c:pt>
                <c:pt idx="21">
                  <c:v>1.5201</c:v>
                </c:pt>
                <c:pt idx="22">
                  <c:v>1.6060000000000001</c:v>
                </c:pt>
                <c:pt idx="23">
                  <c:v>1.6700999999999999</c:v>
                </c:pt>
              </c:numCache>
            </c:numRef>
          </c:xVal>
          <c:yVal>
            <c:numRef>
              <c:f>Hoja1!$Q$126:$Q$149</c:f>
              <c:numCache>
                <c:formatCode>General</c:formatCode>
                <c:ptCount val="24"/>
                <c:pt idx="0">
                  <c:v>7.5599999999999999E-3</c:v>
                </c:pt>
                <c:pt idx="1">
                  <c:v>7.0200000000000002E-3</c:v>
                </c:pt>
                <c:pt idx="2">
                  <c:v>6.5700000000000003E-3</c:v>
                </c:pt>
                <c:pt idx="3">
                  <c:v>6.2500000000000003E-3</c:v>
                </c:pt>
                <c:pt idx="4">
                  <c:v>5.9800000000000001E-3</c:v>
                </c:pt>
                <c:pt idx="5">
                  <c:v>5.77E-3</c:v>
                </c:pt>
                <c:pt idx="6">
                  <c:v>5.62E-3</c:v>
                </c:pt>
                <c:pt idx="7">
                  <c:v>5.47E-3</c:v>
                </c:pt>
                <c:pt idx="8">
                  <c:v>5.3600000000000002E-3</c:v>
                </c:pt>
                <c:pt idx="9">
                  <c:v>5.2900000000000004E-3</c:v>
                </c:pt>
                <c:pt idx="10">
                  <c:v>5.3699999999999998E-3</c:v>
                </c:pt>
                <c:pt idx="11">
                  <c:v>5.5700000000000003E-3</c:v>
                </c:pt>
                <c:pt idx="12">
                  <c:v>5.8599999999999998E-3</c:v>
                </c:pt>
                <c:pt idx="13">
                  <c:v>6.2399999999999999E-3</c:v>
                </c:pt>
                <c:pt idx="14">
                  <c:v>6.6600000000000001E-3</c:v>
                </c:pt>
                <c:pt idx="15">
                  <c:v>7.0200000000000002E-3</c:v>
                </c:pt>
                <c:pt idx="16">
                  <c:v>7.6699999999999997E-3</c:v>
                </c:pt>
                <c:pt idx="17">
                  <c:v>8.4100000000000008E-3</c:v>
                </c:pt>
                <c:pt idx="18">
                  <c:v>9.1999999999999998E-3</c:v>
                </c:pt>
                <c:pt idx="19">
                  <c:v>1.0109999999999999E-2</c:v>
                </c:pt>
                <c:pt idx="20">
                  <c:v>1.112E-2</c:v>
                </c:pt>
                <c:pt idx="21">
                  <c:v>1.225E-2</c:v>
                </c:pt>
                <c:pt idx="22">
                  <c:v>1.354E-2</c:v>
                </c:pt>
                <c:pt idx="23">
                  <c:v>1.5180000000000001E-2</c:v>
                </c:pt>
              </c:numCache>
            </c:numRef>
          </c:yVal>
          <c:smooth val="1"/>
          <c:extLst>
            <c:ext xmlns:c16="http://schemas.microsoft.com/office/drawing/2014/chart" uri="{C3380CC4-5D6E-409C-BE32-E72D297353CC}">
              <c16:uniqueId val="{00000002-6413-43D7-B7C3-3DA8145FD5B1}"/>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Cm</a:t>
            </a:r>
            <a:r>
              <a:rPr lang="en-US" baseline="0"/>
              <a:t> c/4 vs Alpha   Re=3.1e6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Hoja1!$A$4</c:f>
              <c:strCache>
                <c:ptCount val="1"/>
                <c:pt idx="0">
                  <c:v>Report 824     Re=3.1E6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Hoja1!$A$6:$A$42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Hoja1!$D$6:$D$42</c:f>
              <c:numCache>
                <c:formatCode>0.0000</c:formatCode>
                <c:ptCount val="37"/>
                <c:pt idx="0">
                  <c:v>0.05</c:v>
                </c:pt>
                <c:pt idx="1">
                  <c:v>2.5000000000000001E-2</c:v>
                </c:pt>
                <c:pt idx="2">
                  <c:v>7.4999999999999997E-3</c:v>
                </c:pt>
                <c:pt idx="3">
                  <c:v>-0.01</c:v>
                </c:pt>
                <c:pt idx="4">
                  <c:v>-1.4999999999999999E-2</c:v>
                </c:pt>
                <c:pt idx="5">
                  <c:v>-2.5000000000000001E-2</c:v>
                </c:pt>
                <c:pt idx="6">
                  <c:v>-3.2500000000000001E-2</c:v>
                </c:pt>
                <c:pt idx="7">
                  <c:v>-0.04</c:v>
                </c:pt>
                <c:pt idx="8">
                  <c:v>-4.4999999999999998E-2</c:v>
                </c:pt>
                <c:pt idx="9">
                  <c:v>-4.5999999999999999E-2</c:v>
                </c:pt>
                <c:pt idx="10">
                  <c:v>-4.9000000000000002E-2</c:v>
                </c:pt>
                <c:pt idx="11">
                  <c:v>-4.8000000000000001E-2</c:v>
                </c:pt>
                <c:pt idx="12">
                  <c:v>-4.7E-2</c:v>
                </c:pt>
                <c:pt idx="13">
                  <c:v>-4.5999999999999999E-2</c:v>
                </c:pt>
                <c:pt idx="14">
                  <c:v>-4.5999999999999999E-2</c:v>
                </c:pt>
                <c:pt idx="15">
                  <c:v>-4.5999999999999999E-2</c:v>
                </c:pt>
                <c:pt idx="16">
                  <c:v>-4.4999999999999998E-2</c:v>
                </c:pt>
                <c:pt idx="17">
                  <c:v>-4.4999999999999998E-2</c:v>
                </c:pt>
                <c:pt idx="18">
                  <c:v>-4.7E-2</c:v>
                </c:pt>
                <c:pt idx="19">
                  <c:v>-4.4999999999999998E-2</c:v>
                </c:pt>
                <c:pt idx="20">
                  <c:v>-4.3999999999999997E-2</c:v>
                </c:pt>
                <c:pt idx="21">
                  <c:v>-4.3999999999999997E-2</c:v>
                </c:pt>
                <c:pt idx="22">
                  <c:v>-4.2000000000000003E-2</c:v>
                </c:pt>
                <c:pt idx="23">
                  <c:v>-4.1000000000000002E-2</c:v>
                </c:pt>
                <c:pt idx="24">
                  <c:v>-0.04</c:v>
                </c:pt>
                <c:pt idx="25">
                  <c:v>-3.7999999999999999E-2</c:v>
                </c:pt>
                <c:pt idx="26">
                  <c:v>-3.7499999999999999E-2</c:v>
                </c:pt>
                <c:pt idx="27">
                  <c:v>-3.5999999999999997E-2</c:v>
                </c:pt>
                <c:pt idx="28">
                  <c:v>-3.2500000000000001E-2</c:v>
                </c:pt>
                <c:pt idx="29">
                  <c:v>-0.03</c:v>
                </c:pt>
                <c:pt idx="30">
                  <c:v>-2.5999999999999999E-2</c:v>
                </c:pt>
                <c:pt idx="31">
                  <c:v>-2.5000000000000001E-2</c:v>
                </c:pt>
                <c:pt idx="32" formatCode="General">
                  <c:v>-2.5000000000000001E-2</c:v>
                </c:pt>
                <c:pt idx="33">
                  <c:v>-2.5000000000000001E-2</c:v>
                </c:pt>
                <c:pt idx="34">
                  <c:v>-3.2500000000000001E-2</c:v>
                </c:pt>
                <c:pt idx="35">
                  <c:v>-0.05</c:v>
                </c:pt>
                <c:pt idx="36">
                  <c:v>-8.7499999999999994E-2</c:v>
                </c:pt>
              </c:numCache>
            </c:numRef>
          </c:yVal>
          <c:smooth val="1"/>
          <c:extLst>
            <c:ext xmlns:c16="http://schemas.microsoft.com/office/drawing/2014/chart" uri="{C3380CC4-5D6E-409C-BE32-E72D297353CC}">
              <c16:uniqueId val="{00000000-EF76-4726-A94D-42FF80957CEE}"/>
            </c:ext>
          </c:extLst>
        </c:ser>
        <c:ser>
          <c:idx val="1"/>
          <c:order val="1"/>
          <c:tx>
            <c:strRef>
              <c:f>Hoja1!$A$104</c:f>
              <c:strCache>
                <c:ptCount val="1"/>
                <c:pt idx="0">
                  <c:v>RFOIL     Re=3.1E6</c:v>
                </c:pt>
              </c:strCache>
            </c:strRef>
          </c:tx>
          <c:spPr>
            <a:ln w="19050" cap="rnd">
              <a:solidFill>
                <a:schemeClr val="accent6">
                  <a:lumMod val="60000"/>
                  <a:lumOff val="40000"/>
                </a:schemeClr>
              </a:solidFill>
              <a:round/>
            </a:ln>
            <a:effectLst/>
          </c:spPr>
          <c:marker>
            <c:symbol val="square"/>
            <c:size val="4"/>
            <c:spPr>
              <a:solidFill>
                <a:schemeClr val="accent6">
                  <a:lumMod val="60000"/>
                  <a:lumOff val="40000"/>
                </a:schemeClr>
              </a:solidFill>
              <a:ln w="9525">
                <a:solidFill>
                  <a:schemeClr val="accent6">
                    <a:lumMod val="60000"/>
                    <a:lumOff val="40000"/>
                  </a:schemeClr>
                </a:solidFill>
              </a:ln>
              <a:effectLst/>
            </c:spPr>
          </c:marker>
          <c:xVal>
            <c:numRef>
              <c:f>Hoja1!$A$123:$A$154</c:f>
              <c:numCache>
                <c:formatCode>General</c:formatCode>
                <c:ptCount val="32"/>
                <c:pt idx="0">
                  <c:v>-13</c:v>
                </c:pt>
                <c:pt idx="1">
                  <c:v>-12</c:v>
                </c:pt>
                <c:pt idx="2">
                  <c:v>-11</c:v>
                </c:pt>
                <c:pt idx="3">
                  <c:v>-10</c:v>
                </c:pt>
                <c:pt idx="4">
                  <c:v>-9</c:v>
                </c:pt>
                <c:pt idx="5">
                  <c:v>-8</c:v>
                </c:pt>
                <c:pt idx="6">
                  <c:v>-7</c:v>
                </c:pt>
                <c:pt idx="7">
                  <c:v>-6</c:v>
                </c:pt>
                <c:pt idx="8">
                  <c:v>-5</c:v>
                </c:pt>
                <c:pt idx="9">
                  <c:v>-4</c:v>
                </c:pt>
                <c:pt idx="10">
                  <c:v>-3</c:v>
                </c:pt>
                <c:pt idx="11">
                  <c:v>-2</c:v>
                </c:pt>
                <c:pt idx="12">
                  <c:v>-1</c:v>
                </c:pt>
                <c:pt idx="13">
                  <c:v>0</c:v>
                </c:pt>
                <c:pt idx="14">
                  <c:v>1</c:v>
                </c:pt>
                <c:pt idx="15">
                  <c:v>2</c:v>
                </c:pt>
                <c:pt idx="16">
                  <c:v>3</c:v>
                </c:pt>
                <c:pt idx="17">
                  <c:v>4</c:v>
                </c:pt>
                <c:pt idx="18">
                  <c:v>5</c:v>
                </c:pt>
                <c:pt idx="19">
                  <c:v>6</c:v>
                </c:pt>
                <c:pt idx="20">
                  <c:v>7</c:v>
                </c:pt>
                <c:pt idx="21">
                  <c:v>8</c:v>
                </c:pt>
                <c:pt idx="22">
                  <c:v>9</c:v>
                </c:pt>
                <c:pt idx="23">
                  <c:v>10</c:v>
                </c:pt>
                <c:pt idx="24">
                  <c:v>11</c:v>
                </c:pt>
                <c:pt idx="25">
                  <c:v>12</c:v>
                </c:pt>
                <c:pt idx="26">
                  <c:v>13</c:v>
                </c:pt>
                <c:pt idx="27">
                  <c:v>14</c:v>
                </c:pt>
                <c:pt idx="28">
                  <c:v>15</c:v>
                </c:pt>
                <c:pt idx="29">
                  <c:v>16</c:v>
                </c:pt>
                <c:pt idx="30">
                  <c:v>17</c:v>
                </c:pt>
                <c:pt idx="31">
                  <c:v>18</c:v>
                </c:pt>
              </c:numCache>
            </c:numRef>
          </c:xVal>
          <c:yVal>
            <c:numRef>
              <c:f>Hoja1!$D$123:$D$154</c:f>
              <c:numCache>
                <c:formatCode>General</c:formatCode>
                <c:ptCount val="32"/>
                <c:pt idx="0">
                  <c:v>-4.8399999999999999E-2</c:v>
                </c:pt>
                <c:pt idx="1">
                  <c:v>-5.11E-2</c:v>
                </c:pt>
                <c:pt idx="2">
                  <c:v>-5.4199999999999998E-2</c:v>
                </c:pt>
                <c:pt idx="3">
                  <c:v>-5.5899999999999998E-2</c:v>
                </c:pt>
                <c:pt idx="4">
                  <c:v>-5.45E-2</c:v>
                </c:pt>
                <c:pt idx="5">
                  <c:v>-5.3499999999999999E-2</c:v>
                </c:pt>
                <c:pt idx="6">
                  <c:v>-5.2900000000000003E-2</c:v>
                </c:pt>
                <c:pt idx="7">
                  <c:v>-5.2499999999999998E-2</c:v>
                </c:pt>
                <c:pt idx="8">
                  <c:v>-5.2299999999999999E-2</c:v>
                </c:pt>
                <c:pt idx="9">
                  <c:v>-5.21E-2</c:v>
                </c:pt>
                <c:pt idx="10">
                  <c:v>-5.1999999999999998E-2</c:v>
                </c:pt>
                <c:pt idx="11">
                  <c:v>-5.1999999999999998E-2</c:v>
                </c:pt>
                <c:pt idx="12">
                  <c:v>-5.1999999999999998E-2</c:v>
                </c:pt>
                <c:pt idx="13">
                  <c:v>-5.21E-2</c:v>
                </c:pt>
                <c:pt idx="14">
                  <c:v>-5.21E-2</c:v>
                </c:pt>
                <c:pt idx="15">
                  <c:v>-5.1999999999999998E-2</c:v>
                </c:pt>
                <c:pt idx="16">
                  <c:v>-5.1200000000000002E-2</c:v>
                </c:pt>
                <c:pt idx="17">
                  <c:v>-4.8800000000000003E-2</c:v>
                </c:pt>
                <c:pt idx="18">
                  <c:v>-5.0200000000000002E-2</c:v>
                </c:pt>
                <c:pt idx="19">
                  <c:v>-5.0500000000000003E-2</c:v>
                </c:pt>
                <c:pt idx="20">
                  <c:v>-4.8300000000000003E-2</c:v>
                </c:pt>
                <c:pt idx="21">
                  <c:v>-4.65E-2</c:v>
                </c:pt>
                <c:pt idx="22">
                  <c:v>-4.4499999999999998E-2</c:v>
                </c:pt>
                <c:pt idx="23">
                  <c:v>-4.2099999999999999E-2</c:v>
                </c:pt>
                <c:pt idx="24">
                  <c:v>-3.8899999999999997E-2</c:v>
                </c:pt>
                <c:pt idx="25">
                  <c:v>-3.3599999999999998E-2</c:v>
                </c:pt>
                <c:pt idx="26">
                  <c:v>-2.6700000000000002E-2</c:v>
                </c:pt>
                <c:pt idx="27">
                  <c:v>-1.9400000000000001E-2</c:v>
                </c:pt>
                <c:pt idx="28">
                  <c:v>-1.23E-2</c:v>
                </c:pt>
                <c:pt idx="29">
                  <c:v>-6.7999999999999996E-3</c:v>
                </c:pt>
                <c:pt idx="30">
                  <c:v>-4.8999999999999998E-3</c:v>
                </c:pt>
                <c:pt idx="31">
                  <c:v>-8.6999999999999994E-3</c:v>
                </c:pt>
              </c:numCache>
            </c:numRef>
          </c:yVal>
          <c:smooth val="1"/>
          <c:extLst>
            <c:ext xmlns:c16="http://schemas.microsoft.com/office/drawing/2014/chart" uri="{C3380CC4-5D6E-409C-BE32-E72D297353CC}">
              <c16:uniqueId val="{00000001-EF76-4726-A94D-42FF80957CEE}"/>
            </c:ext>
          </c:extLst>
        </c:ser>
        <c:ser>
          <c:idx val="2"/>
          <c:order val="2"/>
          <c:tx>
            <c:strRef>
              <c:f>Hoja1!$A$46</c:f>
              <c:strCache>
                <c:ptCount val="1"/>
                <c:pt idx="0">
                  <c:v>XFOIL     Re=3.1E6</c:v>
                </c:pt>
              </c:strCache>
            </c:strRef>
          </c:tx>
          <c:spPr>
            <a:ln w="19050" cap="rnd">
              <a:solidFill>
                <a:schemeClr val="accent2">
                  <a:lumMod val="75000"/>
                </a:schemeClr>
              </a:solidFill>
              <a:round/>
            </a:ln>
            <a:effectLst/>
          </c:spPr>
          <c:marker>
            <c:symbol val="diamond"/>
            <c:size val="4"/>
            <c:spPr>
              <a:solidFill>
                <a:schemeClr val="accent2">
                  <a:lumMod val="75000"/>
                </a:schemeClr>
              </a:solidFill>
              <a:ln w="9525">
                <a:solidFill>
                  <a:schemeClr val="accent2">
                    <a:lumMod val="75000"/>
                  </a:schemeClr>
                </a:solidFill>
              </a:ln>
              <a:effectLst/>
            </c:spPr>
          </c:marker>
          <c:xVal>
            <c:numRef>
              <c:f>Hoja1!$A$60:$A$96</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Hoja1!$E$60:$E$96</c:f>
              <c:numCache>
                <c:formatCode>General</c:formatCode>
                <c:ptCount val="37"/>
                <c:pt idx="0">
                  <c:v>-7.0699999999999999E-2</c:v>
                </c:pt>
                <c:pt idx="1">
                  <c:v>-6.7699999999999996E-2</c:v>
                </c:pt>
                <c:pt idx="2">
                  <c:v>-6.1699999999999998E-2</c:v>
                </c:pt>
                <c:pt idx="3">
                  <c:v>-5.74E-2</c:v>
                </c:pt>
                <c:pt idx="4">
                  <c:v>-5.21E-2</c:v>
                </c:pt>
                <c:pt idx="5">
                  <c:v>-4.7899999999999998E-2</c:v>
                </c:pt>
                <c:pt idx="6">
                  <c:v>-5.0900000000000001E-2</c:v>
                </c:pt>
                <c:pt idx="7">
                  <c:v>-5.4300000000000001E-2</c:v>
                </c:pt>
                <c:pt idx="8">
                  <c:v>-5.6500000000000002E-2</c:v>
                </c:pt>
                <c:pt idx="9">
                  <c:v>-5.5300000000000002E-2</c:v>
                </c:pt>
                <c:pt idx="10">
                  <c:v>-5.3900000000000003E-2</c:v>
                </c:pt>
                <c:pt idx="11">
                  <c:v>-5.33E-2</c:v>
                </c:pt>
                <c:pt idx="12">
                  <c:v>-5.2900000000000003E-2</c:v>
                </c:pt>
                <c:pt idx="13">
                  <c:v>-5.2699999999999997E-2</c:v>
                </c:pt>
                <c:pt idx="14">
                  <c:v>-5.2499999999999998E-2</c:v>
                </c:pt>
                <c:pt idx="15">
                  <c:v>-5.2499999999999998E-2</c:v>
                </c:pt>
                <c:pt idx="16">
                  <c:v>-5.2499999999999998E-2</c:v>
                </c:pt>
                <c:pt idx="17">
                  <c:v>-5.2600000000000001E-2</c:v>
                </c:pt>
                <c:pt idx="18">
                  <c:v>-5.2699999999999997E-2</c:v>
                </c:pt>
                <c:pt idx="19">
                  <c:v>-5.2699999999999997E-2</c:v>
                </c:pt>
                <c:pt idx="20">
                  <c:v>-5.2600000000000001E-2</c:v>
                </c:pt>
                <c:pt idx="21">
                  <c:v>-5.1700000000000003E-2</c:v>
                </c:pt>
                <c:pt idx="22">
                  <c:v>-4.9500000000000002E-2</c:v>
                </c:pt>
                <c:pt idx="23">
                  <c:v>-5.33E-2</c:v>
                </c:pt>
                <c:pt idx="24">
                  <c:v>-5.2999999999999999E-2</c:v>
                </c:pt>
                <c:pt idx="25">
                  <c:v>-5.0299999999999997E-2</c:v>
                </c:pt>
                <c:pt idx="26">
                  <c:v>-4.8500000000000001E-2</c:v>
                </c:pt>
                <c:pt idx="27">
                  <c:v>-4.6800000000000001E-2</c:v>
                </c:pt>
                <c:pt idx="28">
                  <c:v>-4.4699999999999997E-2</c:v>
                </c:pt>
                <c:pt idx="29">
                  <c:v>-4.2200000000000001E-2</c:v>
                </c:pt>
                <c:pt idx="30">
                  <c:v>-3.9E-2</c:v>
                </c:pt>
                <c:pt idx="31">
                  <c:v>-3.39E-2</c:v>
                </c:pt>
                <c:pt idx="32">
                  <c:v>-2.69E-2</c:v>
                </c:pt>
                <c:pt idx="33">
                  <c:v>-2.0299999999999999E-2</c:v>
                </c:pt>
                <c:pt idx="34">
                  <c:v>-1.43E-2</c:v>
                </c:pt>
                <c:pt idx="35">
                  <c:v>-0.01</c:v>
                </c:pt>
                <c:pt idx="36">
                  <c:v>-7.4999999999999997E-3</c:v>
                </c:pt>
              </c:numCache>
            </c:numRef>
          </c:yVal>
          <c:smooth val="1"/>
          <c:extLst>
            <c:ext xmlns:c16="http://schemas.microsoft.com/office/drawing/2014/chart" uri="{C3380CC4-5D6E-409C-BE32-E72D297353CC}">
              <c16:uniqueId val="{00000002-EF76-4726-A94D-42FF80957CEE}"/>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Cm</a:t>
            </a:r>
            <a:r>
              <a:rPr lang="en-US" baseline="0"/>
              <a:t> c/4 vs Alpha   Re=5.7e6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Hoja1!$F$4</c:f>
              <c:strCache>
                <c:ptCount val="1"/>
                <c:pt idx="0">
                  <c:v>Report 824     Re=5.7E6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Hoja1!$F$6:$F$42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Hoja1!$I$6:$I$42</c:f>
              <c:numCache>
                <c:formatCode>General</c:formatCode>
                <c:ptCount val="37"/>
                <c:pt idx="10" formatCode="0.0000">
                  <c:v>-4.9000000000000002E-2</c:v>
                </c:pt>
                <c:pt idx="11" formatCode="0.0000">
                  <c:v>-4.8000000000000001E-2</c:v>
                </c:pt>
                <c:pt idx="12" formatCode="0.0000">
                  <c:v>-4.7E-2</c:v>
                </c:pt>
                <c:pt idx="13" formatCode="0.0000">
                  <c:v>-4.5999999999999999E-2</c:v>
                </c:pt>
                <c:pt idx="14" formatCode="0.0000">
                  <c:v>-4.5999999999999999E-2</c:v>
                </c:pt>
                <c:pt idx="15" formatCode="0.0000">
                  <c:v>-4.5999999999999999E-2</c:v>
                </c:pt>
                <c:pt idx="16" formatCode="0.0000">
                  <c:v>-4.4999999999999998E-2</c:v>
                </c:pt>
                <c:pt idx="17" formatCode="0.0000">
                  <c:v>-4.4999999999999998E-2</c:v>
                </c:pt>
                <c:pt idx="18" formatCode="0.0000">
                  <c:v>-4.7E-2</c:v>
                </c:pt>
                <c:pt idx="19" formatCode="0.0000">
                  <c:v>-4.4999999999999998E-2</c:v>
                </c:pt>
                <c:pt idx="20" formatCode="0.0000">
                  <c:v>-4.3999999999999997E-2</c:v>
                </c:pt>
                <c:pt idx="21" formatCode="0.0000">
                  <c:v>-4.3999999999999997E-2</c:v>
                </c:pt>
                <c:pt idx="22" formatCode="0.0000">
                  <c:v>-4.2000000000000003E-2</c:v>
                </c:pt>
                <c:pt idx="23" formatCode="0.0000">
                  <c:v>-4.1000000000000002E-2</c:v>
                </c:pt>
                <c:pt idx="24" formatCode="0.0000">
                  <c:v>-0.04</c:v>
                </c:pt>
                <c:pt idx="25" formatCode="0.0000">
                  <c:v>-3.7999999999999999E-2</c:v>
                </c:pt>
                <c:pt idx="26" formatCode="0.0000">
                  <c:v>-3.7499999999999999E-2</c:v>
                </c:pt>
                <c:pt idx="27" formatCode="0.0000">
                  <c:v>-3.4000000000000002E-2</c:v>
                </c:pt>
                <c:pt idx="28" formatCode="0.0000">
                  <c:v>-3.7499999999999999E-2</c:v>
                </c:pt>
                <c:pt idx="29" formatCode="0.0000">
                  <c:v>-3.5000000000000003E-2</c:v>
                </c:pt>
                <c:pt idx="30" formatCode="0.0000">
                  <c:v>-3.4000000000000002E-2</c:v>
                </c:pt>
                <c:pt idx="31" formatCode="0.0000">
                  <c:v>-0.03</c:v>
                </c:pt>
                <c:pt idx="32">
                  <c:v>-2.5000000000000001E-2</c:v>
                </c:pt>
                <c:pt idx="33" formatCode="0.0000">
                  <c:v>-2.5000000000000001E-2</c:v>
                </c:pt>
                <c:pt idx="34" formatCode="0.0000">
                  <c:v>-4.2500000000000003E-2</c:v>
                </c:pt>
                <c:pt idx="35" formatCode="0.0000">
                  <c:v>-5.7500000000000002E-2</c:v>
                </c:pt>
                <c:pt idx="36" formatCode="0.0000">
                  <c:v>-0.105</c:v>
                </c:pt>
              </c:numCache>
            </c:numRef>
          </c:yVal>
          <c:smooth val="1"/>
          <c:extLst>
            <c:ext xmlns:c16="http://schemas.microsoft.com/office/drawing/2014/chart" uri="{C3380CC4-5D6E-409C-BE32-E72D297353CC}">
              <c16:uniqueId val="{00000000-9E97-451F-97E6-BC5B33C74A43}"/>
            </c:ext>
          </c:extLst>
        </c:ser>
        <c:ser>
          <c:idx val="1"/>
          <c:order val="1"/>
          <c:tx>
            <c:strRef>
              <c:f>Hoja1!$H$104</c:f>
              <c:strCache>
                <c:ptCount val="1"/>
                <c:pt idx="0">
                  <c:v>RFOIL     Re=5.7E6</c:v>
                </c:pt>
              </c:strCache>
            </c:strRef>
          </c:tx>
          <c:spPr>
            <a:ln w="19050" cap="rnd">
              <a:solidFill>
                <a:schemeClr val="accent6">
                  <a:lumMod val="60000"/>
                  <a:lumOff val="40000"/>
                </a:schemeClr>
              </a:solidFill>
              <a:round/>
            </a:ln>
            <a:effectLst/>
          </c:spPr>
          <c:marker>
            <c:symbol val="square"/>
            <c:size val="4"/>
            <c:spPr>
              <a:solidFill>
                <a:schemeClr val="accent6">
                  <a:lumMod val="60000"/>
                  <a:lumOff val="40000"/>
                </a:schemeClr>
              </a:solidFill>
              <a:ln w="9525">
                <a:solidFill>
                  <a:schemeClr val="accent6">
                    <a:lumMod val="60000"/>
                    <a:lumOff val="40000"/>
                  </a:schemeClr>
                </a:solidFill>
              </a:ln>
              <a:effectLst/>
            </c:spPr>
          </c:marker>
          <c:xVal>
            <c:numRef>
              <c:f>Hoja1!$H$123:$H$154</c:f>
              <c:numCache>
                <c:formatCode>General</c:formatCode>
                <c:ptCount val="32"/>
                <c:pt idx="0">
                  <c:v>-13</c:v>
                </c:pt>
                <c:pt idx="1">
                  <c:v>-12</c:v>
                </c:pt>
                <c:pt idx="2">
                  <c:v>-11</c:v>
                </c:pt>
                <c:pt idx="3">
                  <c:v>-10</c:v>
                </c:pt>
                <c:pt idx="4">
                  <c:v>-9</c:v>
                </c:pt>
                <c:pt idx="5">
                  <c:v>-8</c:v>
                </c:pt>
                <c:pt idx="6">
                  <c:v>-7</c:v>
                </c:pt>
                <c:pt idx="7">
                  <c:v>-6</c:v>
                </c:pt>
                <c:pt idx="8">
                  <c:v>-5</c:v>
                </c:pt>
                <c:pt idx="9">
                  <c:v>-4</c:v>
                </c:pt>
                <c:pt idx="10">
                  <c:v>-3</c:v>
                </c:pt>
                <c:pt idx="11">
                  <c:v>-2</c:v>
                </c:pt>
                <c:pt idx="12">
                  <c:v>-1</c:v>
                </c:pt>
                <c:pt idx="13">
                  <c:v>0</c:v>
                </c:pt>
                <c:pt idx="14">
                  <c:v>1</c:v>
                </c:pt>
                <c:pt idx="15">
                  <c:v>2</c:v>
                </c:pt>
                <c:pt idx="16">
                  <c:v>3</c:v>
                </c:pt>
                <c:pt idx="17">
                  <c:v>4</c:v>
                </c:pt>
                <c:pt idx="18">
                  <c:v>5</c:v>
                </c:pt>
                <c:pt idx="19">
                  <c:v>6</c:v>
                </c:pt>
                <c:pt idx="20">
                  <c:v>7</c:v>
                </c:pt>
                <c:pt idx="21">
                  <c:v>8</c:v>
                </c:pt>
                <c:pt idx="22">
                  <c:v>9</c:v>
                </c:pt>
                <c:pt idx="23">
                  <c:v>10</c:v>
                </c:pt>
                <c:pt idx="24">
                  <c:v>11</c:v>
                </c:pt>
                <c:pt idx="25">
                  <c:v>12</c:v>
                </c:pt>
                <c:pt idx="26">
                  <c:v>13</c:v>
                </c:pt>
                <c:pt idx="27">
                  <c:v>14</c:v>
                </c:pt>
                <c:pt idx="28">
                  <c:v>15</c:v>
                </c:pt>
                <c:pt idx="29">
                  <c:v>16</c:v>
                </c:pt>
                <c:pt idx="30">
                  <c:v>17</c:v>
                </c:pt>
                <c:pt idx="31">
                  <c:v>18</c:v>
                </c:pt>
              </c:numCache>
            </c:numRef>
          </c:xVal>
          <c:yVal>
            <c:numRef>
              <c:f>Hoja1!$K$123:$K$154</c:f>
              <c:numCache>
                <c:formatCode>General</c:formatCode>
                <c:ptCount val="32"/>
                <c:pt idx="0">
                  <c:v>-5.2200000000000003E-2</c:v>
                </c:pt>
                <c:pt idx="1">
                  <c:v>-5.45E-2</c:v>
                </c:pt>
                <c:pt idx="2">
                  <c:v>-5.4199999999999998E-2</c:v>
                </c:pt>
                <c:pt idx="3">
                  <c:v>-5.2600000000000001E-2</c:v>
                </c:pt>
                <c:pt idx="4">
                  <c:v>-5.1900000000000002E-2</c:v>
                </c:pt>
                <c:pt idx="5">
                  <c:v>-5.1499999999999997E-2</c:v>
                </c:pt>
                <c:pt idx="6">
                  <c:v>-5.1299999999999998E-2</c:v>
                </c:pt>
                <c:pt idx="7">
                  <c:v>-5.1299999999999998E-2</c:v>
                </c:pt>
                <c:pt idx="8">
                  <c:v>-5.1299999999999998E-2</c:v>
                </c:pt>
                <c:pt idx="9">
                  <c:v>-5.1400000000000001E-2</c:v>
                </c:pt>
                <c:pt idx="10">
                  <c:v>-5.16E-2</c:v>
                </c:pt>
                <c:pt idx="11">
                  <c:v>-5.1799999999999999E-2</c:v>
                </c:pt>
                <c:pt idx="12">
                  <c:v>-5.21E-2</c:v>
                </c:pt>
                <c:pt idx="13">
                  <c:v>-5.2400000000000002E-2</c:v>
                </c:pt>
                <c:pt idx="14">
                  <c:v>-5.2600000000000001E-2</c:v>
                </c:pt>
                <c:pt idx="15">
                  <c:v>-5.2499999999999998E-2</c:v>
                </c:pt>
                <c:pt idx="16">
                  <c:v>-5.2200000000000003E-2</c:v>
                </c:pt>
                <c:pt idx="17">
                  <c:v>-5.1499999999999997E-2</c:v>
                </c:pt>
                <c:pt idx="18">
                  <c:v>-4.99E-2</c:v>
                </c:pt>
                <c:pt idx="19">
                  <c:v>-4.9700000000000001E-2</c:v>
                </c:pt>
                <c:pt idx="20">
                  <c:v>-0.05</c:v>
                </c:pt>
                <c:pt idx="21">
                  <c:v>-4.8500000000000001E-2</c:v>
                </c:pt>
                <c:pt idx="22">
                  <c:v>-4.7100000000000003E-2</c:v>
                </c:pt>
                <c:pt idx="23">
                  <c:v>-4.5199999999999997E-2</c:v>
                </c:pt>
                <c:pt idx="24">
                  <c:v>-4.2900000000000001E-2</c:v>
                </c:pt>
                <c:pt idx="25">
                  <c:v>-3.9600000000000003E-2</c:v>
                </c:pt>
                <c:pt idx="26">
                  <c:v>-3.4000000000000002E-2</c:v>
                </c:pt>
                <c:pt idx="27">
                  <c:v>-2.6800000000000001E-2</c:v>
                </c:pt>
                <c:pt idx="28">
                  <c:v>-1.9300000000000001E-2</c:v>
                </c:pt>
                <c:pt idx="29">
                  <c:v>-1.21E-2</c:v>
                </c:pt>
                <c:pt idx="30">
                  <c:v>-6.7000000000000002E-3</c:v>
                </c:pt>
                <c:pt idx="31">
                  <c:v>-4.4999999999999997E-3</c:v>
                </c:pt>
              </c:numCache>
            </c:numRef>
          </c:yVal>
          <c:smooth val="1"/>
          <c:extLst>
            <c:ext xmlns:c16="http://schemas.microsoft.com/office/drawing/2014/chart" uri="{C3380CC4-5D6E-409C-BE32-E72D297353CC}">
              <c16:uniqueId val="{00000001-9E97-451F-97E6-BC5B33C74A43}"/>
            </c:ext>
          </c:extLst>
        </c:ser>
        <c:ser>
          <c:idx val="2"/>
          <c:order val="2"/>
          <c:tx>
            <c:strRef>
              <c:f>Hoja1!$H$46</c:f>
              <c:strCache>
                <c:ptCount val="1"/>
                <c:pt idx="0">
                  <c:v>XFOIL     Re=5.7E6</c:v>
                </c:pt>
              </c:strCache>
            </c:strRef>
          </c:tx>
          <c:spPr>
            <a:ln w="19050" cap="rnd">
              <a:solidFill>
                <a:schemeClr val="accent2">
                  <a:lumMod val="75000"/>
                </a:schemeClr>
              </a:solidFill>
              <a:round/>
            </a:ln>
            <a:effectLst/>
          </c:spPr>
          <c:marker>
            <c:symbol val="diamond"/>
            <c:size val="4"/>
            <c:spPr>
              <a:solidFill>
                <a:schemeClr val="accent2">
                  <a:lumMod val="75000"/>
                </a:schemeClr>
              </a:solidFill>
              <a:ln w="9525">
                <a:solidFill>
                  <a:schemeClr val="accent2">
                    <a:lumMod val="75000"/>
                  </a:schemeClr>
                </a:solidFill>
              </a:ln>
              <a:effectLst/>
            </c:spPr>
          </c:marker>
          <c:xVal>
            <c:numRef>
              <c:f>Hoja1!$H$60:$H$96</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Hoja1!$L$60:$L$96</c:f>
              <c:numCache>
                <c:formatCode>General</c:formatCode>
                <c:ptCount val="37"/>
                <c:pt idx="0">
                  <c:v>-6.7599999999999993E-2</c:v>
                </c:pt>
                <c:pt idx="1">
                  <c:v>-6.1100000000000002E-2</c:v>
                </c:pt>
                <c:pt idx="2">
                  <c:v>-5.7500000000000002E-2</c:v>
                </c:pt>
                <c:pt idx="3">
                  <c:v>-5.33E-2</c:v>
                </c:pt>
                <c:pt idx="4">
                  <c:v>-5.04E-2</c:v>
                </c:pt>
                <c:pt idx="5">
                  <c:v>-5.2699999999999997E-2</c:v>
                </c:pt>
                <c:pt idx="6">
                  <c:v>-5.5E-2</c:v>
                </c:pt>
                <c:pt idx="7">
                  <c:v>-5.4600000000000003E-2</c:v>
                </c:pt>
                <c:pt idx="8">
                  <c:v>-5.3100000000000001E-2</c:v>
                </c:pt>
                <c:pt idx="9">
                  <c:v>-5.2200000000000003E-2</c:v>
                </c:pt>
                <c:pt idx="10">
                  <c:v>-5.1799999999999999E-2</c:v>
                </c:pt>
                <c:pt idx="11">
                  <c:v>-5.1700000000000003E-2</c:v>
                </c:pt>
                <c:pt idx="12">
                  <c:v>-5.16E-2</c:v>
                </c:pt>
                <c:pt idx="13">
                  <c:v>-5.1700000000000003E-2</c:v>
                </c:pt>
                <c:pt idx="14">
                  <c:v>-5.1799999999999999E-2</c:v>
                </c:pt>
                <c:pt idx="15">
                  <c:v>-5.1999999999999998E-2</c:v>
                </c:pt>
                <c:pt idx="16">
                  <c:v>-5.2299999999999999E-2</c:v>
                </c:pt>
                <c:pt idx="17">
                  <c:v>-5.2600000000000001E-2</c:v>
                </c:pt>
                <c:pt idx="18">
                  <c:v>-5.2900000000000003E-2</c:v>
                </c:pt>
                <c:pt idx="19">
                  <c:v>-5.33E-2</c:v>
                </c:pt>
                <c:pt idx="20">
                  <c:v>-5.3400000000000003E-2</c:v>
                </c:pt>
                <c:pt idx="21">
                  <c:v>-5.3199999999999997E-2</c:v>
                </c:pt>
                <c:pt idx="22">
                  <c:v>-5.2499999999999998E-2</c:v>
                </c:pt>
                <c:pt idx="23">
                  <c:v>-5.0299999999999997E-2</c:v>
                </c:pt>
                <c:pt idx="24">
                  <c:v>-5.2499999999999998E-2</c:v>
                </c:pt>
                <c:pt idx="25">
                  <c:v>-5.1799999999999999E-2</c:v>
                </c:pt>
                <c:pt idx="26">
                  <c:v>-5.0299999999999997E-2</c:v>
                </c:pt>
                <c:pt idx="27">
                  <c:v>-4.9000000000000002E-2</c:v>
                </c:pt>
                <c:pt idx="28">
                  <c:v>-4.7500000000000001E-2</c:v>
                </c:pt>
                <c:pt idx="29">
                  <c:v>-4.5600000000000002E-2</c:v>
                </c:pt>
                <c:pt idx="30">
                  <c:v>-4.3099999999999999E-2</c:v>
                </c:pt>
                <c:pt idx="31">
                  <c:v>-3.9699999999999999E-2</c:v>
                </c:pt>
                <c:pt idx="32">
                  <c:v>-3.39E-2</c:v>
                </c:pt>
                <c:pt idx="33">
                  <c:v>-2.7099999999999999E-2</c:v>
                </c:pt>
                <c:pt idx="34">
                  <c:v>-2.0500000000000001E-2</c:v>
                </c:pt>
                <c:pt idx="35">
                  <c:v>-1.46E-2</c:v>
                </c:pt>
                <c:pt idx="36">
                  <c:v>-1.0200000000000001E-2</c:v>
                </c:pt>
              </c:numCache>
            </c:numRef>
          </c:yVal>
          <c:smooth val="1"/>
          <c:extLst>
            <c:ext xmlns:c16="http://schemas.microsoft.com/office/drawing/2014/chart" uri="{C3380CC4-5D6E-409C-BE32-E72D297353CC}">
              <c16:uniqueId val="{00000002-9E97-451F-97E6-BC5B33C74A43}"/>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Cm</a:t>
            </a:r>
            <a:r>
              <a:rPr lang="en-US" baseline="0"/>
              <a:t> c/4 vs Alpha   Re=8.9e6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strRef>
              <c:f>Hoja1!$L$4</c:f>
              <c:strCache>
                <c:ptCount val="1"/>
                <c:pt idx="0">
                  <c:v>Report 824     Re=8.9E6</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Hoja1!$L$6:$L$42</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Hoja1!$O$6:$O$42</c:f>
              <c:numCache>
                <c:formatCode>General</c:formatCode>
                <c:ptCount val="37"/>
                <c:pt idx="10" formatCode="0.0000">
                  <c:v>-4.9000000000000002E-2</c:v>
                </c:pt>
                <c:pt idx="11" formatCode="0.0000">
                  <c:v>-4.8000000000000001E-2</c:v>
                </c:pt>
                <c:pt idx="12" formatCode="0.0000">
                  <c:v>-4.7E-2</c:v>
                </c:pt>
                <c:pt idx="13" formatCode="0.0000">
                  <c:v>-4.5999999999999999E-2</c:v>
                </c:pt>
                <c:pt idx="14" formatCode="0.0000">
                  <c:v>-4.5999999999999999E-2</c:v>
                </c:pt>
                <c:pt idx="15" formatCode="0.0000">
                  <c:v>-4.5999999999999999E-2</c:v>
                </c:pt>
                <c:pt idx="16" formatCode="0.0000">
                  <c:v>-4.4999999999999998E-2</c:v>
                </c:pt>
                <c:pt idx="17" formatCode="0.0000">
                  <c:v>-4.4999999999999998E-2</c:v>
                </c:pt>
                <c:pt idx="18" formatCode="0.0000">
                  <c:v>-4.7E-2</c:v>
                </c:pt>
                <c:pt idx="19" formatCode="0.0000">
                  <c:v>-4.4999999999999998E-2</c:v>
                </c:pt>
                <c:pt idx="20" formatCode="0.0000">
                  <c:v>-4.3999999999999997E-2</c:v>
                </c:pt>
                <c:pt idx="21" formatCode="0.0000">
                  <c:v>-4.3999999999999997E-2</c:v>
                </c:pt>
                <c:pt idx="22" formatCode="0.0000">
                  <c:v>-4.2000000000000003E-2</c:v>
                </c:pt>
                <c:pt idx="23" formatCode="0.0000">
                  <c:v>-4.1000000000000002E-2</c:v>
                </c:pt>
                <c:pt idx="24" formatCode="0.0000">
                  <c:v>-0.04</c:v>
                </c:pt>
                <c:pt idx="25" formatCode="0.0000">
                  <c:v>-3.7999999999999999E-2</c:v>
                </c:pt>
                <c:pt idx="26" formatCode="0.0000">
                  <c:v>-3.7499999999999999E-2</c:v>
                </c:pt>
                <c:pt idx="27" formatCode="0.0000">
                  <c:v>-3.4000000000000002E-2</c:v>
                </c:pt>
                <c:pt idx="28" formatCode="0.0000">
                  <c:v>-3.7499999999999999E-2</c:v>
                </c:pt>
                <c:pt idx="29" formatCode="0.0000">
                  <c:v>-3.5000000000000003E-2</c:v>
                </c:pt>
                <c:pt idx="30" formatCode="0.0000">
                  <c:v>-3.4000000000000002E-2</c:v>
                </c:pt>
                <c:pt idx="31" formatCode="0.0000">
                  <c:v>-0.03</c:v>
                </c:pt>
                <c:pt idx="32">
                  <c:v>-2.5000000000000001E-2</c:v>
                </c:pt>
                <c:pt idx="33" formatCode="0.0000">
                  <c:v>-2.2499999999999999E-2</c:v>
                </c:pt>
                <c:pt idx="34" formatCode="0.0000">
                  <c:v>-0.02</c:v>
                </c:pt>
                <c:pt idx="35" formatCode="0.0000">
                  <c:v>-3.5000000000000003E-2</c:v>
                </c:pt>
                <c:pt idx="36" formatCode="0.0000">
                  <c:v>-6.25E-2</c:v>
                </c:pt>
              </c:numCache>
            </c:numRef>
          </c:yVal>
          <c:smooth val="1"/>
          <c:extLst>
            <c:ext xmlns:c16="http://schemas.microsoft.com/office/drawing/2014/chart" uri="{C3380CC4-5D6E-409C-BE32-E72D297353CC}">
              <c16:uniqueId val="{00000000-A3EB-4706-8A43-5F5E130AA75C}"/>
            </c:ext>
          </c:extLst>
        </c:ser>
        <c:ser>
          <c:idx val="1"/>
          <c:order val="1"/>
          <c:tx>
            <c:strRef>
              <c:f>Hoja1!$O$104</c:f>
              <c:strCache>
                <c:ptCount val="1"/>
                <c:pt idx="0">
                  <c:v>RFOIL     Re=8.9E6</c:v>
                </c:pt>
              </c:strCache>
            </c:strRef>
          </c:tx>
          <c:spPr>
            <a:ln w="19050" cap="rnd">
              <a:solidFill>
                <a:schemeClr val="accent6">
                  <a:lumMod val="60000"/>
                  <a:lumOff val="40000"/>
                </a:schemeClr>
              </a:solidFill>
              <a:round/>
            </a:ln>
            <a:effectLst/>
          </c:spPr>
          <c:marker>
            <c:symbol val="square"/>
            <c:size val="4"/>
            <c:spPr>
              <a:solidFill>
                <a:schemeClr val="accent6">
                  <a:lumMod val="60000"/>
                  <a:lumOff val="40000"/>
                </a:schemeClr>
              </a:solidFill>
              <a:ln w="9525">
                <a:solidFill>
                  <a:schemeClr val="accent6">
                    <a:lumMod val="60000"/>
                    <a:lumOff val="40000"/>
                  </a:schemeClr>
                </a:solidFill>
              </a:ln>
              <a:effectLst/>
            </c:spPr>
          </c:marker>
          <c:xVal>
            <c:numRef>
              <c:f>Hoja1!$O$117:$O$153</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Hoja1!$R$118:$R$153</c:f>
              <c:numCache>
                <c:formatCode>General</c:formatCode>
                <c:ptCount val="36"/>
                <c:pt idx="4">
                  <c:v>-5.3900000000000003E-2</c:v>
                </c:pt>
                <c:pt idx="5">
                  <c:v>-5.3100000000000001E-2</c:v>
                </c:pt>
                <c:pt idx="6">
                  <c:v>-5.1700000000000003E-2</c:v>
                </c:pt>
                <c:pt idx="7">
                  <c:v>-5.0999999999999997E-2</c:v>
                </c:pt>
                <c:pt idx="8">
                  <c:v>-5.0700000000000002E-2</c:v>
                </c:pt>
                <c:pt idx="9">
                  <c:v>-5.0500000000000003E-2</c:v>
                </c:pt>
                <c:pt idx="10">
                  <c:v>-5.0500000000000003E-2</c:v>
                </c:pt>
                <c:pt idx="11">
                  <c:v>-5.0599999999999999E-2</c:v>
                </c:pt>
                <c:pt idx="12">
                  <c:v>-5.0799999999999998E-2</c:v>
                </c:pt>
                <c:pt idx="13">
                  <c:v>-5.11E-2</c:v>
                </c:pt>
                <c:pt idx="14">
                  <c:v>-5.1400000000000001E-2</c:v>
                </c:pt>
                <c:pt idx="15">
                  <c:v>-5.1700000000000003E-2</c:v>
                </c:pt>
                <c:pt idx="16">
                  <c:v>-5.21E-2</c:v>
                </c:pt>
                <c:pt idx="17">
                  <c:v>-5.2499999999999998E-2</c:v>
                </c:pt>
                <c:pt idx="18">
                  <c:v>-5.2699999999999997E-2</c:v>
                </c:pt>
                <c:pt idx="19">
                  <c:v>-5.28E-2</c:v>
                </c:pt>
                <c:pt idx="20">
                  <c:v>-5.2499999999999998E-2</c:v>
                </c:pt>
                <c:pt idx="21">
                  <c:v>-5.2200000000000003E-2</c:v>
                </c:pt>
                <c:pt idx="22">
                  <c:v>-5.1700000000000003E-2</c:v>
                </c:pt>
                <c:pt idx="23">
                  <c:v>-5.0500000000000003E-2</c:v>
                </c:pt>
                <c:pt idx="24">
                  <c:v>-5.0900000000000001E-2</c:v>
                </c:pt>
                <c:pt idx="25">
                  <c:v>-4.99E-2</c:v>
                </c:pt>
                <c:pt idx="26">
                  <c:v>-4.87E-2</c:v>
                </c:pt>
                <c:pt idx="27">
                  <c:v>-4.7199999999999999E-2</c:v>
                </c:pt>
                <c:pt idx="28">
                  <c:v>-4.53E-2</c:v>
                </c:pt>
                <c:pt idx="29">
                  <c:v>-4.2700000000000002E-2</c:v>
                </c:pt>
                <c:pt idx="30">
                  <c:v>-3.9E-2</c:v>
                </c:pt>
                <c:pt idx="31">
                  <c:v>-3.1699999999999999E-2</c:v>
                </c:pt>
                <c:pt idx="32">
                  <c:v>-2.46E-2</c:v>
                </c:pt>
                <c:pt idx="33">
                  <c:v>-1.6899999999999998E-2</c:v>
                </c:pt>
                <c:pt idx="34">
                  <c:v>-9.7999999999999997E-3</c:v>
                </c:pt>
                <c:pt idx="35">
                  <c:v>-5.1999999999999998E-3</c:v>
                </c:pt>
              </c:numCache>
            </c:numRef>
          </c:yVal>
          <c:smooth val="1"/>
          <c:extLst>
            <c:ext xmlns:c16="http://schemas.microsoft.com/office/drawing/2014/chart" uri="{C3380CC4-5D6E-409C-BE32-E72D297353CC}">
              <c16:uniqueId val="{00000001-A3EB-4706-8A43-5F5E130AA75C}"/>
            </c:ext>
          </c:extLst>
        </c:ser>
        <c:ser>
          <c:idx val="2"/>
          <c:order val="2"/>
          <c:tx>
            <c:strRef>
              <c:f>Hoja1!$P$46</c:f>
              <c:strCache>
                <c:ptCount val="1"/>
                <c:pt idx="0">
                  <c:v>XFOIL     Re=8.9E6</c:v>
                </c:pt>
              </c:strCache>
            </c:strRef>
          </c:tx>
          <c:spPr>
            <a:ln w="19050" cap="rnd">
              <a:solidFill>
                <a:schemeClr val="accent2">
                  <a:lumMod val="75000"/>
                </a:schemeClr>
              </a:solidFill>
              <a:round/>
            </a:ln>
            <a:effectLst/>
          </c:spPr>
          <c:marker>
            <c:symbol val="diamond"/>
            <c:size val="4"/>
            <c:spPr>
              <a:solidFill>
                <a:schemeClr val="accent2">
                  <a:lumMod val="75000"/>
                </a:schemeClr>
              </a:solidFill>
              <a:ln w="9525">
                <a:solidFill>
                  <a:schemeClr val="accent2">
                    <a:lumMod val="75000"/>
                  </a:schemeClr>
                </a:solidFill>
              </a:ln>
              <a:effectLst/>
            </c:spPr>
          </c:marker>
          <c:xVal>
            <c:numRef>
              <c:f>Hoja1!$O$60:$O$96</c:f>
              <c:numCache>
                <c:formatCode>General</c:formatCode>
                <c:ptCount val="37"/>
                <c:pt idx="0">
                  <c:v>-18</c:v>
                </c:pt>
                <c:pt idx="1">
                  <c:v>-17</c:v>
                </c:pt>
                <c:pt idx="2">
                  <c:v>-16</c:v>
                </c:pt>
                <c:pt idx="3">
                  <c:v>-15</c:v>
                </c:pt>
                <c:pt idx="4">
                  <c:v>-14</c:v>
                </c:pt>
                <c:pt idx="5">
                  <c:v>-13</c:v>
                </c:pt>
                <c:pt idx="6">
                  <c:v>-12</c:v>
                </c:pt>
                <c:pt idx="7">
                  <c:v>-11</c:v>
                </c:pt>
                <c:pt idx="8">
                  <c:v>-10</c:v>
                </c:pt>
                <c:pt idx="9">
                  <c:v>-9</c:v>
                </c:pt>
                <c:pt idx="10">
                  <c:v>-8</c:v>
                </c:pt>
                <c:pt idx="11">
                  <c:v>-7</c:v>
                </c:pt>
                <c:pt idx="12">
                  <c:v>-6</c:v>
                </c:pt>
                <c:pt idx="13">
                  <c:v>-5</c:v>
                </c:pt>
                <c:pt idx="14">
                  <c:v>-4</c:v>
                </c:pt>
                <c:pt idx="15">
                  <c:v>-3</c:v>
                </c:pt>
                <c:pt idx="16">
                  <c:v>-2</c:v>
                </c:pt>
                <c:pt idx="17">
                  <c:v>-1</c:v>
                </c:pt>
                <c:pt idx="18">
                  <c:v>0</c:v>
                </c:pt>
                <c:pt idx="19">
                  <c:v>1</c:v>
                </c:pt>
                <c:pt idx="20">
                  <c:v>2</c:v>
                </c:pt>
                <c:pt idx="21">
                  <c:v>3</c:v>
                </c:pt>
                <c:pt idx="22">
                  <c:v>4</c:v>
                </c:pt>
                <c:pt idx="23">
                  <c:v>5</c:v>
                </c:pt>
                <c:pt idx="24">
                  <c:v>6</c:v>
                </c:pt>
                <c:pt idx="25">
                  <c:v>7</c:v>
                </c:pt>
                <c:pt idx="26">
                  <c:v>8</c:v>
                </c:pt>
                <c:pt idx="27">
                  <c:v>9</c:v>
                </c:pt>
                <c:pt idx="28">
                  <c:v>10</c:v>
                </c:pt>
                <c:pt idx="29">
                  <c:v>11</c:v>
                </c:pt>
                <c:pt idx="30">
                  <c:v>12</c:v>
                </c:pt>
                <c:pt idx="31">
                  <c:v>13</c:v>
                </c:pt>
                <c:pt idx="32">
                  <c:v>14</c:v>
                </c:pt>
                <c:pt idx="33">
                  <c:v>15</c:v>
                </c:pt>
                <c:pt idx="34">
                  <c:v>16</c:v>
                </c:pt>
                <c:pt idx="35">
                  <c:v>17</c:v>
                </c:pt>
                <c:pt idx="36">
                  <c:v>18</c:v>
                </c:pt>
              </c:numCache>
            </c:numRef>
          </c:xVal>
          <c:yVal>
            <c:numRef>
              <c:f>Hoja1!$S$60:$S$96</c:f>
              <c:numCache>
                <c:formatCode>General</c:formatCode>
                <c:ptCount val="37"/>
                <c:pt idx="0">
                  <c:v>-6.2199999999999998E-2</c:v>
                </c:pt>
                <c:pt idx="1">
                  <c:v>-5.8500000000000003E-2</c:v>
                </c:pt>
                <c:pt idx="2">
                  <c:v>-5.5399999999999998E-2</c:v>
                </c:pt>
                <c:pt idx="3">
                  <c:v>-5.11E-2</c:v>
                </c:pt>
                <c:pt idx="4">
                  <c:v>-5.28E-2</c:v>
                </c:pt>
                <c:pt idx="5">
                  <c:v>-5.45E-2</c:v>
                </c:pt>
                <c:pt idx="6">
                  <c:v>-5.3499999999999999E-2</c:v>
                </c:pt>
                <c:pt idx="7">
                  <c:v>-5.21E-2</c:v>
                </c:pt>
                <c:pt idx="8">
                  <c:v>-5.1299999999999998E-2</c:v>
                </c:pt>
                <c:pt idx="9">
                  <c:v>-5.0999999999999997E-2</c:v>
                </c:pt>
                <c:pt idx="10">
                  <c:v>-5.0900000000000001E-2</c:v>
                </c:pt>
                <c:pt idx="11">
                  <c:v>-5.0900000000000001E-2</c:v>
                </c:pt>
                <c:pt idx="12">
                  <c:v>-5.0999999999999997E-2</c:v>
                </c:pt>
                <c:pt idx="13">
                  <c:v>-5.1200000000000002E-2</c:v>
                </c:pt>
                <c:pt idx="14">
                  <c:v>-5.1499999999999997E-2</c:v>
                </c:pt>
                <c:pt idx="15">
                  <c:v>-5.1799999999999999E-2</c:v>
                </c:pt>
                <c:pt idx="16">
                  <c:v>-5.2200000000000003E-2</c:v>
                </c:pt>
                <c:pt idx="17">
                  <c:v>-5.2600000000000001E-2</c:v>
                </c:pt>
                <c:pt idx="18">
                  <c:v>-5.2999999999999999E-2</c:v>
                </c:pt>
                <c:pt idx="19">
                  <c:v>-5.3499999999999999E-2</c:v>
                </c:pt>
                <c:pt idx="20">
                  <c:v>-5.3600000000000002E-2</c:v>
                </c:pt>
                <c:pt idx="21">
                  <c:v>-5.3600000000000002E-2</c:v>
                </c:pt>
                <c:pt idx="22">
                  <c:v>-5.3400000000000003E-2</c:v>
                </c:pt>
                <c:pt idx="23">
                  <c:v>-5.28E-2</c:v>
                </c:pt>
                <c:pt idx="24">
                  <c:v>-5.0799999999999998E-2</c:v>
                </c:pt>
                <c:pt idx="25">
                  <c:v>-5.2999999999999999E-2</c:v>
                </c:pt>
                <c:pt idx="26">
                  <c:v>-5.1499999999999997E-2</c:v>
                </c:pt>
                <c:pt idx="27">
                  <c:v>-5.04E-2</c:v>
                </c:pt>
                <c:pt idx="28">
                  <c:v>-4.9200000000000001E-2</c:v>
                </c:pt>
                <c:pt idx="29">
                  <c:v>-4.7600000000000003E-2</c:v>
                </c:pt>
                <c:pt idx="30">
                  <c:v>-4.5499999999999999E-2</c:v>
                </c:pt>
                <c:pt idx="31">
                  <c:v>-4.2799999999999998E-2</c:v>
                </c:pt>
                <c:pt idx="32">
                  <c:v>-3.8899999999999997E-2</c:v>
                </c:pt>
                <c:pt idx="33">
                  <c:v>-3.2000000000000001E-2</c:v>
                </c:pt>
                <c:pt idx="34">
                  <c:v>-2.5100000000000001E-2</c:v>
                </c:pt>
                <c:pt idx="35">
                  <c:v>-1.8700000000000001E-2</c:v>
                </c:pt>
                <c:pt idx="36">
                  <c:v>-1.32E-2</c:v>
                </c:pt>
              </c:numCache>
            </c:numRef>
          </c:yVal>
          <c:smooth val="1"/>
          <c:extLst>
            <c:ext xmlns:c16="http://schemas.microsoft.com/office/drawing/2014/chart" uri="{C3380CC4-5D6E-409C-BE32-E72D297353CC}">
              <c16:uniqueId val="{00000002-A3EB-4706-8A43-5F5E130AA75C}"/>
            </c:ext>
          </c:extLst>
        </c:ser>
        <c:dLbls>
          <c:showLegendKey val="0"/>
          <c:showVal val="0"/>
          <c:showCatName val="0"/>
          <c:showSerName val="0"/>
          <c:showPercent val="0"/>
          <c:showBubbleSize val="0"/>
        </c:dLbls>
        <c:axId val="1317086799"/>
        <c:axId val="1640753840"/>
      </c:scatterChart>
      <c:valAx>
        <c:axId val="1317086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0753840"/>
        <c:crosses val="autoZero"/>
        <c:crossBetween val="midCat"/>
      </c:valAx>
      <c:valAx>
        <c:axId val="1640753840"/>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170867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15</xdr:col>
      <xdr:colOff>545215</xdr:colOff>
      <xdr:row>3</xdr:row>
      <xdr:rowOff>30944</xdr:rowOff>
    </xdr:from>
    <xdr:to>
      <xdr:col>22</xdr:col>
      <xdr:colOff>332267</xdr:colOff>
      <xdr:row>17</xdr:row>
      <xdr:rowOff>102790</xdr:rowOff>
    </xdr:to>
    <xdr:graphicFrame macro="">
      <xdr:nvGraphicFramePr>
        <xdr:cNvPr id="2" name="Gráfico 1">
          <a:extLst>
            <a:ext uri="{FF2B5EF4-FFF2-40B4-BE49-F238E27FC236}">
              <a16:creationId xmlns:a16="http://schemas.microsoft.com/office/drawing/2014/main" id="{01165EDA-34FC-8434-D7D5-5BBC6246F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519226</xdr:colOff>
      <xdr:row>20</xdr:row>
      <xdr:rowOff>74572</xdr:rowOff>
    </xdr:from>
    <xdr:to>
      <xdr:col>22</xdr:col>
      <xdr:colOff>290285</xdr:colOff>
      <xdr:row>37</xdr:row>
      <xdr:rowOff>108857</xdr:rowOff>
    </xdr:to>
    <xdr:graphicFrame macro="">
      <xdr:nvGraphicFramePr>
        <xdr:cNvPr id="3" name="Gráfico 2">
          <a:extLst>
            <a:ext uri="{FF2B5EF4-FFF2-40B4-BE49-F238E27FC236}">
              <a16:creationId xmlns:a16="http://schemas.microsoft.com/office/drawing/2014/main" id="{E35C4669-6C86-5D82-ABD5-89FAB1C58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428625</xdr:colOff>
      <xdr:row>10</xdr:row>
      <xdr:rowOff>158750</xdr:rowOff>
    </xdr:from>
    <xdr:to>
      <xdr:col>29</xdr:col>
      <xdr:colOff>199684</xdr:colOff>
      <xdr:row>28</xdr:row>
      <xdr:rowOff>2535</xdr:rowOff>
    </xdr:to>
    <xdr:graphicFrame macro="">
      <xdr:nvGraphicFramePr>
        <xdr:cNvPr id="4" name="Gráfico 3">
          <a:extLst>
            <a:ext uri="{FF2B5EF4-FFF2-40B4-BE49-F238E27FC236}">
              <a16:creationId xmlns:a16="http://schemas.microsoft.com/office/drawing/2014/main" id="{DFDBCBC9-11C9-4F28-A9E5-77AD9471A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199474</xdr:colOff>
      <xdr:row>158</xdr:row>
      <xdr:rowOff>104035</xdr:rowOff>
    </xdr:from>
    <xdr:to>
      <xdr:col>9</xdr:col>
      <xdr:colOff>138243</xdr:colOff>
      <xdr:row>180</xdr:row>
      <xdr:rowOff>6063</xdr:rowOff>
    </xdr:to>
    <xdr:graphicFrame macro="">
      <xdr:nvGraphicFramePr>
        <xdr:cNvPr id="5" name="Gráfico 4">
          <a:extLst>
            <a:ext uri="{FF2B5EF4-FFF2-40B4-BE49-F238E27FC236}">
              <a16:creationId xmlns:a16="http://schemas.microsoft.com/office/drawing/2014/main" id="{1F624607-AE10-1859-D3C6-490E7FC94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450511</xdr:colOff>
      <xdr:row>158</xdr:row>
      <xdr:rowOff>38903</xdr:rowOff>
    </xdr:from>
    <xdr:to>
      <xdr:col>18</xdr:col>
      <xdr:colOff>389280</xdr:colOff>
      <xdr:row>179</xdr:row>
      <xdr:rowOff>133938</xdr:rowOff>
    </xdr:to>
    <xdr:graphicFrame macro="">
      <xdr:nvGraphicFramePr>
        <xdr:cNvPr id="6" name="Gráfico 5">
          <a:extLst>
            <a:ext uri="{FF2B5EF4-FFF2-40B4-BE49-F238E27FC236}">
              <a16:creationId xmlns:a16="http://schemas.microsoft.com/office/drawing/2014/main" id="{F28C956E-2F04-4802-80C7-F7F25D702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761010</xdr:colOff>
      <xdr:row>159</xdr:row>
      <xdr:rowOff>103253</xdr:rowOff>
    </xdr:from>
    <xdr:to>
      <xdr:col>27</xdr:col>
      <xdr:colOff>699779</xdr:colOff>
      <xdr:row>181</xdr:row>
      <xdr:rowOff>5282</xdr:rowOff>
    </xdr:to>
    <xdr:graphicFrame macro="">
      <xdr:nvGraphicFramePr>
        <xdr:cNvPr id="7" name="Gráfico 6">
          <a:extLst>
            <a:ext uri="{FF2B5EF4-FFF2-40B4-BE49-F238E27FC236}">
              <a16:creationId xmlns:a16="http://schemas.microsoft.com/office/drawing/2014/main" id="{169A287A-8464-4BEC-9B26-CA76CC5A9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353785</xdr:colOff>
      <xdr:row>182</xdr:row>
      <xdr:rowOff>163286</xdr:rowOff>
    </xdr:from>
    <xdr:to>
      <xdr:col>12</xdr:col>
      <xdr:colOff>517070</xdr:colOff>
      <xdr:row>220</xdr:row>
      <xdr:rowOff>54429</xdr:rowOff>
    </xdr:to>
    <xdr:graphicFrame macro="">
      <xdr:nvGraphicFramePr>
        <xdr:cNvPr id="8" name="Gráfico 7">
          <a:extLst>
            <a:ext uri="{FF2B5EF4-FFF2-40B4-BE49-F238E27FC236}">
              <a16:creationId xmlns:a16="http://schemas.microsoft.com/office/drawing/2014/main" id="{4E712164-E1A6-49FD-9DB2-91D40BE90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714375</xdr:colOff>
      <xdr:row>183</xdr:row>
      <xdr:rowOff>23813</xdr:rowOff>
    </xdr:from>
    <xdr:to>
      <xdr:col>25</xdr:col>
      <xdr:colOff>115660</xdr:colOff>
      <xdr:row>220</xdr:row>
      <xdr:rowOff>105456</xdr:rowOff>
    </xdr:to>
    <xdr:graphicFrame macro="">
      <xdr:nvGraphicFramePr>
        <xdr:cNvPr id="9" name="Gráfico 8">
          <a:extLst>
            <a:ext uri="{FF2B5EF4-FFF2-40B4-BE49-F238E27FC236}">
              <a16:creationId xmlns:a16="http://schemas.microsoft.com/office/drawing/2014/main" id="{0B3C7113-BA8C-480F-B7E1-999F25CC9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259772</xdr:colOff>
      <xdr:row>183</xdr:row>
      <xdr:rowOff>155864</xdr:rowOff>
    </xdr:from>
    <xdr:to>
      <xdr:col>37</xdr:col>
      <xdr:colOff>423057</xdr:colOff>
      <xdr:row>221</xdr:row>
      <xdr:rowOff>47007</xdr:rowOff>
    </xdr:to>
    <xdr:graphicFrame macro="">
      <xdr:nvGraphicFramePr>
        <xdr:cNvPr id="10" name="Gráfico 9">
          <a:extLst>
            <a:ext uri="{FF2B5EF4-FFF2-40B4-BE49-F238E27FC236}">
              <a16:creationId xmlns:a16="http://schemas.microsoft.com/office/drawing/2014/main" id="{291A05B0-FC4F-47B1-9FA1-E51049FF1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398318</xdr:colOff>
      <xdr:row>222</xdr:row>
      <xdr:rowOff>17319</xdr:rowOff>
    </xdr:from>
    <xdr:to>
      <xdr:col>12</xdr:col>
      <xdr:colOff>561603</xdr:colOff>
      <xdr:row>259</xdr:row>
      <xdr:rowOff>98962</xdr:rowOff>
    </xdr:to>
    <xdr:graphicFrame macro="">
      <xdr:nvGraphicFramePr>
        <xdr:cNvPr id="11" name="Gráfico 10">
          <a:extLst>
            <a:ext uri="{FF2B5EF4-FFF2-40B4-BE49-F238E27FC236}">
              <a16:creationId xmlns:a16="http://schemas.microsoft.com/office/drawing/2014/main" id="{D2F41B5C-BBB5-46B4-9AB3-ED636C3F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727363</xdr:colOff>
      <xdr:row>222</xdr:row>
      <xdr:rowOff>0</xdr:rowOff>
    </xdr:from>
    <xdr:to>
      <xdr:col>25</xdr:col>
      <xdr:colOff>128648</xdr:colOff>
      <xdr:row>259</xdr:row>
      <xdr:rowOff>81643</xdr:rowOff>
    </xdr:to>
    <xdr:graphicFrame macro="">
      <xdr:nvGraphicFramePr>
        <xdr:cNvPr id="12" name="Gráfico 11">
          <a:extLst>
            <a:ext uri="{FF2B5EF4-FFF2-40B4-BE49-F238E27FC236}">
              <a16:creationId xmlns:a16="http://schemas.microsoft.com/office/drawing/2014/main" id="{286CABB1-3B1E-4FD5-A4FB-8486FDE3E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428625</xdr:colOff>
      <xdr:row>222</xdr:row>
      <xdr:rowOff>95250</xdr:rowOff>
    </xdr:from>
    <xdr:to>
      <xdr:col>37</xdr:col>
      <xdr:colOff>591910</xdr:colOff>
      <xdr:row>259</xdr:row>
      <xdr:rowOff>176893</xdr:rowOff>
    </xdr:to>
    <xdr:graphicFrame macro="">
      <xdr:nvGraphicFramePr>
        <xdr:cNvPr id="13" name="Gráfico 12">
          <a:extLst>
            <a:ext uri="{FF2B5EF4-FFF2-40B4-BE49-F238E27FC236}">
              <a16:creationId xmlns:a16="http://schemas.microsoft.com/office/drawing/2014/main" id="{0D4C36AD-9149-4E50-A28C-CF74A574B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423333</xdr:colOff>
      <xdr:row>260</xdr:row>
      <xdr:rowOff>63500</xdr:rowOff>
    </xdr:from>
    <xdr:to>
      <xdr:col>9</xdr:col>
      <xdr:colOff>63500</xdr:colOff>
      <xdr:row>284</xdr:row>
      <xdr:rowOff>169333</xdr:rowOff>
    </xdr:to>
    <xdr:graphicFrame macro="">
      <xdr:nvGraphicFramePr>
        <xdr:cNvPr id="14" name="Gráfico 13">
          <a:extLst>
            <a:ext uri="{FF2B5EF4-FFF2-40B4-BE49-F238E27FC236}">
              <a16:creationId xmlns:a16="http://schemas.microsoft.com/office/drawing/2014/main" id="{91854419-3350-4ED2-9EFA-F59FEF50B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461368</xdr:colOff>
      <xdr:row>260</xdr:row>
      <xdr:rowOff>74415</xdr:rowOff>
    </xdr:from>
    <xdr:to>
      <xdr:col>18</xdr:col>
      <xdr:colOff>101535</xdr:colOff>
      <xdr:row>284</xdr:row>
      <xdr:rowOff>180248</xdr:rowOff>
    </xdr:to>
    <xdr:graphicFrame macro="">
      <xdr:nvGraphicFramePr>
        <xdr:cNvPr id="15" name="Gráfico 14">
          <a:extLst>
            <a:ext uri="{FF2B5EF4-FFF2-40B4-BE49-F238E27FC236}">
              <a16:creationId xmlns:a16="http://schemas.microsoft.com/office/drawing/2014/main" id="{ED6E3E3A-3876-4D09-9327-D3B9DCE84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383646</xdr:colOff>
      <xdr:row>260</xdr:row>
      <xdr:rowOff>52916</xdr:rowOff>
    </xdr:from>
    <xdr:to>
      <xdr:col>27</xdr:col>
      <xdr:colOff>23813</xdr:colOff>
      <xdr:row>284</xdr:row>
      <xdr:rowOff>158749</xdr:rowOff>
    </xdr:to>
    <xdr:graphicFrame macro="">
      <xdr:nvGraphicFramePr>
        <xdr:cNvPr id="16" name="Gráfico 15">
          <a:extLst>
            <a:ext uri="{FF2B5EF4-FFF2-40B4-BE49-F238E27FC236}">
              <a16:creationId xmlns:a16="http://schemas.microsoft.com/office/drawing/2014/main" id="{C5010AFC-477A-41E6-B1C8-4320E4F6C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350921</xdr:colOff>
      <xdr:row>417</xdr:row>
      <xdr:rowOff>125328</xdr:rowOff>
    </xdr:from>
    <xdr:to>
      <xdr:col>10</xdr:col>
      <xdr:colOff>87730</xdr:colOff>
      <xdr:row>472</xdr:row>
      <xdr:rowOff>22412</xdr:rowOff>
    </xdr:to>
    <xdr:sp macro="" textlink="">
      <xdr:nvSpPr>
        <xdr:cNvPr id="17" name="CuadroTexto 16">
          <a:extLst>
            <a:ext uri="{FF2B5EF4-FFF2-40B4-BE49-F238E27FC236}">
              <a16:creationId xmlns:a16="http://schemas.microsoft.com/office/drawing/2014/main" id="{30704613-78D1-780F-7661-67FDDFF4E614}"/>
            </a:ext>
          </a:extLst>
        </xdr:cNvPr>
        <xdr:cNvSpPr txBox="1"/>
      </xdr:nvSpPr>
      <xdr:spPr>
        <a:xfrm>
          <a:off x="350921" y="79563828"/>
          <a:ext cx="7356809" cy="10374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Para</a:t>
          </a:r>
          <a:r>
            <a:rPr lang="es-CO" sz="1100" baseline="0"/>
            <a:t> obtener los datos del NACA 2412 presentes en el reporte 824, se intentó tabular grado por grado los coeficientes de lift, drag y momentos al cuarto de la cuerd. Una de las dificultades encontradas al momento de tabular la información, fué el hecho de que esta información sólo está disponible en las gráficas, por lo que al momento de establecer su valor, hay cierto grado de incertidumbre por el error humano, no obstante, se intentó hacer lo mejor posible y se graficaron los datos tabulados para corroborar su precisión. Hay que tener en cuenta que algunas pruebas experimentales presentes en el informe 824 a ciertos reynolds, no tienen valores desde los -18° o cercanos, por lo que no se incluyeron y no fue posible calcular su error.</a:t>
          </a:r>
        </a:p>
        <a:p>
          <a:endParaRPr lang="es-CO" sz="1100" baseline="0"/>
        </a:p>
        <a:p>
          <a:r>
            <a:rPr lang="es-CO" sz="1100" baseline="0"/>
            <a:t>Después de tabular los datos del reporte 824 a diferentes reynolds, se procedió a usar el software X-Foil para obtener los mismos coeficientes pero por cálculos iterados. Se seleccionó el mismo perfil NACA 2412 estableció el número de páneles en 300 y se usó un T de 1 para obtener densidad de páneles similares en el borde de ataque y de fuga. Al momento de hacer la simulación se usaron 600 iteraciones y se establecieron los mismos reynolds usados en el reporte 824, no se añadieron correciones de compresibilidad debido a que se hicieron pruebas, y se alejan mucho más de los datos dados en el reporte, por lo que se dejó el Mach en 0. </a:t>
          </a:r>
          <a:br>
            <a:rPr lang="es-CO" sz="1100" baseline="0"/>
          </a:br>
          <a:r>
            <a:rPr lang="es-CO" sz="1100" baseline="0"/>
            <a:t>Para lograr de que los cálculos convergieran, se hicieron cálculos de alfa en el orden de 0° -5°, -10°, -15° y -18°. Después de esto, se usó PACC para exportar los datos que se iban a obtener posteriormente en un CSV. Para obtener los datos, se usó la función ASEQ desde -18° hasta 18° con paso 1° y se exportaron los coeficientes que estábamos buscando. </a:t>
          </a:r>
        </a:p>
        <a:p>
          <a:endParaRPr lang="es-CO" sz="1100" baseline="0"/>
        </a:p>
        <a:p>
          <a:r>
            <a:rPr lang="es-CO" sz="1100" baseline="0"/>
            <a:t>También se utilizó otro software basando en X-Foil llamado R-Foil, este agrega algunas correciones de capa límite, por lo que se esperaría de que tuviera mas cercanía a los resultados en la vida real, el procedimiento para obtener los datos es casi el mismo del X-Foil, con la diferencia de que no se tuvieron que modificar las iteraciones. Se obtuvieron los datos y también se exportaron en CSV para añadirse al excel donde se pueden comparar los datos provenientes del reporte 824, X-Foil y R-Foil. Cabe recalcar de que no fue posible obtener datos a grados menores de -13° en el R-Foil porque estos no convergían, por lo que se compararán los otros datos que son confiables</a:t>
          </a:r>
          <a:r>
            <a:rPr lang="es-CO" sz="1100" u="none" baseline="0"/>
            <a:t>.</a:t>
          </a:r>
        </a:p>
        <a:p>
          <a:endParaRPr lang="es-CO" sz="1100" baseline="0"/>
        </a:p>
        <a:p>
          <a:r>
            <a:rPr lang="es-CO" sz="1100" baseline="0"/>
            <a:t>Lo que se puede ver en las gráficas es que son bastantes similares, pero se observa que a medida de que nos alejamos de 0° hay una desviación de los datos calculados con los experimentales, aunque los datos del R-Foil se acercan ligeramente mas a los experimentales en las graficas de Cl vs Alpha, Cd vs Cl y Cm vs Alpha en todos los reynolds.</a:t>
          </a:r>
        </a:p>
        <a:p>
          <a:endParaRPr lang="es-CO" sz="1100" baseline="0"/>
        </a:p>
        <a:p>
          <a:r>
            <a:rPr lang="es-CO" sz="1100" baseline="0"/>
            <a:t>El promedio de los errores porcentuales de los datos obtenidos en X-Foil, contra los del reporte 824 en 3.1e6 Reynolds fueron del 7.5%, 17.65% y 74.24% para el Cl, Cd y Cm respectivamente. Se puede notar que el de Cm es bastante elevado, debido a que en los extremos de las graficas donde el AoA es bastante elevado o muy negativo, cambian su rumbo por completo, por lo que no es correcto confiar en esos datos a esos ángulos de ataque puesto que no se acomodan a los comportamientos de la vida real. En los demás reynols se repite un comportamiento muy similar, aunque en Re=8.9e6 el error del Cm baja a 35% que sigue siendo poco confiable. Se podría confiar ligeramente en los datos cercanos a 0°  en todos los coeficientes puesto que su error ronda el 10% y puede que algo de ese error se produzca por la poca precisión de la lectura de las gráficas, pero siempre teniendo un ojo abierto y corroborando en resultados experimentales.</a:t>
          </a:r>
        </a:p>
        <a:p>
          <a:endParaRPr lang="es-CO" sz="1100" baseline="0"/>
        </a:p>
        <a:p>
          <a:pPr marL="0" marR="0" lvl="0" indent="0" defTabSz="914400" eaLnBrk="1" fontAlgn="auto" latinLnBrk="0" hangingPunct="1">
            <a:lnSpc>
              <a:spcPct val="100000"/>
            </a:lnSpc>
            <a:spcBef>
              <a:spcPts val="0"/>
            </a:spcBef>
            <a:spcAft>
              <a:spcPts val="0"/>
            </a:spcAft>
            <a:buClrTx/>
            <a:buSzTx/>
            <a:buFontTx/>
            <a:buNone/>
            <a:tabLst/>
            <a:defRPr/>
          </a:pPr>
          <a:r>
            <a:rPr lang="es-CO" sz="1100" baseline="0"/>
            <a:t>En los datos obtenidos en R-Foil las cosas no varían demasiado, tiendo en cuenta de que la mayoría de datos se acercan ligeramente más al los experimentales, cosa que se puede ver en los errores porcentuales aunque siguen siendo menores al 5%. Donde si se ve un error exagerado es en los </a:t>
          </a:r>
          <a:r>
            <a:rPr lang="es-CO" sz="1100" baseline="0">
              <a:solidFill>
                <a:schemeClr val="dk1"/>
              </a:solidFill>
              <a:effectLst/>
              <a:latin typeface="+mn-lt"/>
              <a:ea typeface="+mn-ea"/>
              <a:cs typeface="+mn-cs"/>
            </a:rPr>
            <a:t>Cm</a:t>
          </a:r>
          <a:r>
            <a:rPr lang="es-CO" sz="1100" baseline="0"/>
            <a:t> de los AoA mas altos (Re=5.7e6) debido a la desviación ya mencionada en esos extremos. De resto, si se ve una ligera mejor aproximación a los resultados experimentales gracias a esa mejora en los cálculos de la capa límite. </a:t>
          </a:r>
        </a:p>
        <a:p>
          <a:pPr marL="0" marR="0" lvl="0" indent="0" defTabSz="914400" eaLnBrk="1" fontAlgn="auto" latinLnBrk="0" hangingPunct="1">
            <a:lnSpc>
              <a:spcPct val="100000"/>
            </a:lnSpc>
            <a:spcBef>
              <a:spcPts val="0"/>
            </a:spcBef>
            <a:spcAft>
              <a:spcPts val="0"/>
            </a:spcAft>
            <a:buClrTx/>
            <a:buSzTx/>
            <a:buFontTx/>
            <a:buNone/>
            <a:tabLst/>
            <a:defRPr/>
          </a:pPr>
          <a:br>
            <a:rPr lang="es-CO" sz="1100" baseline="0"/>
          </a:br>
          <a:r>
            <a:rPr lang="es-CO" sz="1100" baseline="0"/>
            <a:t>Para terminar, se calculó el error absoluto de los datos obtenidos en X-Foil y R-Foil para observar que tanto cambiaban los datos de R-Foil con respecto a su código original, se pudo evidenciar que fueron valores menores al 5% en los Cl y Cd (En el Cm superaron el 10%) por lo que su variación no es mucha, pero siempre está genial tener mas precisión.</a:t>
          </a:r>
        </a:p>
        <a:p>
          <a:pPr marL="0" marR="0" lvl="0" indent="0" defTabSz="914400" eaLnBrk="1" fontAlgn="auto" latinLnBrk="0" hangingPunct="1">
            <a:lnSpc>
              <a:spcPct val="100000"/>
            </a:lnSpc>
            <a:spcBef>
              <a:spcPts val="0"/>
            </a:spcBef>
            <a:spcAft>
              <a:spcPts val="0"/>
            </a:spcAft>
            <a:buClrTx/>
            <a:buSzTx/>
            <a:buFontTx/>
            <a:buNone/>
            <a:tabLst/>
            <a:defRPr/>
          </a:pPr>
          <a:endParaRPr lang="es-CO" sz="1100" baseline="0"/>
        </a:p>
        <a:p>
          <a:r>
            <a:rPr lang="es-CO"/>
            <a:t>A partir de esto, se puede concluir que tanto X-Foil como R-Foil ofrecen una buena aproximación a los datos experimentales del perfil NACA 2412 presentados en el reporte 824, especialmente en rangos de ángulos de ataque cercanos a 0°. Sin embargo, a medida que los ángulos de ataque se alejan de este valor, se observa una mayor discrepancia, sobre</a:t>
          </a:r>
          <a:r>
            <a:rPr lang="es-CO" baseline="0"/>
            <a:t> todo </a:t>
          </a:r>
          <a:r>
            <a:rPr lang="es-CO"/>
            <a:t>en el coeficiente de momento (Cm). Esta discrepancia se debe a las limitaciones inherentes de los modelos utilizados, en particular en la predicción de flujos no lineales y separación de flujo que ocurren en ángulos de ataque extremos.</a:t>
          </a:r>
        </a:p>
        <a:p>
          <a:r>
            <a:rPr lang="es-CO"/>
            <a:t>R-Foil, con sus mejoras en la modelización de la capa límite, muestra una ligera superioridad sobre X-Foil en términos de precisión, acercándose un poco más a los datos experimentales, aunque aún presenta limitaciones significativas, especialmente en el coeficiente de momento a ángulos de ataque altos. La mejora es menos evidente en los coeficientes de sustentación (Cl) y resistencia (Cd), donde los errores porcentuales son menores al 5%.</a:t>
          </a:r>
        </a:p>
        <a:p>
          <a:r>
            <a:rPr lang="es-CO"/>
            <a:t>No obstante, se debe tener precaución al utilizar estos resultados para aplicaciones que requieren alta precisión, ya que el error en Cm sigue siendo considerablemente elevado en condiciones extremas. Además, se debe</a:t>
          </a:r>
          <a:r>
            <a:rPr lang="es-CO" baseline="0"/>
            <a:t> </a:t>
          </a:r>
          <a:r>
            <a:rPr lang="es-CO"/>
            <a:t>tener en cuenta que parte del error puede atribuirse a la incertidumbre en la tabulación de los datos experimentales desde las gráficas.</a:t>
          </a:r>
        </a:p>
        <a:p>
          <a:pPr marL="0" marR="0" lvl="0" indent="0" defTabSz="914400" eaLnBrk="1" fontAlgn="auto" latinLnBrk="0" hangingPunct="1">
            <a:lnSpc>
              <a:spcPct val="100000"/>
            </a:lnSpc>
            <a:spcBef>
              <a:spcPts val="0"/>
            </a:spcBef>
            <a:spcAft>
              <a:spcPts val="0"/>
            </a:spcAft>
            <a:buClrTx/>
            <a:buSzTx/>
            <a:buFontTx/>
            <a:buNone/>
            <a:tabLst/>
            <a:defRPr/>
          </a:pPr>
          <a:r>
            <a:rPr lang="es-CO" sz="1100" baseline="0"/>
            <a:t> </a:t>
          </a:r>
        </a:p>
        <a:p>
          <a:endParaRPr lang="es-CO" sz="1100" baseline="0"/>
        </a:p>
        <a:p>
          <a:endParaRPr lang="es-CO" sz="1100" baseline="0"/>
        </a:p>
        <a:p>
          <a:endParaRPr lang="es-CO" sz="1100" baseline="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1333-4407-46F1-BCAD-C44494800607}">
  <dimension ref="A2:T415"/>
  <sheetViews>
    <sheetView tabSelected="1" topLeftCell="A397" zoomScale="85" zoomScaleNormal="85" workbookViewId="0">
      <selection activeCell="L472" sqref="L472"/>
    </sheetView>
  </sheetViews>
  <sheetFormatPr baseColWidth="10" defaultRowHeight="15" x14ac:dyDescent="0.25"/>
  <sheetData>
    <row r="2" spans="1:15" x14ac:dyDescent="0.25">
      <c r="A2" s="1" t="s">
        <v>1</v>
      </c>
      <c r="B2" s="1" t="s">
        <v>0</v>
      </c>
    </row>
    <row r="4" spans="1:15" x14ac:dyDescent="0.25">
      <c r="A4" s="6" t="s">
        <v>5</v>
      </c>
      <c r="B4" s="6"/>
      <c r="C4" s="6"/>
      <c r="D4" s="6"/>
      <c r="F4" s="6" t="s">
        <v>6</v>
      </c>
      <c r="G4" s="6"/>
      <c r="H4" s="6"/>
      <c r="I4" s="6"/>
      <c r="L4" s="6" t="s">
        <v>7</v>
      </c>
      <c r="M4" s="6"/>
      <c r="N4" s="6"/>
      <c r="O4" s="6"/>
    </row>
    <row r="5" spans="1:15" x14ac:dyDescent="0.25">
      <c r="A5" t="s">
        <v>2</v>
      </c>
      <c r="B5" t="s">
        <v>3</v>
      </c>
      <c r="C5" t="s">
        <v>8</v>
      </c>
      <c r="D5" t="s">
        <v>4</v>
      </c>
      <c r="F5" t="s">
        <v>2</v>
      </c>
      <c r="G5" t="s">
        <v>3</v>
      </c>
      <c r="H5" t="s">
        <v>8</v>
      </c>
      <c r="I5" t="s">
        <v>4</v>
      </c>
      <c r="L5" t="s">
        <v>2</v>
      </c>
      <c r="M5" t="s">
        <v>3</v>
      </c>
      <c r="N5" t="s">
        <v>8</v>
      </c>
      <c r="O5" t="s">
        <v>4</v>
      </c>
    </row>
    <row r="6" spans="1:15" x14ac:dyDescent="0.25">
      <c r="A6">
        <v>-18</v>
      </c>
      <c r="D6" s="3">
        <v>0.05</v>
      </c>
      <c r="F6">
        <v>-18</v>
      </c>
      <c r="G6">
        <v>-0.83499999999999996</v>
      </c>
      <c r="H6" s="3"/>
      <c r="L6">
        <v>-18</v>
      </c>
      <c r="M6">
        <v>-0.83499999999999996</v>
      </c>
    </row>
    <row r="7" spans="1:15" x14ac:dyDescent="0.25">
      <c r="A7">
        <v>-17</v>
      </c>
      <c r="D7" s="3">
        <v>2.5000000000000001E-2</v>
      </c>
      <c r="F7">
        <v>-17</v>
      </c>
      <c r="G7">
        <v>-0.875</v>
      </c>
      <c r="H7" s="3"/>
      <c r="L7">
        <v>-17</v>
      </c>
      <c r="M7">
        <v>-0.875</v>
      </c>
    </row>
    <row r="8" spans="1:15" x14ac:dyDescent="0.25">
      <c r="A8">
        <v>-16</v>
      </c>
      <c r="B8" s="2"/>
      <c r="D8" s="3">
        <f>0.025*0.3</f>
        <v>7.4999999999999997E-3</v>
      </c>
      <c r="F8">
        <v>-16</v>
      </c>
      <c r="G8" s="2">
        <v>-0.94</v>
      </c>
      <c r="H8" s="3"/>
      <c r="L8">
        <v>-16</v>
      </c>
      <c r="M8" s="2">
        <v>-0.94</v>
      </c>
    </row>
    <row r="9" spans="1:15" x14ac:dyDescent="0.25">
      <c r="A9">
        <v>-15</v>
      </c>
      <c r="B9" s="2"/>
      <c r="D9" s="3">
        <v>-0.01</v>
      </c>
      <c r="F9">
        <v>-15</v>
      </c>
      <c r="G9" s="2">
        <v>-1.05</v>
      </c>
      <c r="H9" s="3"/>
      <c r="L9">
        <v>-15</v>
      </c>
      <c r="M9" s="2">
        <v>-1.05</v>
      </c>
    </row>
    <row r="10" spans="1:15" x14ac:dyDescent="0.25">
      <c r="A10">
        <v>-14</v>
      </c>
      <c r="B10" s="2"/>
      <c r="D10" s="3">
        <v>-1.4999999999999999E-2</v>
      </c>
      <c r="F10">
        <v>-14</v>
      </c>
      <c r="G10" s="2">
        <v>-1.1599999999999999</v>
      </c>
      <c r="H10" s="3"/>
      <c r="L10">
        <v>-14</v>
      </c>
      <c r="M10" s="2">
        <v>-1.1599999999999999</v>
      </c>
    </row>
    <row r="11" spans="1:15" x14ac:dyDescent="0.25">
      <c r="A11">
        <v>-13</v>
      </c>
      <c r="D11" s="3">
        <v>-2.5000000000000001E-2</v>
      </c>
      <c r="F11">
        <v>-13</v>
      </c>
      <c r="G11">
        <v>-1.04</v>
      </c>
      <c r="H11" s="3">
        <v>1.26E-2</v>
      </c>
      <c r="L11">
        <v>-13</v>
      </c>
      <c r="M11">
        <v>-1.04</v>
      </c>
    </row>
    <row r="12" spans="1:15" x14ac:dyDescent="0.25">
      <c r="A12">
        <v>-12</v>
      </c>
      <c r="B12" s="2"/>
      <c r="D12" s="3">
        <v>-3.2500000000000001E-2</v>
      </c>
      <c r="F12">
        <v>-12</v>
      </c>
      <c r="G12" s="2">
        <v>-0.98</v>
      </c>
      <c r="H12" s="3">
        <v>1.2E-2</v>
      </c>
      <c r="L12">
        <v>-12</v>
      </c>
      <c r="M12" s="2">
        <v>-0.98</v>
      </c>
    </row>
    <row r="13" spans="1:15" x14ac:dyDescent="0.25">
      <c r="A13">
        <v>-11</v>
      </c>
      <c r="B13" s="2"/>
      <c r="D13" s="3">
        <v>-0.04</v>
      </c>
      <c r="F13">
        <v>-11</v>
      </c>
      <c r="G13" s="2">
        <v>-0.9</v>
      </c>
      <c r="H13" s="3">
        <v>1.0699999999999999E-2</v>
      </c>
      <c r="L13">
        <v>-11</v>
      </c>
      <c r="M13" s="2">
        <v>-0.9</v>
      </c>
    </row>
    <row r="14" spans="1:15" x14ac:dyDescent="0.25">
      <c r="A14">
        <v>-10</v>
      </c>
      <c r="B14" s="2"/>
      <c r="D14" s="3">
        <v>-4.4999999999999998E-2</v>
      </c>
      <c r="F14">
        <v>-10</v>
      </c>
      <c r="G14" s="2">
        <v>-0.8</v>
      </c>
      <c r="H14" s="3">
        <v>9.4999999999999998E-3</v>
      </c>
      <c r="L14">
        <v>-10</v>
      </c>
      <c r="M14" s="2">
        <v>-0.8</v>
      </c>
    </row>
    <row r="15" spans="1:15" x14ac:dyDescent="0.25">
      <c r="A15">
        <v>-9</v>
      </c>
      <c r="B15" s="2"/>
      <c r="D15" s="3">
        <v>-4.5999999999999999E-2</v>
      </c>
      <c r="F15">
        <v>-9</v>
      </c>
      <c r="G15" s="2">
        <v>-0.7</v>
      </c>
      <c r="H15" s="3">
        <v>8.8000000000000005E-3</v>
      </c>
      <c r="L15">
        <v>-9</v>
      </c>
      <c r="M15" s="2">
        <v>-0.7</v>
      </c>
    </row>
    <row r="16" spans="1:15" x14ac:dyDescent="0.25">
      <c r="A16">
        <v>-8</v>
      </c>
      <c r="B16" s="2">
        <v>-0.6</v>
      </c>
      <c r="C16">
        <v>9.7999999999999997E-3</v>
      </c>
      <c r="D16" s="3">
        <v>-4.9000000000000002E-2</v>
      </c>
      <c r="F16">
        <v>-8</v>
      </c>
      <c r="G16" s="2">
        <v>-0.6</v>
      </c>
      <c r="H16" s="3">
        <v>8.0000000000000002E-3</v>
      </c>
      <c r="I16" s="3">
        <v>-4.9000000000000002E-2</v>
      </c>
      <c r="L16">
        <v>-8</v>
      </c>
      <c r="M16" s="2">
        <v>-0.6</v>
      </c>
      <c r="N16">
        <v>7.7000000000000002E-3</v>
      </c>
      <c r="O16" s="3">
        <v>-4.9000000000000002E-2</v>
      </c>
    </row>
    <row r="17" spans="1:15" x14ac:dyDescent="0.25">
      <c r="A17">
        <v>-7</v>
      </c>
      <c r="B17" s="2">
        <v>-0.5</v>
      </c>
      <c r="C17">
        <v>8.8999999999999999E-3</v>
      </c>
      <c r="D17" s="3">
        <v>-4.8000000000000001E-2</v>
      </c>
      <c r="F17">
        <v>-7</v>
      </c>
      <c r="G17" s="2">
        <v>-0.5</v>
      </c>
      <c r="H17" s="3">
        <v>7.6E-3</v>
      </c>
      <c r="I17" s="3">
        <v>-4.8000000000000001E-2</v>
      </c>
      <c r="L17">
        <v>-7</v>
      </c>
      <c r="M17" s="2">
        <v>-0.5</v>
      </c>
      <c r="N17">
        <v>7.3000000000000001E-3</v>
      </c>
      <c r="O17" s="3">
        <v>-4.8000000000000001E-2</v>
      </c>
    </row>
    <row r="18" spans="1:15" x14ac:dyDescent="0.25">
      <c r="A18">
        <v>-6</v>
      </c>
      <c r="B18" s="2">
        <v>-0.4</v>
      </c>
      <c r="C18" s="3">
        <v>8.0000000000000002E-3</v>
      </c>
      <c r="D18" s="3">
        <v>-4.7E-2</v>
      </c>
      <c r="F18">
        <v>-6</v>
      </c>
      <c r="G18" s="2">
        <v>-0.4</v>
      </c>
      <c r="H18" s="3">
        <v>7.1999999999999998E-3</v>
      </c>
      <c r="I18" s="3">
        <v>-4.7E-2</v>
      </c>
      <c r="L18">
        <v>-6</v>
      </c>
      <c r="M18" s="2">
        <v>-0.4</v>
      </c>
      <c r="N18" s="3">
        <v>7.0000000000000001E-3</v>
      </c>
      <c r="O18" s="3">
        <v>-4.7E-2</v>
      </c>
    </row>
    <row r="19" spans="1:15" x14ac:dyDescent="0.25">
      <c r="A19">
        <v>-5</v>
      </c>
      <c r="B19" s="2">
        <v>-0.3</v>
      </c>
      <c r="C19">
        <v>7.7999999999999996E-3</v>
      </c>
      <c r="D19" s="3">
        <v>-4.5999999999999999E-2</v>
      </c>
      <c r="F19">
        <v>-5</v>
      </c>
      <c r="G19" s="2">
        <v>-0.3</v>
      </c>
      <c r="H19" s="3">
        <v>7.0000000000000001E-3</v>
      </c>
      <c r="I19" s="3">
        <v>-4.5999999999999999E-2</v>
      </c>
      <c r="L19">
        <v>-5</v>
      </c>
      <c r="M19" s="2">
        <v>-0.3</v>
      </c>
      <c r="N19" s="3">
        <v>6.7999999999999996E-3</v>
      </c>
      <c r="O19" s="3">
        <v>-4.5999999999999999E-2</v>
      </c>
    </row>
    <row r="20" spans="1:15" x14ac:dyDescent="0.25">
      <c r="A20">
        <v>-4</v>
      </c>
      <c r="B20" s="2">
        <v>-0.2</v>
      </c>
      <c r="C20">
        <v>7.4999999999999997E-3</v>
      </c>
      <c r="D20" s="3">
        <v>-4.5999999999999999E-2</v>
      </c>
      <c r="F20">
        <v>-4</v>
      </c>
      <c r="G20" s="2">
        <v>-0.2</v>
      </c>
      <c r="H20" s="3">
        <v>6.7999999999999996E-3</v>
      </c>
      <c r="I20" s="3">
        <v>-4.5999999999999999E-2</v>
      </c>
      <c r="L20">
        <v>-4</v>
      </c>
      <c r="M20" s="2">
        <v>-0.2</v>
      </c>
      <c r="N20" s="3">
        <v>6.4000000000000003E-3</v>
      </c>
      <c r="O20" s="3">
        <v>-4.5999999999999999E-2</v>
      </c>
    </row>
    <row r="21" spans="1:15" x14ac:dyDescent="0.25">
      <c r="A21">
        <v>-3</v>
      </c>
      <c r="B21" s="2">
        <v>-0.1</v>
      </c>
      <c r="C21">
        <v>7.1999999999999998E-3</v>
      </c>
      <c r="D21" s="3">
        <v>-4.5999999999999999E-2</v>
      </c>
      <c r="F21">
        <v>-3</v>
      </c>
      <c r="G21" s="2">
        <v>-0.1</v>
      </c>
      <c r="H21" s="3">
        <v>6.7000000000000002E-3</v>
      </c>
      <c r="I21" s="3">
        <v>-4.5999999999999999E-2</v>
      </c>
      <c r="L21">
        <v>-3</v>
      </c>
      <c r="M21" s="2">
        <v>-0.1</v>
      </c>
      <c r="N21" s="3">
        <v>6.1999999999999998E-3</v>
      </c>
      <c r="O21" s="3">
        <v>-4.5999999999999999E-2</v>
      </c>
    </row>
    <row r="22" spans="1:15" x14ac:dyDescent="0.25">
      <c r="A22">
        <v>-2</v>
      </c>
      <c r="B22" s="2">
        <v>0</v>
      </c>
      <c r="C22" s="3">
        <v>7.0000000000000001E-3</v>
      </c>
      <c r="D22" s="3">
        <v>-4.4999999999999998E-2</v>
      </c>
      <c r="F22">
        <v>-2</v>
      </c>
      <c r="G22" s="2">
        <v>0</v>
      </c>
      <c r="H22" s="3">
        <v>6.6E-3</v>
      </c>
      <c r="I22" s="3">
        <v>-4.4999999999999998E-2</v>
      </c>
      <c r="L22">
        <v>-2</v>
      </c>
      <c r="M22" s="2">
        <v>0</v>
      </c>
      <c r="N22" s="3">
        <v>6.0000000000000001E-3</v>
      </c>
      <c r="O22" s="3">
        <v>-4.4999999999999998E-2</v>
      </c>
    </row>
    <row r="23" spans="1:15" x14ac:dyDescent="0.25">
      <c r="A23">
        <v>-1</v>
      </c>
      <c r="B23" s="2">
        <v>0.12</v>
      </c>
      <c r="C23">
        <v>6.7999999999999996E-3</v>
      </c>
      <c r="D23" s="3">
        <v>-4.4999999999999998E-2</v>
      </c>
      <c r="F23">
        <v>-1</v>
      </c>
      <c r="G23" s="2">
        <v>0.12</v>
      </c>
      <c r="H23" s="3">
        <v>6.4999999999999997E-3</v>
      </c>
      <c r="I23" s="3">
        <v>-4.4999999999999998E-2</v>
      </c>
      <c r="L23">
        <v>-1</v>
      </c>
      <c r="M23" s="2">
        <v>0.12</v>
      </c>
      <c r="N23" s="3">
        <v>5.8999999999999999E-3</v>
      </c>
      <c r="O23" s="3">
        <v>-4.4999999999999998E-2</v>
      </c>
    </row>
    <row r="24" spans="1:15" x14ac:dyDescent="0.25">
      <c r="A24">
        <v>0</v>
      </c>
      <c r="B24" s="2">
        <v>0.23</v>
      </c>
      <c r="C24">
        <v>6.6E-3</v>
      </c>
      <c r="D24" s="3">
        <v>-4.7E-2</v>
      </c>
      <c r="F24">
        <v>0</v>
      </c>
      <c r="G24" s="2">
        <v>0.24</v>
      </c>
      <c r="H24" s="3">
        <v>6.4999999999999997E-3</v>
      </c>
      <c r="I24" s="3">
        <v>-4.7E-2</v>
      </c>
      <c r="L24">
        <v>0</v>
      </c>
      <c r="M24" s="2">
        <v>0.23</v>
      </c>
      <c r="N24" s="3">
        <v>5.7999999999999996E-3</v>
      </c>
      <c r="O24" s="3">
        <v>-4.7E-2</v>
      </c>
    </row>
    <row r="25" spans="1:15" x14ac:dyDescent="0.25">
      <c r="A25">
        <v>1</v>
      </c>
      <c r="B25" s="2">
        <v>0.35</v>
      </c>
      <c r="C25">
        <v>6.6E-3</v>
      </c>
      <c r="D25" s="3">
        <v>-4.4999999999999998E-2</v>
      </c>
      <c r="F25">
        <v>1</v>
      </c>
      <c r="G25" s="2">
        <v>0.35</v>
      </c>
      <c r="H25" s="3">
        <v>6.1000000000000004E-3</v>
      </c>
      <c r="I25" s="3">
        <v>-4.4999999999999998E-2</v>
      </c>
      <c r="L25">
        <v>1</v>
      </c>
      <c r="M25" s="2">
        <v>0.35</v>
      </c>
      <c r="N25" s="3">
        <v>6.0000000000000001E-3</v>
      </c>
      <c r="O25" s="3">
        <v>-4.4999999999999998E-2</v>
      </c>
    </row>
    <row r="26" spans="1:15" x14ac:dyDescent="0.25">
      <c r="A26">
        <v>2</v>
      </c>
      <c r="B26" s="2">
        <v>0.44</v>
      </c>
      <c r="C26" s="3">
        <v>6.4999999999999997E-3</v>
      </c>
      <c r="D26" s="3">
        <v>-4.3999999999999997E-2</v>
      </c>
      <c r="F26">
        <v>2</v>
      </c>
      <c r="G26" s="2">
        <v>0.44</v>
      </c>
      <c r="H26" s="3">
        <v>6.1999999999999998E-3</v>
      </c>
      <c r="I26" s="3">
        <v>-4.3999999999999997E-2</v>
      </c>
      <c r="L26">
        <v>2</v>
      </c>
      <c r="M26" s="2">
        <v>0.44</v>
      </c>
      <c r="N26" s="3">
        <v>6.1999999999999998E-3</v>
      </c>
      <c r="O26" s="3">
        <v>-4.3999999999999997E-2</v>
      </c>
    </row>
    <row r="27" spans="1:15" x14ac:dyDescent="0.25">
      <c r="A27">
        <v>3</v>
      </c>
      <c r="B27" s="2">
        <v>0.55000000000000004</v>
      </c>
      <c r="C27">
        <v>6.6E-3</v>
      </c>
      <c r="D27" s="3">
        <v>-4.3999999999999997E-2</v>
      </c>
      <c r="F27">
        <v>3</v>
      </c>
      <c r="G27" s="2">
        <v>0.55000000000000004</v>
      </c>
      <c r="H27" s="3">
        <v>6.7999999999999996E-3</v>
      </c>
      <c r="I27" s="3">
        <v>-4.3999999999999997E-2</v>
      </c>
      <c r="L27">
        <v>3</v>
      </c>
      <c r="M27" s="2">
        <v>0.55000000000000004</v>
      </c>
      <c r="N27" s="3">
        <v>6.7999999999999996E-3</v>
      </c>
      <c r="O27" s="3">
        <v>-4.3999999999999997E-2</v>
      </c>
    </row>
    <row r="28" spans="1:15" x14ac:dyDescent="0.25">
      <c r="A28">
        <v>4</v>
      </c>
      <c r="B28" s="2">
        <v>0.65</v>
      </c>
      <c r="C28">
        <v>6.7999999999999996E-3</v>
      </c>
      <c r="D28" s="3">
        <v>-4.2000000000000003E-2</v>
      </c>
      <c r="F28">
        <v>4</v>
      </c>
      <c r="G28" s="2">
        <v>0.65</v>
      </c>
      <c r="H28" s="3">
        <v>7.3000000000000001E-3</v>
      </c>
      <c r="I28" s="3">
        <v>-4.2000000000000003E-2</v>
      </c>
      <c r="L28">
        <v>4</v>
      </c>
      <c r="M28" s="2">
        <v>0.65</v>
      </c>
      <c r="N28" s="3">
        <v>7.1999999999999998E-3</v>
      </c>
      <c r="O28" s="3">
        <v>-4.2000000000000003E-2</v>
      </c>
    </row>
    <row r="29" spans="1:15" x14ac:dyDescent="0.25">
      <c r="A29">
        <v>5</v>
      </c>
      <c r="B29" s="2">
        <v>0.75</v>
      </c>
      <c r="C29">
        <v>7.6E-3</v>
      </c>
      <c r="D29" s="3">
        <v>-4.1000000000000002E-2</v>
      </c>
      <c r="F29">
        <v>5</v>
      </c>
      <c r="G29" s="2">
        <v>0.75</v>
      </c>
      <c r="H29" s="3">
        <v>7.6E-3</v>
      </c>
      <c r="I29" s="3">
        <v>-4.1000000000000002E-2</v>
      </c>
      <c r="L29">
        <v>5</v>
      </c>
      <c r="M29" s="2">
        <v>0.75</v>
      </c>
      <c r="N29" s="3">
        <v>7.3000000000000001E-3</v>
      </c>
      <c r="O29" s="3">
        <v>-4.1000000000000002E-2</v>
      </c>
    </row>
    <row r="30" spans="1:15" x14ac:dyDescent="0.25">
      <c r="A30">
        <v>6</v>
      </c>
      <c r="B30" s="2">
        <v>0.86</v>
      </c>
      <c r="C30" s="3">
        <v>9.1000000000000004E-3</v>
      </c>
      <c r="D30" s="3">
        <v>-0.04</v>
      </c>
      <c r="F30">
        <v>6</v>
      </c>
      <c r="G30" s="2">
        <v>0.86</v>
      </c>
      <c r="H30" s="3">
        <v>7.7999999999999996E-3</v>
      </c>
      <c r="I30" s="3">
        <v>-0.04</v>
      </c>
      <c r="L30">
        <v>6</v>
      </c>
      <c r="M30" s="2">
        <v>0.86</v>
      </c>
      <c r="N30" s="3">
        <v>7.6E-3</v>
      </c>
      <c r="O30" s="3">
        <v>-0.04</v>
      </c>
    </row>
    <row r="31" spans="1:15" x14ac:dyDescent="0.25">
      <c r="A31">
        <v>7</v>
      </c>
      <c r="B31" s="2">
        <v>0.96</v>
      </c>
      <c r="C31">
        <v>1.0500000000000001E-2</v>
      </c>
      <c r="D31" s="3">
        <v>-3.7999999999999999E-2</v>
      </c>
      <c r="F31">
        <v>7</v>
      </c>
      <c r="G31" s="2">
        <v>0.96</v>
      </c>
      <c r="H31" s="3">
        <v>8.6E-3</v>
      </c>
      <c r="I31" s="3">
        <v>-3.7999999999999999E-2</v>
      </c>
      <c r="L31">
        <v>7</v>
      </c>
      <c r="M31" s="2">
        <v>0.96</v>
      </c>
      <c r="N31" s="3">
        <v>8.5000000000000006E-3</v>
      </c>
      <c r="O31" s="3">
        <v>-3.7999999999999999E-2</v>
      </c>
    </row>
    <row r="32" spans="1:15" x14ac:dyDescent="0.25">
      <c r="A32">
        <v>8</v>
      </c>
      <c r="B32" s="2">
        <v>1.0649999999999999</v>
      </c>
      <c r="C32">
        <v>1.15E-2</v>
      </c>
      <c r="D32" s="3">
        <v>-3.7499999999999999E-2</v>
      </c>
      <c r="F32">
        <v>8</v>
      </c>
      <c r="G32" s="2">
        <v>1.0649999999999999</v>
      </c>
      <c r="H32" s="3">
        <v>9.7999999999999997E-3</v>
      </c>
      <c r="I32" s="3">
        <v>-3.7499999999999999E-2</v>
      </c>
      <c r="L32">
        <v>8</v>
      </c>
      <c r="M32" s="2">
        <v>1.0649999999999999</v>
      </c>
      <c r="N32" s="3">
        <v>9.1000000000000004E-3</v>
      </c>
      <c r="O32" s="3">
        <v>-3.7499999999999999E-2</v>
      </c>
    </row>
    <row r="33" spans="1:19" x14ac:dyDescent="0.25">
      <c r="A33">
        <v>9</v>
      </c>
      <c r="B33" s="2">
        <v>1.1499999999999999</v>
      </c>
      <c r="C33">
        <v>1.26E-2</v>
      </c>
      <c r="D33" s="3">
        <v>-3.5999999999999997E-2</v>
      </c>
      <c r="F33">
        <v>9</v>
      </c>
      <c r="G33" s="2">
        <v>1.1499999999999999</v>
      </c>
      <c r="H33" s="3">
        <v>1.0699999999999999E-2</v>
      </c>
      <c r="I33" s="3">
        <v>-3.4000000000000002E-2</v>
      </c>
      <c r="L33">
        <v>9</v>
      </c>
      <c r="M33" s="2">
        <v>1.1499999999999999</v>
      </c>
      <c r="N33" s="3">
        <v>1.0200000000000001E-2</v>
      </c>
      <c r="O33" s="3">
        <v>-3.4000000000000002E-2</v>
      </c>
    </row>
    <row r="34" spans="1:19" x14ac:dyDescent="0.25">
      <c r="A34">
        <v>10</v>
      </c>
      <c r="B34" s="2">
        <v>1.24</v>
      </c>
      <c r="C34" s="3">
        <v>1.3599999999999999E-2</v>
      </c>
      <c r="D34" s="3">
        <v>-3.2500000000000001E-2</v>
      </c>
      <c r="F34">
        <v>10</v>
      </c>
      <c r="G34" s="2">
        <v>1.24</v>
      </c>
      <c r="H34" s="3">
        <v>1.18E-2</v>
      </c>
      <c r="I34" s="3">
        <v>-3.7499999999999999E-2</v>
      </c>
      <c r="L34">
        <v>10</v>
      </c>
      <c r="M34" s="2">
        <v>1.24</v>
      </c>
      <c r="N34" s="3">
        <v>1.15E-2</v>
      </c>
      <c r="O34" s="3">
        <v>-3.7499999999999999E-2</v>
      </c>
    </row>
    <row r="35" spans="1:19" x14ac:dyDescent="0.25">
      <c r="A35">
        <v>11</v>
      </c>
      <c r="B35" s="2">
        <v>1.32</v>
      </c>
      <c r="C35" s="3">
        <v>1.4999999999999999E-2</v>
      </c>
      <c r="D35" s="3">
        <v>-0.03</v>
      </c>
      <c r="F35">
        <v>11</v>
      </c>
      <c r="G35" s="2">
        <v>1.32</v>
      </c>
      <c r="H35" s="3">
        <v>1.3100000000000001E-2</v>
      </c>
      <c r="I35" s="3">
        <v>-3.5000000000000003E-2</v>
      </c>
      <c r="L35">
        <v>11</v>
      </c>
      <c r="M35" s="2">
        <v>1.32</v>
      </c>
      <c r="N35" s="3">
        <v>1.2500000000000001E-2</v>
      </c>
      <c r="O35" s="3">
        <v>-3.5000000000000003E-2</v>
      </c>
    </row>
    <row r="36" spans="1:19" x14ac:dyDescent="0.25">
      <c r="A36">
        <v>12</v>
      </c>
      <c r="B36" s="2">
        <v>1.4</v>
      </c>
      <c r="C36">
        <v>1.72E-2</v>
      </c>
      <c r="D36" s="3">
        <v>-2.5999999999999999E-2</v>
      </c>
      <c r="F36">
        <v>12</v>
      </c>
      <c r="G36" s="2">
        <v>1.4</v>
      </c>
      <c r="H36" s="3">
        <v>1.4800000000000001E-2</v>
      </c>
      <c r="I36" s="3">
        <v>-3.4000000000000002E-2</v>
      </c>
      <c r="L36">
        <v>12</v>
      </c>
      <c r="M36" s="2">
        <v>1.4</v>
      </c>
      <c r="N36" s="3">
        <v>1.47E-2</v>
      </c>
      <c r="O36" s="3">
        <v>-3.4000000000000002E-2</v>
      </c>
    </row>
    <row r="37" spans="1:19" x14ac:dyDescent="0.25">
      <c r="A37">
        <v>13</v>
      </c>
      <c r="B37" s="2">
        <v>1.4750000000000001</v>
      </c>
      <c r="C37" s="3">
        <v>2.1000000000000001E-2</v>
      </c>
      <c r="D37" s="3">
        <v>-2.5000000000000001E-2</v>
      </c>
      <c r="F37">
        <v>13</v>
      </c>
      <c r="G37" s="2">
        <v>1.48</v>
      </c>
      <c r="H37" s="3">
        <v>1.6500000000000001E-2</v>
      </c>
      <c r="I37" s="3">
        <v>-0.03</v>
      </c>
      <c r="L37">
        <v>13</v>
      </c>
      <c r="M37" s="2">
        <v>1.48</v>
      </c>
      <c r="N37" s="3">
        <v>1.6500000000000001E-2</v>
      </c>
      <c r="O37" s="3">
        <v>-0.03</v>
      </c>
    </row>
    <row r="38" spans="1:19" x14ac:dyDescent="0.25">
      <c r="A38">
        <v>14</v>
      </c>
      <c r="B38" s="2">
        <v>1.52</v>
      </c>
      <c r="C38" s="3"/>
      <c r="D38">
        <v>-2.5000000000000001E-2</v>
      </c>
      <c r="F38">
        <v>14</v>
      </c>
      <c r="G38" s="2">
        <v>1.52</v>
      </c>
      <c r="H38" s="3">
        <v>1.72E-2</v>
      </c>
      <c r="I38">
        <v>-2.5000000000000001E-2</v>
      </c>
      <c r="L38">
        <v>14</v>
      </c>
      <c r="M38" s="2">
        <v>1.52</v>
      </c>
      <c r="N38" s="3">
        <v>1.72E-2</v>
      </c>
      <c r="O38">
        <v>-2.5000000000000001E-2</v>
      </c>
    </row>
    <row r="39" spans="1:19" x14ac:dyDescent="0.25">
      <c r="A39">
        <v>15</v>
      </c>
      <c r="B39" s="2">
        <v>1.58</v>
      </c>
      <c r="D39" s="3">
        <v>-2.5000000000000001E-2</v>
      </c>
      <c r="F39">
        <v>15</v>
      </c>
      <c r="G39" s="2">
        <v>1.6</v>
      </c>
      <c r="H39" s="3">
        <v>1.8599999999999998E-2</v>
      </c>
      <c r="I39" s="3">
        <v>-2.5000000000000001E-2</v>
      </c>
      <c r="L39">
        <v>15</v>
      </c>
      <c r="M39" s="2">
        <v>1.6</v>
      </c>
      <c r="N39" s="3">
        <v>1.8599999999999998E-2</v>
      </c>
      <c r="O39" s="3">
        <v>-2.2499999999999999E-2</v>
      </c>
    </row>
    <row r="40" spans="1:19" x14ac:dyDescent="0.25">
      <c r="A40">
        <v>16</v>
      </c>
      <c r="B40" s="2">
        <v>1.55</v>
      </c>
      <c r="D40" s="3">
        <v>-3.2500000000000001E-2</v>
      </c>
      <c r="F40">
        <v>16</v>
      </c>
      <c r="G40" s="2">
        <v>1.68</v>
      </c>
      <c r="H40" s="3"/>
      <c r="I40" s="3">
        <v>-4.2500000000000003E-2</v>
      </c>
      <c r="L40">
        <v>16</v>
      </c>
      <c r="M40" s="2">
        <v>1.68</v>
      </c>
      <c r="N40" s="3"/>
      <c r="O40" s="3">
        <v>-0.02</v>
      </c>
    </row>
    <row r="41" spans="1:19" x14ac:dyDescent="0.25">
      <c r="A41">
        <v>17</v>
      </c>
      <c r="B41" s="2">
        <v>1.39</v>
      </c>
      <c r="D41" s="3">
        <v>-0.05</v>
      </c>
      <c r="F41">
        <v>17</v>
      </c>
      <c r="G41" s="2">
        <v>1.68</v>
      </c>
      <c r="H41" s="3"/>
      <c r="I41" s="3">
        <v>-5.7500000000000002E-2</v>
      </c>
      <c r="L41">
        <v>17</v>
      </c>
      <c r="M41" s="2">
        <v>1.55</v>
      </c>
      <c r="N41" s="3"/>
      <c r="O41" s="3">
        <v>-3.5000000000000003E-2</v>
      </c>
    </row>
    <row r="42" spans="1:19" x14ac:dyDescent="0.25">
      <c r="A42">
        <v>18</v>
      </c>
      <c r="B42" s="2">
        <v>1.24</v>
      </c>
      <c r="C42" s="3"/>
      <c r="D42" s="3">
        <v>-8.7499999999999994E-2</v>
      </c>
      <c r="F42">
        <v>18</v>
      </c>
      <c r="G42" s="2">
        <v>1.55</v>
      </c>
      <c r="H42" s="3"/>
      <c r="I42" s="3">
        <v>-0.105</v>
      </c>
      <c r="L42">
        <v>18</v>
      </c>
      <c r="M42" s="2">
        <v>1.47</v>
      </c>
      <c r="N42" s="3"/>
      <c r="O42" s="3">
        <v>-6.25E-2</v>
      </c>
    </row>
    <row r="46" spans="1:19" x14ac:dyDescent="0.25">
      <c r="A46" s="6" t="s">
        <v>9</v>
      </c>
      <c r="B46" s="6"/>
      <c r="C46" s="6"/>
      <c r="D46" s="6"/>
      <c r="H46" s="6" t="s">
        <v>23</v>
      </c>
      <c r="I46" s="6"/>
      <c r="J46" s="6"/>
      <c r="K46" s="6"/>
      <c r="P46" s="6" t="s">
        <v>24</v>
      </c>
      <c r="Q46" s="6"/>
      <c r="R46" s="6"/>
      <c r="S46" s="6"/>
    </row>
    <row r="49" spans="1:19" x14ac:dyDescent="0.25">
      <c r="A49" t="s">
        <v>10</v>
      </c>
      <c r="H49" t="s">
        <v>10</v>
      </c>
      <c r="O49" t="s">
        <v>10</v>
      </c>
    </row>
    <row r="50" spans="1:19" x14ac:dyDescent="0.25">
      <c r="A50" t="s">
        <v>11</v>
      </c>
      <c r="H50" t="s">
        <v>11</v>
      </c>
      <c r="O50" t="s">
        <v>11</v>
      </c>
    </row>
    <row r="51" spans="1:19" x14ac:dyDescent="0.25">
      <c r="A51" t="s">
        <v>12</v>
      </c>
      <c r="H51" t="s">
        <v>12</v>
      </c>
      <c r="O51" t="s">
        <v>12</v>
      </c>
    </row>
    <row r="52" spans="1:19" x14ac:dyDescent="0.25">
      <c r="A52" t="s">
        <v>11</v>
      </c>
      <c r="H52" t="s">
        <v>11</v>
      </c>
      <c r="O52" t="s">
        <v>11</v>
      </c>
    </row>
    <row r="53" spans="1:19" x14ac:dyDescent="0.25">
      <c r="A53" t="s">
        <v>13</v>
      </c>
      <c r="H53" t="s">
        <v>13</v>
      </c>
      <c r="O53" t="s">
        <v>13</v>
      </c>
    </row>
    <row r="54" spans="1:19" x14ac:dyDescent="0.25">
      <c r="A54" t="s">
        <v>11</v>
      </c>
      <c r="H54" t="s">
        <v>11</v>
      </c>
      <c r="O54" t="s">
        <v>11</v>
      </c>
    </row>
    <row r="55" spans="1:19" x14ac:dyDescent="0.25">
      <c r="A55" t="s">
        <v>14</v>
      </c>
      <c r="H55" t="s">
        <v>14</v>
      </c>
      <c r="O55" t="s">
        <v>14</v>
      </c>
    </row>
    <row r="56" spans="1:19" x14ac:dyDescent="0.25">
      <c r="A56" t="s">
        <v>34</v>
      </c>
      <c r="H56" t="s">
        <v>35</v>
      </c>
      <c r="O56" t="s">
        <v>36</v>
      </c>
    </row>
    <row r="57" spans="1:19" x14ac:dyDescent="0.25">
      <c r="A57" t="s">
        <v>11</v>
      </c>
      <c r="H57" t="s">
        <v>11</v>
      </c>
      <c r="O57" t="s">
        <v>11</v>
      </c>
    </row>
    <row r="58" spans="1:19" x14ac:dyDescent="0.25">
      <c r="A58" t="s">
        <v>15</v>
      </c>
      <c r="B58" t="s">
        <v>16</v>
      </c>
      <c r="C58" t="s">
        <v>17</v>
      </c>
      <c r="D58" t="s">
        <v>18</v>
      </c>
      <c r="E58" t="s">
        <v>19</v>
      </c>
      <c r="H58" t="s">
        <v>15</v>
      </c>
      <c r="I58" t="s">
        <v>16</v>
      </c>
      <c r="J58" t="s">
        <v>17</v>
      </c>
      <c r="K58" t="s">
        <v>18</v>
      </c>
      <c r="L58" t="s">
        <v>19</v>
      </c>
      <c r="O58" t="s">
        <v>15</v>
      </c>
      <c r="P58" t="s">
        <v>16</v>
      </c>
      <c r="Q58" t="s">
        <v>17</v>
      </c>
      <c r="R58" t="s">
        <v>18</v>
      </c>
      <c r="S58" t="s">
        <v>19</v>
      </c>
    </row>
    <row r="59" spans="1:19" x14ac:dyDescent="0.25">
      <c r="A59" t="s">
        <v>20</v>
      </c>
      <c r="B59" t="s">
        <v>21</v>
      </c>
      <c r="C59" t="s">
        <v>22</v>
      </c>
      <c r="D59" t="s">
        <v>22</v>
      </c>
      <c r="E59" t="s">
        <v>21</v>
      </c>
      <c r="H59" t="s">
        <v>20</v>
      </c>
      <c r="I59" t="s">
        <v>21</v>
      </c>
      <c r="J59" t="s">
        <v>22</v>
      </c>
      <c r="K59" t="s">
        <v>22</v>
      </c>
      <c r="L59" t="s">
        <v>21</v>
      </c>
      <c r="O59" t="s">
        <v>20</v>
      </c>
      <c r="P59" t="s">
        <v>21</v>
      </c>
      <c r="Q59" t="s">
        <v>22</v>
      </c>
      <c r="R59" t="s">
        <v>22</v>
      </c>
      <c r="S59" t="s">
        <v>21</v>
      </c>
    </row>
    <row r="60" spans="1:19" x14ac:dyDescent="0.25">
      <c r="A60">
        <v>-18</v>
      </c>
      <c r="B60">
        <v>-1.5113000000000001</v>
      </c>
      <c r="C60">
        <v>3.1469999999999998E-2</v>
      </c>
      <c r="D60">
        <v>2.8039999999999999E-2</v>
      </c>
      <c r="E60">
        <v>-7.0699999999999999E-2</v>
      </c>
      <c r="H60">
        <v>-18</v>
      </c>
      <c r="I60">
        <v>-1.6155999999999999</v>
      </c>
      <c r="J60">
        <v>2.3089999999999999E-2</v>
      </c>
      <c r="K60">
        <v>1.9480000000000001E-2</v>
      </c>
      <c r="L60">
        <v>-6.7599999999999993E-2</v>
      </c>
      <c r="O60">
        <v>-18</v>
      </c>
      <c r="P60">
        <v>-1.6694</v>
      </c>
      <c r="Q60">
        <v>1.9820000000000001E-2</v>
      </c>
      <c r="R60">
        <v>1.618E-2</v>
      </c>
      <c r="S60">
        <v>-6.2199999999999998E-2</v>
      </c>
    </row>
    <row r="61" spans="1:19" x14ac:dyDescent="0.25">
      <c r="A61">
        <v>-17</v>
      </c>
      <c r="B61">
        <v>-1.4985999999999999</v>
      </c>
      <c r="C61">
        <v>2.462E-2</v>
      </c>
      <c r="D61">
        <v>2.0889999999999999E-2</v>
      </c>
      <c r="E61">
        <v>-6.7699999999999996E-2</v>
      </c>
      <c r="H61">
        <v>-17</v>
      </c>
      <c r="I61">
        <v>-1.5685</v>
      </c>
      <c r="J61">
        <v>1.976E-2</v>
      </c>
      <c r="K61">
        <v>1.5970000000000002E-2</v>
      </c>
      <c r="L61">
        <v>-6.1100000000000002E-2</v>
      </c>
      <c r="O61">
        <v>-17</v>
      </c>
      <c r="P61">
        <v>-1.595</v>
      </c>
      <c r="Q61">
        <v>1.7520000000000001E-2</v>
      </c>
      <c r="R61">
        <v>1.3780000000000001E-2</v>
      </c>
      <c r="S61">
        <v>-5.8500000000000003E-2</v>
      </c>
    </row>
    <row r="62" spans="1:19" x14ac:dyDescent="0.25">
      <c r="A62">
        <v>-16</v>
      </c>
      <c r="B62">
        <v>-1.4491000000000001</v>
      </c>
      <c r="C62">
        <v>2.1340000000000001E-2</v>
      </c>
      <c r="D62">
        <v>1.7399999999999999E-2</v>
      </c>
      <c r="E62">
        <v>-6.1699999999999998E-2</v>
      </c>
      <c r="H62">
        <v>-16</v>
      </c>
      <c r="I62">
        <v>-1.4917</v>
      </c>
      <c r="J62">
        <v>1.7489999999999999E-2</v>
      </c>
      <c r="K62">
        <v>1.357E-2</v>
      </c>
      <c r="L62">
        <v>-5.7500000000000002E-2</v>
      </c>
      <c r="O62">
        <v>-16</v>
      </c>
      <c r="P62">
        <v>-1.5107999999999999</v>
      </c>
      <c r="Q62">
        <v>1.5699999999999999E-2</v>
      </c>
      <c r="R62">
        <v>1.188E-2</v>
      </c>
      <c r="S62">
        <v>-5.5399999999999998E-2</v>
      </c>
    </row>
    <row r="63" spans="1:19" x14ac:dyDescent="0.25">
      <c r="A63">
        <v>-15</v>
      </c>
      <c r="B63">
        <v>-1.3787</v>
      </c>
      <c r="C63">
        <v>1.8589999999999999E-2</v>
      </c>
      <c r="D63">
        <v>1.4449999999999999E-2</v>
      </c>
      <c r="E63">
        <v>-5.74E-2</v>
      </c>
      <c r="H63">
        <v>-15</v>
      </c>
      <c r="I63">
        <v>-1.4120999999999999</v>
      </c>
      <c r="J63">
        <v>1.5610000000000001E-2</v>
      </c>
      <c r="K63">
        <v>1.159E-2</v>
      </c>
      <c r="L63">
        <v>-5.33E-2</v>
      </c>
      <c r="O63">
        <v>-15</v>
      </c>
      <c r="P63">
        <v>-1.4298</v>
      </c>
      <c r="Q63">
        <v>1.3979999999999999E-2</v>
      </c>
      <c r="R63">
        <v>1.009E-2</v>
      </c>
      <c r="S63">
        <v>-5.11E-2</v>
      </c>
    </row>
    <row r="64" spans="1:19" x14ac:dyDescent="0.25">
      <c r="A64">
        <v>-14</v>
      </c>
      <c r="B64">
        <v>-1.3049999999999999</v>
      </c>
      <c r="C64">
        <v>1.6590000000000001E-2</v>
      </c>
      <c r="D64">
        <v>1.2330000000000001E-2</v>
      </c>
      <c r="E64">
        <v>-5.21E-2</v>
      </c>
      <c r="H64">
        <v>-14</v>
      </c>
      <c r="I64">
        <v>-1.3232999999999999</v>
      </c>
      <c r="J64">
        <v>1.3939999999999999E-2</v>
      </c>
      <c r="K64">
        <v>9.8499999999999994E-3</v>
      </c>
      <c r="L64">
        <v>-5.04E-2</v>
      </c>
      <c r="O64">
        <v>-14</v>
      </c>
      <c r="P64">
        <v>-1.3169999999999999</v>
      </c>
      <c r="Q64">
        <v>1.2540000000000001E-2</v>
      </c>
      <c r="R64">
        <v>8.6E-3</v>
      </c>
      <c r="S64">
        <v>-5.28E-2</v>
      </c>
    </row>
    <row r="65" spans="1:19" x14ac:dyDescent="0.25">
      <c r="A65">
        <v>-13</v>
      </c>
      <c r="B65">
        <v>-1.2225999999999999</v>
      </c>
      <c r="C65">
        <v>1.4749999999999999E-2</v>
      </c>
      <c r="D65">
        <v>1.035E-2</v>
      </c>
      <c r="E65">
        <v>-4.7899999999999998E-2</v>
      </c>
      <c r="H65">
        <v>-13</v>
      </c>
      <c r="I65">
        <v>-1.2078</v>
      </c>
      <c r="J65">
        <v>1.238E-2</v>
      </c>
      <c r="K65">
        <v>8.2299999999999995E-3</v>
      </c>
      <c r="L65">
        <v>-5.2699999999999997E-2</v>
      </c>
      <c r="O65">
        <v>-13</v>
      </c>
      <c r="P65">
        <v>-1.2034</v>
      </c>
      <c r="Q65">
        <v>1.1140000000000001E-2</v>
      </c>
      <c r="R65">
        <v>7.1799999999999998E-3</v>
      </c>
      <c r="S65">
        <v>-5.45E-2</v>
      </c>
    </row>
    <row r="66" spans="1:19" x14ac:dyDescent="0.25">
      <c r="A66">
        <v>-12</v>
      </c>
      <c r="B66">
        <v>-1.1036999999999999</v>
      </c>
      <c r="C66">
        <v>1.308E-2</v>
      </c>
      <c r="D66">
        <v>8.5900000000000004E-3</v>
      </c>
      <c r="E66">
        <v>-5.0900000000000001E-2</v>
      </c>
      <c r="H66">
        <v>-12</v>
      </c>
      <c r="I66">
        <v>-1.0899000000000001</v>
      </c>
      <c r="J66">
        <v>1.11E-2</v>
      </c>
      <c r="K66">
        <v>6.9100000000000003E-3</v>
      </c>
      <c r="L66">
        <v>-5.5E-2</v>
      </c>
      <c r="O66">
        <v>-12</v>
      </c>
      <c r="P66">
        <v>-1.0994999999999999</v>
      </c>
      <c r="Q66">
        <v>1.0059999999999999E-2</v>
      </c>
      <c r="R66">
        <v>6.0699999999999999E-3</v>
      </c>
      <c r="S66">
        <v>-5.3499999999999999E-2</v>
      </c>
    </row>
    <row r="67" spans="1:19" x14ac:dyDescent="0.25">
      <c r="A67">
        <v>-11</v>
      </c>
      <c r="B67">
        <v>-0.98140000000000005</v>
      </c>
      <c r="C67">
        <v>1.162E-2</v>
      </c>
      <c r="D67">
        <v>7.0699999999999999E-3</v>
      </c>
      <c r="E67">
        <v>-5.4300000000000001E-2</v>
      </c>
      <c r="H67">
        <v>-11</v>
      </c>
      <c r="I67">
        <v>-0.98280000000000001</v>
      </c>
      <c r="J67">
        <v>9.9900000000000006E-3</v>
      </c>
      <c r="K67">
        <v>5.7600000000000004E-3</v>
      </c>
      <c r="L67">
        <v>-5.4600000000000003E-2</v>
      </c>
      <c r="O67">
        <v>-11</v>
      </c>
      <c r="P67">
        <v>-0.99590000000000001</v>
      </c>
      <c r="Q67">
        <v>9.1699999999999993E-3</v>
      </c>
      <c r="R67">
        <v>5.1200000000000004E-3</v>
      </c>
      <c r="S67">
        <v>-5.21E-2</v>
      </c>
    </row>
    <row r="68" spans="1:19" x14ac:dyDescent="0.25">
      <c r="A68">
        <v>-10</v>
      </c>
      <c r="B68">
        <v>-0.86250000000000004</v>
      </c>
      <c r="C68">
        <v>1.035E-2</v>
      </c>
      <c r="D68">
        <v>5.7600000000000004E-3</v>
      </c>
      <c r="E68">
        <v>-5.6500000000000002E-2</v>
      </c>
      <c r="H68">
        <v>-10</v>
      </c>
      <c r="I68">
        <v>-0.87939999999999996</v>
      </c>
      <c r="J68">
        <v>9.0799999999999995E-3</v>
      </c>
      <c r="K68">
        <v>4.7999999999999996E-3</v>
      </c>
      <c r="L68">
        <v>-5.3100000000000001E-2</v>
      </c>
      <c r="O68">
        <v>-10</v>
      </c>
      <c r="P68">
        <v>-0.88880000000000003</v>
      </c>
      <c r="Q68">
        <v>8.3800000000000003E-3</v>
      </c>
      <c r="R68">
        <v>4.2500000000000003E-3</v>
      </c>
      <c r="S68">
        <v>-5.1299999999999998E-2</v>
      </c>
    </row>
    <row r="69" spans="1:19" x14ac:dyDescent="0.25">
      <c r="A69">
        <v>-9</v>
      </c>
      <c r="B69">
        <v>-0.75760000000000005</v>
      </c>
      <c r="C69">
        <v>9.3500000000000007E-3</v>
      </c>
      <c r="D69">
        <v>4.7200000000000002E-3</v>
      </c>
      <c r="E69">
        <v>-5.5300000000000002E-2</v>
      </c>
      <c r="H69">
        <v>-9</v>
      </c>
      <c r="I69">
        <v>-0.77239999999999998</v>
      </c>
      <c r="J69">
        <v>8.2799999999999992E-3</v>
      </c>
      <c r="K69">
        <v>3.9300000000000003E-3</v>
      </c>
      <c r="L69">
        <v>-5.2200000000000003E-2</v>
      </c>
      <c r="O69">
        <v>-9</v>
      </c>
      <c r="P69">
        <v>-0.77910000000000001</v>
      </c>
      <c r="Q69">
        <v>7.6899999999999998E-3</v>
      </c>
      <c r="R69">
        <v>3.5000000000000001E-3</v>
      </c>
      <c r="S69">
        <v>-5.0999999999999997E-2</v>
      </c>
    </row>
    <row r="70" spans="1:19" x14ac:dyDescent="0.25">
      <c r="A70">
        <v>-8</v>
      </c>
      <c r="B70">
        <v>-0.65190000000000003</v>
      </c>
      <c r="C70">
        <v>8.5199999999999998E-3</v>
      </c>
      <c r="D70">
        <v>3.82E-3</v>
      </c>
      <c r="E70">
        <v>-5.3900000000000003E-2</v>
      </c>
      <c r="H70">
        <v>-8</v>
      </c>
      <c r="I70">
        <v>-0.66220000000000001</v>
      </c>
      <c r="J70">
        <v>7.62E-3</v>
      </c>
      <c r="K70">
        <v>3.2000000000000002E-3</v>
      </c>
      <c r="L70">
        <v>-5.1799999999999999E-2</v>
      </c>
      <c r="O70">
        <v>-8</v>
      </c>
      <c r="P70">
        <v>-0.66749999999999998</v>
      </c>
      <c r="Q70">
        <v>7.1199999999999996E-3</v>
      </c>
      <c r="R70">
        <v>2.8600000000000001E-3</v>
      </c>
      <c r="S70">
        <v>-5.0900000000000001E-2</v>
      </c>
    </row>
    <row r="71" spans="1:19" x14ac:dyDescent="0.25">
      <c r="A71">
        <v>-7</v>
      </c>
      <c r="B71">
        <v>-0.54259999999999997</v>
      </c>
      <c r="C71">
        <v>7.8200000000000006E-3</v>
      </c>
      <c r="D71">
        <v>3.0599999999999998E-3</v>
      </c>
      <c r="E71">
        <v>-5.33E-2</v>
      </c>
      <c r="H71">
        <v>-7</v>
      </c>
      <c r="I71">
        <v>-0.55059999999999998</v>
      </c>
      <c r="J71">
        <v>7.0699999999999999E-3</v>
      </c>
      <c r="K71">
        <v>2.5799999999999998E-3</v>
      </c>
      <c r="L71">
        <v>-5.1700000000000003E-2</v>
      </c>
      <c r="O71">
        <v>-7</v>
      </c>
      <c r="P71">
        <v>-0.55510000000000004</v>
      </c>
      <c r="Q71">
        <v>6.6499999999999997E-3</v>
      </c>
      <c r="R71">
        <v>2.31E-3</v>
      </c>
      <c r="S71">
        <v>-5.0900000000000001E-2</v>
      </c>
    </row>
    <row r="72" spans="1:19" x14ac:dyDescent="0.25">
      <c r="A72">
        <v>-6</v>
      </c>
      <c r="B72">
        <v>-0.43180000000000002</v>
      </c>
      <c r="C72">
        <v>7.2399999999999999E-3</v>
      </c>
      <c r="D72">
        <v>2.4199999999999998E-3</v>
      </c>
      <c r="E72">
        <v>-5.2900000000000003E-2</v>
      </c>
      <c r="H72">
        <v>-6</v>
      </c>
      <c r="I72">
        <v>-0.43830000000000002</v>
      </c>
      <c r="J72">
        <v>6.6100000000000004E-3</v>
      </c>
      <c r="K72">
        <v>2.0500000000000002E-3</v>
      </c>
      <c r="L72">
        <v>-5.16E-2</v>
      </c>
      <c r="O72">
        <v>-6</v>
      </c>
      <c r="P72">
        <v>-0.44190000000000002</v>
      </c>
      <c r="Q72">
        <v>6.28E-3</v>
      </c>
      <c r="R72">
        <v>1.8600000000000001E-3</v>
      </c>
      <c r="S72">
        <v>-5.0999999999999997E-2</v>
      </c>
    </row>
    <row r="73" spans="1:19" x14ac:dyDescent="0.25">
      <c r="A73">
        <v>-5</v>
      </c>
      <c r="B73">
        <v>-0.3201</v>
      </c>
      <c r="C73">
        <v>6.7799999999999996E-3</v>
      </c>
      <c r="D73">
        <v>1.89E-3</v>
      </c>
      <c r="E73">
        <v>-5.2699999999999997E-2</v>
      </c>
      <c r="H73">
        <v>-5</v>
      </c>
      <c r="I73">
        <v>-0.32519999999999999</v>
      </c>
      <c r="J73">
        <v>6.2599999999999999E-3</v>
      </c>
      <c r="K73">
        <v>1.6199999999999999E-3</v>
      </c>
      <c r="L73">
        <v>-5.1700000000000003E-2</v>
      </c>
      <c r="O73">
        <v>-5</v>
      </c>
      <c r="P73">
        <v>-0.32829999999999998</v>
      </c>
      <c r="Q73">
        <v>5.9899999999999997E-3</v>
      </c>
      <c r="R73">
        <v>1.48E-3</v>
      </c>
      <c r="S73">
        <v>-5.1200000000000002E-2</v>
      </c>
    </row>
    <row r="74" spans="1:19" x14ac:dyDescent="0.25">
      <c r="A74">
        <v>-4</v>
      </c>
      <c r="B74">
        <v>-0.20799999999999999</v>
      </c>
      <c r="C74">
        <v>6.3800000000000003E-3</v>
      </c>
      <c r="D74">
        <v>1.4599999999999999E-3</v>
      </c>
      <c r="E74">
        <v>-5.2499999999999998E-2</v>
      </c>
      <c r="H74">
        <v>-4</v>
      </c>
      <c r="I74">
        <v>-0.21179999999999999</v>
      </c>
      <c r="J74">
        <v>5.9899999999999997E-3</v>
      </c>
      <c r="K74">
        <v>1.2700000000000001E-3</v>
      </c>
      <c r="L74">
        <v>-5.1799999999999999E-2</v>
      </c>
      <c r="O74">
        <v>-4</v>
      </c>
      <c r="P74">
        <v>-0.2142</v>
      </c>
      <c r="Q74">
        <v>5.7600000000000004E-3</v>
      </c>
      <c r="R74">
        <v>1.1800000000000001E-3</v>
      </c>
      <c r="S74">
        <v>-5.1499999999999997E-2</v>
      </c>
    </row>
    <row r="75" spans="1:19" x14ac:dyDescent="0.25">
      <c r="A75">
        <v>-3</v>
      </c>
      <c r="B75">
        <v>-9.5600000000000004E-2</v>
      </c>
      <c r="C75">
        <v>6.0699999999999999E-3</v>
      </c>
      <c r="D75">
        <v>1.14E-3</v>
      </c>
      <c r="E75">
        <v>-5.2499999999999998E-2</v>
      </c>
      <c r="H75">
        <v>-3</v>
      </c>
      <c r="I75">
        <v>-9.8199999999999996E-2</v>
      </c>
      <c r="J75">
        <v>5.77E-3</v>
      </c>
      <c r="K75">
        <v>1.01E-3</v>
      </c>
      <c r="L75">
        <v>-5.1999999999999998E-2</v>
      </c>
      <c r="O75">
        <v>-3</v>
      </c>
      <c r="P75">
        <v>-0.1</v>
      </c>
      <c r="Q75">
        <v>5.5799999999999999E-3</v>
      </c>
      <c r="R75">
        <v>9.5E-4</v>
      </c>
      <c r="S75">
        <v>-5.1799999999999999E-2</v>
      </c>
    </row>
    <row r="76" spans="1:19" x14ac:dyDescent="0.25">
      <c r="A76">
        <v>-2</v>
      </c>
      <c r="B76">
        <v>1.7000000000000001E-2</v>
      </c>
      <c r="C76">
        <v>5.8399999999999997E-3</v>
      </c>
      <c r="D76">
        <v>9.3000000000000005E-4</v>
      </c>
      <c r="E76">
        <v>-5.2499999999999998E-2</v>
      </c>
      <c r="H76">
        <v>-2</v>
      </c>
      <c r="I76">
        <v>1.55E-2</v>
      </c>
      <c r="J76">
        <v>5.5799999999999999E-3</v>
      </c>
      <c r="K76">
        <v>8.3000000000000001E-4</v>
      </c>
      <c r="L76">
        <v>-5.2299999999999999E-2</v>
      </c>
      <c r="O76">
        <v>-2</v>
      </c>
      <c r="P76">
        <v>1.4500000000000001E-2</v>
      </c>
      <c r="Q76">
        <v>5.4400000000000004E-3</v>
      </c>
      <c r="R76">
        <v>7.9000000000000001E-4</v>
      </c>
      <c r="S76">
        <v>-5.2200000000000003E-2</v>
      </c>
    </row>
    <row r="77" spans="1:19" x14ac:dyDescent="0.25">
      <c r="A77">
        <v>-1</v>
      </c>
      <c r="B77">
        <v>0.12959999999999999</v>
      </c>
      <c r="C77">
        <v>5.6699999999999997E-3</v>
      </c>
      <c r="D77">
        <v>8.1999999999999998E-4</v>
      </c>
      <c r="E77">
        <v>-5.2600000000000001E-2</v>
      </c>
      <c r="H77">
        <v>-1</v>
      </c>
      <c r="I77">
        <v>0.12939999999999999</v>
      </c>
      <c r="J77">
        <v>5.4599999999999996E-3</v>
      </c>
      <c r="K77">
        <v>7.3999999999999999E-4</v>
      </c>
      <c r="L77">
        <v>-5.2600000000000001E-2</v>
      </c>
      <c r="O77">
        <v>-1</v>
      </c>
      <c r="P77">
        <v>0.1293</v>
      </c>
      <c r="Q77">
        <v>5.3200000000000001E-3</v>
      </c>
      <c r="R77">
        <v>7.1000000000000002E-4</v>
      </c>
      <c r="S77">
        <v>-5.2600000000000001E-2</v>
      </c>
    </row>
    <row r="78" spans="1:19" x14ac:dyDescent="0.25">
      <c r="A78">
        <v>0</v>
      </c>
      <c r="B78">
        <v>0.2422</v>
      </c>
      <c r="C78">
        <v>5.4900000000000001E-3</v>
      </c>
      <c r="D78">
        <v>8.0000000000000004E-4</v>
      </c>
      <c r="E78">
        <v>-5.2699999999999997E-2</v>
      </c>
      <c r="H78">
        <v>0</v>
      </c>
      <c r="I78">
        <v>0.24349999999999999</v>
      </c>
      <c r="J78">
        <v>5.3299999999999997E-3</v>
      </c>
      <c r="K78">
        <v>7.2000000000000005E-4</v>
      </c>
      <c r="L78">
        <v>-5.2900000000000003E-2</v>
      </c>
      <c r="O78">
        <v>0</v>
      </c>
      <c r="P78">
        <v>0.24399999999999999</v>
      </c>
      <c r="Q78">
        <v>5.2199999999999998E-3</v>
      </c>
      <c r="R78">
        <v>6.8999999999999997E-4</v>
      </c>
      <c r="S78">
        <v>-5.2999999999999999E-2</v>
      </c>
    </row>
    <row r="79" spans="1:19" x14ac:dyDescent="0.25">
      <c r="A79">
        <v>1</v>
      </c>
      <c r="B79">
        <v>0.35370000000000001</v>
      </c>
      <c r="C79">
        <v>5.2199999999999998E-3</v>
      </c>
      <c r="D79">
        <v>8.8000000000000003E-4</v>
      </c>
      <c r="E79">
        <v>-5.2699999999999997E-2</v>
      </c>
      <c r="H79">
        <v>1</v>
      </c>
      <c r="I79">
        <v>0.35720000000000002</v>
      </c>
      <c r="J79">
        <v>5.2199999999999998E-3</v>
      </c>
      <c r="K79">
        <v>7.6999999999999996E-4</v>
      </c>
      <c r="L79">
        <v>-5.33E-2</v>
      </c>
      <c r="O79">
        <v>1</v>
      </c>
      <c r="P79">
        <v>0.35830000000000001</v>
      </c>
      <c r="Q79">
        <v>5.1700000000000001E-3</v>
      </c>
      <c r="R79">
        <v>7.3999999999999999E-4</v>
      </c>
      <c r="S79">
        <v>-5.3499999999999999E-2</v>
      </c>
    </row>
    <row r="80" spans="1:19" x14ac:dyDescent="0.25">
      <c r="A80">
        <v>2</v>
      </c>
      <c r="B80">
        <v>0.46539999999999998</v>
      </c>
      <c r="C80">
        <v>5.11E-3</v>
      </c>
      <c r="D80">
        <v>1.0399999999999999E-3</v>
      </c>
      <c r="E80">
        <v>-5.2600000000000001E-2</v>
      </c>
      <c r="H80">
        <v>2</v>
      </c>
      <c r="I80">
        <v>0.46939999999999998</v>
      </c>
      <c r="J80">
        <v>5.13E-3</v>
      </c>
      <c r="K80">
        <v>9.1E-4</v>
      </c>
      <c r="L80">
        <v>-5.3400000000000003E-2</v>
      </c>
      <c r="O80">
        <v>2</v>
      </c>
      <c r="P80">
        <v>0.4708</v>
      </c>
      <c r="Q80">
        <v>5.2300000000000003E-3</v>
      </c>
      <c r="R80">
        <v>8.8999999999999995E-4</v>
      </c>
      <c r="S80">
        <v>-5.3600000000000002E-2</v>
      </c>
    </row>
    <row r="81" spans="1:19" x14ac:dyDescent="0.25">
      <c r="A81">
        <v>3</v>
      </c>
      <c r="B81">
        <v>0.57379999999999998</v>
      </c>
      <c r="C81">
        <v>5.1900000000000002E-3</v>
      </c>
      <c r="D81">
        <v>1.31E-3</v>
      </c>
      <c r="E81">
        <v>-5.1700000000000003E-2</v>
      </c>
      <c r="H81">
        <v>3</v>
      </c>
      <c r="I81">
        <v>0.57999999999999996</v>
      </c>
      <c r="J81">
        <v>5.3200000000000001E-3</v>
      </c>
      <c r="K81">
        <v>1.1900000000000001E-3</v>
      </c>
      <c r="L81">
        <v>-5.3199999999999997E-2</v>
      </c>
      <c r="O81">
        <v>3</v>
      </c>
      <c r="P81">
        <v>0.58179999999999998</v>
      </c>
      <c r="Q81">
        <v>5.47E-3</v>
      </c>
      <c r="R81">
        <v>1.16E-3</v>
      </c>
      <c r="S81">
        <v>-5.3600000000000002E-2</v>
      </c>
    </row>
    <row r="82" spans="1:19" x14ac:dyDescent="0.25">
      <c r="A82">
        <v>4</v>
      </c>
      <c r="B82">
        <v>0.67659999999999998</v>
      </c>
      <c r="C82">
        <v>5.7099999999999998E-3</v>
      </c>
      <c r="D82">
        <v>1.73E-3</v>
      </c>
      <c r="E82">
        <v>-4.9500000000000002E-2</v>
      </c>
      <c r="H82">
        <v>4</v>
      </c>
      <c r="I82">
        <v>0.68779999999999997</v>
      </c>
      <c r="J82">
        <v>5.7200000000000003E-3</v>
      </c>
      <c r="K82">
        <v>1.6100000000000001E-3</v>
      </c>
      <c r="L82">
        <v>-5.2499999999999998E-2</v>
      </c>
      <c r="O82">
        <v>4</v>
      </c>
      <c r="P82">
        <v>0.69179999999999997</v>
      </c>
      <c r="Q82">
        <v>5.8500000000000002E-3</v>
      </c>
      <c r="R82">
        <v>1.5499999999999999E-3</v>
      </c>
      <c r="S82">
        <v>-5.3400000000000003E-2</v>
      </c>
    </row>
    <row r="83" spans="1:19" x14ac:dyDescent="0.25">
      <c r="A83">
        <v>5</v>
      </c>
      <c r="B83">
        <v>0.80369999999999997</v>
      </c>
      <c r="C83">
        <v>6.7600000000000004E-3</v>
      </c>
      <c r="D83">
        <v>2.33E-3</v>
      </c>
      <c r="E83">
        <v>-5.33E-2</v>
      </c>
      <c r="H83">
        <v>5</v>
      </c>
      <c r="I83">
        <v>0.78949999999999998</v>
      </c>
      <c r="J83">
        <v>6.3600000000000002E-3</v>
      </c>
      <c r="K83">
        <v>2.1700000000000001E-3</v>
      </c>
      <c r="L83">
        <v>-5.0299999999999997E-2</v>
      </c>
      <c r="O83">
        <v>5</v>
      </c>
      <c r="P83">
        <v>0.79990000000000006</v>
      </c>
      <c r="Q83">
        <v>6.3299999999999997E-3</v>
      </c>
      <c r="R83">
        <v>2.0500000000000002E-3</v>
      </c>
      <c r="S83">
        <v>-5.28E-2</v>
      </c>
    </row>
    <row r="84" spans="1:19" x14ac:dyDescent="0.25">
      <c r="A84">
        <v>6</v>
      </c>
      <c r="B84">
        <v>0.9113</v>
      </c>
      <c r="C84">
        <v>7.9000000000000008E-3</v>
      </c>
      <c r="D84">
        <v>3.0599999999999998E-3</v>
      </c>
      <c r="E84">
        <v>-5.2999999999999999E-2</v>
      </c>
      <c r="H84">
        <v>6</v>
      </c>
      <c r="I84">
        <v>0.90959999999999996</v>
      </c>
      <c r="J84">
        <v>7.26E-3</v>
      </c>
      <c r="K84">
        <v>2.7899999999999999E-3</v>
      </c>
      <c r="L84">
        <v>-5.2499999999999998E-2</v>
      </c>
      <c r="O84">
        <v>6</v>
      </c>
      <c r="P84">
        <v>0.90249999999999997</v>
      </c>
      <c r="Q84">
        <v>6.8399999999999997E-3</v>
      </c>
      <c r="R84">
        <v>2.6199999999999999E-3</v>
      </c>
      <c r="S84">
        <v>-5.0799999999999998E-2</v>
      </c>
    </row>
    <row r="85" spans="1:19" x14ac:dyDescent="0.25">
      <c r="A85">
        <v>7</v>
      </c>
      <c r="B85">
        <v>1.0085</v>
      </c>
      <c r="C85">
        <v>8.94E-3</v>
      </c>
      <c r="D85">
        <v>3.8500000000000001E-3</v>
      </c>
      <c r="E85">
        <v>-5.0299999999999997E-2</v>
      </c>
      <c r="H85">
        <v>7</v>
      </c>
      <c r="I85">
        <v>1.0165</v>
      </c>
      <c r="J85">
        <v>8.1399999999999997E-3</v>
      </c>
      <c r="K85">
        <v>3.47E-3</v>
      </c>
      <c r="L85">
        <v>-5.1799999999999999E-2</v>
      </c>
      <c r="O85">
        <v>7</v>
      </c>
      <c r="P85">
        <v>1.0226</v>
      </c>
      <c r="Q85">
        <v>7.6099999999999996E-3</v>
      </c>
      <c r="R85">
        <v>3.2299999999999998E-3</v>
      </c>
      <c r="S85">
        <v>-5.2999999999999999E-2</v>
      </c>
    </row>
    <row r="86" spans="1:19" x14ac:dyDescent="0.25">
      <c r="A86">
        <v>8</v>
      </c>
      <c r="B86">
        <v>1.1092</v>
      </c>
      <c r="C86">
        <v>9.9699999999999997E-3</v>
      </c>
      <c r="D86">
        <v>4.7299999999999998E-3</v>
      </c>
      <c r="E86">
        <v>-4.8500000000000001E-2</v>
      </c>
      <c r="H86">
        <v>8</v>
      </c>
      <c r="I86">
        <v>1.1192</v>
      </c>
      <c r="J86">
        <v>8.9899999999999997E-3</v>
      </c>
      <c r="K86">
        <v>4.1999999999999997E-3</v>
      </c>
      <c r="L86">
        <v>-5.0299999999999997E-2</v>
      </c>
      <c r="O86">
        <v>8</v>
      </c>
      <c r="P86">
        <v>1.1258999999999999</v>
      </c>
      <c r="Q86">
        <v>8.3599999999999994E-3</v>
      </c>
      <c r="R86">
        <v>3.8700000000000002E-3</v>
      </c>
      <c r="S86">
        <v>-5.1499999999999997E-2</v>
      </c>
    </row>
    <row r="87" spans="1:19" x14ac:dyDescent="0.25">
      <c r="A87">
        <v>9</v>
      </c>
      <c r="B87">
        <v>1.2092000000000001</v>
      </c>
      <c r="C87">
        <v>1.1050000000000001E-2</v>
      </c>
      <c r="D87">
        <v>5.7200000000000003E-3</v>
      </c>
      <c r="E87">
        <v>-4.6800000000000001E-2</v>
      </c>
      <c r="H87">
        <v>9</v>
      </c>
      <c r="I87">
        <v>1.222</v>
      </c>
      <c r="J87">
        <v>9.8899999999999995E-3</v>
      </c>
      <c r="K87">
        <v>5.0200000000000002E-3</v>
      </c>
      <c r="L87">
        <v>-4.9000000000000002E-2</v>
      </c>
      <c r="O87">
        <v>9</v>
      </c>
      <c r="P87">
        <v>1.2302</v>
      </c>
      <c r="Q87">
        <v>9.1800000000000007E-3</v>
      </c>
      <c r="R87">
        <v>4.6100000000000004E-3</v>
      </c>
      <c r="S87">
        <v>-5.04E-2</v>
      </c>
    </row>
    <row r="88" spans="1:19" x14ac:dyDescent="0.25">
      <c r="A88">
        <v>10</v>
      </c>
      <c r="B88">
        <v>1.3068</v>
      </c>
      <c r="C88">
        <v>1.221E-2</v>
      </c>
      <c r="D88">
        <v>6.8500000000000002E-3</v>
      </c>
      <c r="E88">
        <v>-4.4699999999999997E-2</v>
      </c>
      <c r="H88">
        <v>10</v>
      </c>
      <c r="I88">
        <v>1.3229</v>
      </c>
      <c r="J88">
        <v>1.0880000000000001E-2</v>
      </c>
      <c r="K88">
        <v>5.96E-3</v>
      </c>
      <c r="L88">
        <v>-4.7500000000000001E-2</v>
      </c>
      <c r="O88">
        <v>10</v>
      </c>
      <c r="P88">
        <v>1.3328</v>
      </c>
      <c r="Q88">
        <v>1.0070000000000001E-2</v>
      </c>
      <c r="R88">
        <v>5.4400000000000004E-3</v>
      </c>
      <c r="S88">
        <v>-4.9200000000000001E-2</v>
      </c>
    </row>
    <row r="89" spans="1:19" x14ac:dyDescent="0.25">
      <c r="A89">
        <v>11</v>
      </c>
      <c r="B89">
        <v>1.4005000000000001</v>
      </c>
      <c r="C89">
        <v>1.3509999999999999E-2</v>
      </c>
      <c r="D89">
        <v>8.1399999999999997E-3</v>
      </c>
      <c r="E89">
        <v>-4.2200000000000001E-2</v>
      </c>
      <c r="H89">
        <v>11</v>
      </c>
      <c r="I89">
        <v>1.4207000000000001</v>
      </c>
      <c r="J89">
        <v>1.197E-2</v>
      </c>
      <c r="K89">
        <v>7.0299999999999998E-3</v>
      </c>
      <c r="L89">
        <v>-4.5600000000000002E-2</v>
      </c>
      <c r="O89">
        <v>11</v>
      </c>
      <c r="P89">
        <v>1.4329000000000001</v>
      </c>
      <c r="Q89">
        <v>1.1050000000000001E-2</v>
      </c>
      <c r="R89">
        <v>6.3899999999999998E-3</v>
      </c>
      <c r="S89">
        <v>-4.7600000000000003E-2</v>
      </c>
    </row>
    <row r="90" spans="1:19" x14ac:dyDescent="0.25">
      <c r="A90">
        <v>12</v>
      </c>
      <c r="B90">
        <v>1.4884999999999999</v>
      </c>
      <c r="C90">
        <v>1.4970000000000001E-2</v>
      </c>
      <c r="D90">
        <v>9.6399999999999993E-3</v>
      </c>
      <c r="E90">
        <v>-3.9E-2</v>
      </c>
      <c r="H90">
        <v>12</v>
      </c>
      <c r="I90">
        <v>1.5137</v>
      </c>
      <c r="J90">
        <v>1.323E-2</v>
      </c>
      <c r="K90">
        <v>8.2799999999999992E-3</v>
      </c>
      <c r="L90">
        <v>-4.3099999999999999E-2</v>
      </c>
      <c r="O90">
        <v>12</v>
      </c>
      <c r="P90">
        <v>1.5287999999999999</v>
      </c>
      <c r="Q90">
        <v>1.2189999999999999E-2</v>
      </c>
      <c r="R90">
        <v>7.4900000000000001E-3</v>
      </c>
      <c r="S90">
        <v>-4.5499999999999999E-2</v>
      </c>
    </row>
    <row r="91" spans="1:19" x14ac:dyDescent="0.25">
      <c r="A91">
        <v>13</v>
      </c>
      <c r="B91">
        <v>1.5649</v>
      </c>
      <c r="C91">
        <v>1.6650000000000002E-2</v>
      </c>
      <c r="D91">
        <v>1.137E-2</v>
      </c>
      <c r="E91">
        <v>-3.39E-2</v>
      </c>
      <c r="H91">
        <v>13</v>
      </c>
      <c r="I91">
        <v>1.6005</v>
      </c>
      <c r="J91">
        <v>1.465E-2</v>
      </c>
      <c r="K91">
        <v>9.7199999999999995E-3</v>
      </c>
      <c r="L91">
        <v>-3.9699999999999999E-2</v>
      </c>
      <c r="O91">
        <v>13</v>
      </c>
      <c r="P91">
        <v>1.6197999999999999</v>
      </c>
      <c r="Q91">
        <v>1.345E-2</v>
      </c>
      <c r="R91">
        <v>8.7500000000000008E-3</v>
      </c>
      <c r="S91">
        <v>-4.2799999999999998E-2</v>
      </c>
    </row>
    <row r="92" spans="1:19" x14ac:dyDescent="0.25">
      <c r="A92">
        <v>14</v>
      </c>
      <c r="B92">
        <v>1.6258999999999999</v>
      </c>
      <c r="C92">
        <v>1.8769999999999998E-2</v>
      </c>
      <c r="D92">
        <v>1.359E-2</v>
      </c>
      <c r="E92">
        <v>-2.69E-2</v>
      </c>
      <c r="H92">
        <v>14</v>
      </c>
      <c r="I92">
        <v>1.6729000000000001</v>
      </c>
      <c r="J92">
        <v>1.6289999999999999E-2</v>
      </c>
      <c r="K92">
        <v>1.14E-2</v>
      </c>
      <c r="L92">
        <v>-3.39E-2</v>
      </c>
      <c r="O92">
        <v>14</v>
      </c>
      <c r="P92">
        <v>1.7029000000000001</v>
      </c>
      <c r="Q92">
        <v>1.49E-2</v>
      </c>
      <c r="R92">
        <v>1.021E-2</v>
      </c>
      <c r="S92">
        <v>-3.8899999999999997E-2</v>
      </c>
    </row>
    <row r="93" spans="1:19" x14ac:dyDescent="0.25">
      <c r="A93">
        <v>15</v>
      </c>
      <c r="B93">
        <v>1.6782999999999999</v>
      </c>
      <c r="C93">
        <v>2.1669999999999998E-2</v>
      </c>
      <c r="D93">
        <v>1.6619999999999999E-2</v>
      </c>
      <c r="E93">
        <v>-2.0299999999999999E-2</v>
      </c>
      <c r="H93">
        <v>15</v>
      </c>
      <c r="I93">
        <v>1.7336</v>
      </c>
      <c r="J93">
        <v>1.8329999999999999E-2</v>
      </c>
      <c r="K93">
        <v>1.3520000000000001E-2</v>
      </c>
      <c r="L93">
        <v>-2.7099999999999999E-2</v>
      </c>
      <c r="O93">
        <v>15</v>
      </c>
      <c r="P93">
        <v>1.7678</v>
      </c>
      <c r="Q93">
        <v>1.6559999999999998E-2</v>
      </c>
      <c r="R93">
        <v>1.193E-2</v>
      </c>
      <c r="S93">
        <v>-3.2000000000000001E-2</v>
      </c>
    </row>
    <row r="94" spans="1:19" x14ac:dyDescent="0.25">
      <c r="A94">
        <v>16</v>
      </c>
      <c r="B94">
        <v>1.7188000000000001</v>
      </c>
      <c r="C94">
        <v>2.5860000000000001E-2</v>
      </c>
      <c r="D94">
        <v>2.0969999999999999E-2</v>
      </c>
      <c r="E94">
        <v>-1.43E-2</v>
      </c>
      <c r="H94">
        <v>16</v>
      </c>
      <c r="I94">
        <v>1.7853000000000001</v>
      </c>
      <c r="J94">
        <v>2.1180000000000001E-2</v>
      </c>
      <c r="K94">
        <v>1.6480000000000002E-2</v>
      </c>
      <c r="L94">
        <v>-2.0500000000000001E-2</v>
      </c>
      <c r="O94">
        <v>16</v>
      </c>
      <c r="P94">
        <v>1.8239000000000001</v>
      </c>
      <c r="Q94">
        <v>1.8859999999999998E-2</v>
      </c>
      <c r="R94">
        <v>1.431E-2</v>
      </c>
      <c r="S94">
        <v>-2.5100000000000001E-2</v>
      </c>
    </row>
    <row r="95" spans="1:19" x14ac:dyDescent="0.25">
      <c r="A95">
        <v>17</v>
      </c>
      <c r="B95">
        <v>1.7518</v>
      </c>
      <c r="C95">
        <v>3.141E-2</v>
      </c>
      <c r="D95">
        <v>2.6720000000000001E-2</v>
      </c>
      <c r="E95">
        <v>-0.01</v>
      </c>
      <c r="H95">
        <v>17</v>
      </c>
      <c r="I95">
        <v>1.8252999999999999</v>
      </c>
      <c r="J95">
        <v>2.5319999999999999E-2</v>
      </c>
      <c r="K95">
        <v>2.0740000000000001E-2</v>
      </c>
      <c r="L95">
        <v>-1.46E-2</v>
      </c>
      <c r="O95">
        <v>17</v>
      </c>
      <c r="P95">
        <v>1.8714</v>
      </c>
      <c r="Q95">
        <v>2.205E-2</v>
      </c>
      <c r="R95">
        <v>1.7600000000000001E-2</v>
      </c>
      <c r="S95">
        <v>-1.8700000000000001E-2</v>
      </c>
    </row>
    <row r="96" spans="1:19" x14ac:dyDescent="0.25">
      <c r="A96">
        <v>18</v>
      </c>
      <c r="B96">
        <v>1.7619</v>
      </c>
      <c r="C96">
        <v>4.0070000000000001E-2</v>
      </c>
      <c r="D96">
        <v>3.5619999999999999E-2</v>
      </c>
      <c r="E96">
        <v>-7.4999999999999997E-3</v>
      </c>
      <c r="H96">
        <v>18</v>
      </c>
      <c r="I96">
        <v>1.8563000000000001</v>
      </c>
      <c r="J96">
        <v>3.091E-2</v>
      </c>
      <c r="K96">
        <v>2.6509999999999999E-2</v>
      </c>
      <c r="L96">
        <v>-1.0200000000000001E-2</v>
      </c>
      <c r="O96">
        <v>18</v>
      </c>
      <c r="P96">
        <v>1.9080999999999999</v>
      </c>
      <c r="Q96">
        <v>2.6589999999999999E-2</v>
      </c>
      <c r="R96">
        <v>2.2259999999999999E-2</v>
      </c>
      <c r="S96">
        <v>-1.32E-2</v>
      </c>
    </row>
    <row r="104" spans="1:18" x14ac:dyDescent="0.25">
      <c r="A104" s="6" t="s">
        <v>30</v>
      </c>
      <c r="B104" s="6"/>
      <c r="C104" s="6"/>
      <c r="D104" s="6"/>
      <c r="H104" s="6" t="s">
        <v>32</v>
      </c>
      <c r="I104" s="6"/>
      <c r="J104" s="6"/>
      <c r="K104" s="6"/>
      <c r="O104" s="7" t="s">
        <v>33</v>
      </c>
      <c r="P104" s="8"/>
      <c r="Q104" s="8"/>
      <c r="R104" s="9"/>
    </row>
    <row r="105" spans="1:18" x14ac:dyDescent="0.25">
      <c r="O105" t="s">
        <v>25</v>
      </c>
    </row>
    <row r="106" spans="1:18" x14ac:dyDescent="0.25">
      <c r="A106" t="s">
        <v>25</v>
      </c>
      <c r="H106" t="s">
        <v>25</v>
      </c>
      <c r="O106" t="s">
        <v>11</v>
      </c>
    </row>
    <row r="107" spans="1:18" x14ac:dyDescent="0.25">
      <c r="A107" t="s">
        <v>11</v>
      </c>
      <c r="H107" t="s">
        <v>11</v>
      </c>
      <c r="O107" t="s">
        <v>26</v>
      </c>
    </row>
    <row r="108" spans="1:18" x14ac:dyDescent="0.25">
      <c r="A108" t="s">
        <v>26</v>
      </c>
      <c r="H108" t="s">
        <v>26</v>
      </c>
      <c r="O108" t="s">
        <v>11</v>
      </c>
    </row>
    <row r="109" spans="1:18" x14ac:dyDescent="0.25">
      <c r="A109" t="s">
        <v>11</v>
      </c>
      <c r="H109" t="s">
        <v>11</v>
      </c>
      <c r="O109" t="s">
        <v>27</v>
      </c>
    </row>
    <row r="110" spans="1:18" x14ac:dyDescent="0.25">
      <c r="A110" t="s">
        <v>27</v>
      </c>
      <c r="H110" t="s">
        <v>27</v>
      </c>
      <c r="O110" t="s">
        <v>11</v>
      </c>
    </row>
    <row r="111" spans="1:18" x14ac:dyDescent="0.25">
      <c r="A111" t="s">
        <v>11</v>
      </c>
      <c r="H111" t="s">
        <v>11</v>
      </c>
      <c r="O111" t="s">
        <v>28</v>
      </c>
    </row>
    <row r="112" spans="1:18" x14ac:dyDescent="0.25">
      <c r="A112" t="s">
        <v>28</v>
      </c>
      <c r="H112" t="s">
        <v>28</v>
      </c>
      <c r="O112" t="s">
        <v>29</v>
      </c>
    </row>
    <row r="113" spans="1:19" x14ac:dyDescent="0.25">
      <c r="A113" t="s">
        <v>29</v>
      </c>
      <c r="H113" t="s">
        <v>29</v>
      </c>
      <c r="O113" t="s">
        <v>36</v>
      </c>
    </row>
    <row r="114" spans="1:19" x14ac:dyDescent="0.25">
      <c r="A114" t="s">
        <v>34</v>
      </c>
      <c r="H114" t="s">
        <v>35</v>
      </c>
      <c r="O114" t="s">
        <v>11</v>
      </c>
    </row>
    <row r="115" spans="1:19" x14ac:dyDescent="0.25">
      <c r="A115" t="s">
        <v>11</v>
      </c>
      <c r="H115" t="s">
        <v>11</v>
      </c>
      <c r="O115" t="s">
        <v>15</v>
      </c>
      <c r="P115" t="s">
        <v>16</v>
      </c>
      <c r="Q115" t="s">
        <v>17</v>
      </c>
      <c r="R115" t="s">
        <v>19</v>
      </c>
      <c r="S115" t="s">
        <v>18</v>
      </c>
    </row>
    <row r="116" spans="1:19" x14ac:dyDescent="0.25">
      <c r="A116" t="s">
        <v>15</v>
      </c>
      <c r="B116" t="s">
        <v>16</v>
      </c>
      <c r="C116" t="s">
        <v>17</v>
      </c>
      <c r="D116" t="s">
        <v>19</v>
      </c>
      <c r="E116" t="s">
        <v>18</v>
      </c>
      <c r="H116" t="s">
        <v>15</v>
      </c>
      <c r="I116" t="s">
        <v>16</v>
      </c>
      <c r="J116" t="s">
        <v>17</v>
      </c>
      <c r="K116" t="s">
        <v>19</v>
      </c>
      <c r="L116" t="s">
        <v>18</v>
      </c>
      <c r="O116" t="s">
        <v>31</v>
      </c>
      <c r="P116" t="s">
        <v>21</v>
      </c>
      <c r="Q116" t="s">
        <v>22</v>
      </c>
      <c r="R116" t="s">
        <v>21</v>
      </c>
      <c r="S116" t="s">
        <v>21</v>
      </c>
    </row>
    <row r="117" spans="1:19" x14ac:dyDescent="0.25">
      <c r="A117" t="s">
        <v>31</v>
      </c>
      <c r="B117" t="s">
        <v>21</v>
      </c>
      <c r="C117" t="s">
        <v>22</v>
      </c>
      <c r="D117" t="s">
        <v>21</v>
      </c>
      <c r="E117" t="s">
        <v>21</v>
      </c>
      <c r="H117" t="s">
        <v>31</v>
      </c>
      <c r="I117" t="s">
        <v>21</v>
      </c>
      <c r="J117" t="s">
        <v>22</v>
      </c>
      <c r="K117" t="s">
        <v>21</v>
      </c>
      <c r="L117" t="s">
        <v>21</v>
      </c>
      <c r="O117">
        <v>-18</v>
      </c>
    </row>
    <row r="118" spans="1:19" x14ac:dyDescent="0.25">
      <c r="A118">
        <v>-18</v>
      </c>
      <c r="H118">
        <v>-18</v>
      </c>
      <c r="O118">
        <v>-17</v>
      </c>
    </row>
    <row r="119" spans="1:19" x14ac:dyDescent="0.25">
      <c r="A119">
        <v>-17</v>
      </c>
      <c r="H119">
        <v>-17</v>
      </c>
      <c r="O119">
        <v>-16</v>
      </c>
    </row>
    <row r="120" spans="1:19" x14ac:dyDescent="0.25">
      <c r="A120">
        <v>-16</v>
      </c>
      <c r="H120">
        <v>-16</v>
      </c>
      <c r="O120">
        <v>-15</v>
      </c>
    </row>
    <row r="121" spans="1:19" x14ac:dyDescent="0.25">
      <c r="A121">
        <v>-15</v>
      </c>
      <c r="H121">
        <v>-15</v>
      </c>
      <c r="O121">
        <v>-14</v>
      </c>
    </row>
    <row r="122" spans="1:19" x14ac:dyDescent="0.25">
      <c r="A122">
        <v>-14</v>
      </c>
      <c r="H122">
        <v>-14</v>
      </c>
      <c r="O122">
        <v>-13</v>
      </c>
      <c r="P122">
        <v>-1.1981999999999999</v>
      </c>
      <c r="Q122">
        <v>1.094E-2</v>
      </c>
      <c r="R122">
        <v>-5.3900000000000003E-2</v>
      </c>
      <c r="S122">
        <v>7.1300000000000001E-3</v>
      </c>
    </row>
    <row r="123" spans="1:19" x14ac:dyDescent="0.25">
      <c r="A123">
        <v>-13</v>
      </c>
      <c r="B123">
        <v>-1.2118</v>
      </c>
      <c r="C123">
        <v>1.448E-2</v>
      </c>
      <c r="D123">
        <v>-4.8399999999999999E-2</v>
      </c>
      <c r="E123">
        <v>1.03E-2</v>
      </c>
      <c r="H123">
        <v>-13</v>
      </c>
      <c r="I123">
        <v>-1.202</v>
      </c>
      <c r="J123">
        <v>1.2189999999999999E-2</v>
      </c>
      <c r="K123">
        <v>-5.2200000000000003E-2</v>
      </c>
      <c r="L123">
        <v>8.2199999999999999E-3</v>
      </c>
      <c r="O123">
        <v>-12</v>
      </c>
      <c r="P123">
        <v>-1.0942000000000001</v>
      </c>
      <c r="Q123">
        <v>9.8700000000000003E-3</v>
      </c>
      <c r="R123">
        <v>-5.3100000000000001E-2</v>
      </c>
      <c r="S123">
        <v>6.0200000000000002E-3</v>
      </c>
    </row>
    <row r="124" spans="1:19" x14ac:dyDescent="0.25">
      <c r="A124">
        <v>-12</v>
      </c>
      <c r="B124">
        <v>-1.0945</v>
      </c>
      <c r="C124">
        <v>1.299E-2</v>
      </c>
      <c r="D124">
        <v>-5.11E-2</v>
      </c>
      <c r="E124">
        <v>8.6999999999999994E-3</v>
      </c>
      <c r="H124">
        <v>-12</v>
      </c>
      <c r="I124">
        <v>-1.0852999999999999</v>
      </c>
      <c r="J124">
        <v>1.0840000000000001E-2</v>
      </c>
      <c r="K124">
        <v>-5.45E-2</v>
      </c>
      <c r="L124">
        <v>6.8100000000000001E-3</v>
      </c>
      <c r="O124">
        <v>-11</v>
      </c>
      <c r="P124">
        <v>-0.99129999999999996</v>
      </c>
      <c r="Q124">
        <v>8.94E-3</v>
      </c>
      <c r="R124">
        <v>-5.1700000000000003E-2</v>
      </c>
      <c r="S124">
        <v>5.0200000000000002E-3</v>
      </c>
    </row>
    <row r="125" spans="1:19" x14ac:dyDescent="0.25">
      <c r="A125">
        <v>-11</v>
      </c>
      <c r="B125">
        <v>-0.97509999999999997</v>
      </c>
      <c r="C125">
        <v>1.1350000000000001E-2</v>
      </c>
      <c r="D125">
        <v>-5.4199999999999998E-2</v>
      </c>
      <c r="E125">
        <v>6.9800000000000001E-3</v>
      </c>
      <c r="H125">
        <v>-11</v>
      </c>
      <c r="I125">
        <v>-0.97819999999999996</v>
      </c>
      <c r="J125">
        <v>9.8200000000000006E-3</v>
      </c>
      <c r="K125">
        <v>-5.4199999999999998E-2</v>
      </c>
      <c r="L125">
        <v>5.7400000000000003E-3</v>
      </c>
      <c r="O125">
        <v>-10</v>
      </c>
      <c r="P125">
        <v>-0.88419999999999999</v>
      </c>
      <c r="Q125">
        <v>8.2100000000000003E-3</v>
      </c>
      <c r="R125">
        <v>-5.0999999999999997E-2</v>
      </c>
      <c r="S125">
        <v>4.1900000000000001E-3</v>
      </c>
    </row>
    <row r="126" spans="1:19" x14ac:dyDescent="0.25">
      <c r="A126">
        <v>-10</v>
      </c>
      <c r="B126">
        <v>-0.85880000000000001</v>
      </c>
      <c r="C126">
        <v>1.0120000000000001E-2</v>
      </c>
      <c r="D126">
        <v>-5.5899999999999998E-2</v>
      </c>
      <c r="E126">
        <v>5.6800000000000002E-3</v>
      </c>
      <c r="H126">
        <v>-10</v>
      </c>
      <c r="I126">
        <v>-0.87560000000000004</v>
      </c>
      <c r="J126">
        <v>8.8599999999999998E-3</v>
      </c>
      <c r="K126">
        <v>-5.2600000000000001E-2</v>
      </c>
      <c r="L126">
        <v>4.7000000000000002E-3</v>
      </c>
      <c r="O126">
        <v>-9</v>
      </c>
      <c r="P126">
        <v>-0.77449999999999997</v>
      </c>
      <c r="Q126">
        <v>7.5599999999999999E-3</v>
      </c>
      <c r="R126">
        <v>-5.0700000000000002E-2</v>
      </c>
      <c r="S126">
        <v>3.46E-3</v>
      </c>
    </row>
    <row r="127" spans="1:19" x14ac:dyDescent="0.25">
      <c r="A127">
        <v>-9</v>
      </c>
      <c r="B127">
        <v>-0.75480000000000003</v>
      </c>
      <c r="C127">
        <v>9.1500000000000001E-3</v>
      </c>
      <c r="D127">
        <v>-5.45E-2</v>
      </c>
      <c r="E127">
        <v>4.64E-3</v>
      </c>
      <c r="H127">
        <v>-9</v>
      </c>
      <c r="I127">
        <v>-0.76800000000000002</v>
      </c>
      <c r="J127">
        <v>8.0999999999999996E-3</v>
      </c>
      <c r="K127">
        <v>-5.1900000000000002E-2</v>
      </c>
      <c r="L127">
        <v>3.8600000000000001E-3</v>
      </c>
      <c r="O127">
        <v>-8</v>
      </c>
      <c r="P127">
        <v>-0.66349999999999998</v>
      </c>
      <c r="Q127">
        <v>7.0200000000000002E-3</v>
      </c>
      <c r="R127">
        <v>-5.0500000000000003E-2</v>
      </c>
      <c r="S127">
        <v>2.82E-3</v>
      </c>
    </row>
    <row r="128" spans="1:19" x14ac:dyDescent="0.25">
      <c r="A128">
        <v>-8</v>
      </c>
      <c r="B128">
        <v>-0.64810000000000001</v>
      </c>
      <c r="C128">
        <v>8.3499999999999998E-3</v>
      </c>
      <c r="D128">
        <v>-5.3499999999999999E-2</v>
      </c>
      <c r="E128">
        <v>3.7699999999999999E-3</v>
      </c>
      <c r="H128">
        <v>-8</v>
      </c>
      <c r="I128">
        <v>-0.65810000000000002</v>
      </c>
      <c r="J128">
        <v>7.4700000000000001E-3</v>
      </c>
      <c r="K128">
        <v>-5.1499999999999997E-2</v>
      </c>
      <c r="L128">
        <v>3.14E-3</v>
      </c>
      <c r="O128">
        <v>-7</v>
      </c>
      <c r="P128">
        <v>-0.5514</v>
      </c>
      <c r="Q128">
        <v>6.5700000000000003E-3</v>
      </c>
      <c r="R128">
        <v>-5.0500000000000003E-2</v>
      </c>
      <c r="S128">
        <v>2.2799999999999999E-3</v>
      </c>
    </row>
    <row r="129" spans="1:19" x14ac:dyDescent="0.25">
      <c r="A129">
        <v>-7</v>
      </c>
      <c r="B129">
        <v>-0.53890000000000005</v>
      </c>
      <c r="C129">
        <v>7.6899999999999998E-3</v>
      </c>
      <c r="D129">
        <v>-5.2900000000000003E-2</v>
      </c>
      <c r="E129">
        <v>3.0100000000000001E-3</v>
      </c>
      <c r="H129">
        <v>-7</v>
      </c>
      <c r="I129">
        <v>-0.54669999999999996</v>
      </c>
      <c r="J129">
        <v>6.96E-3</v>
      </c>
      <c r="K129">
        <v>-5.1299999999999998E-2</v>
      </c>
      <c r="L129">
        <v>2.5400000000000002E-3</v>
      </c>
      <c r="O129">
        <v>-6</v>
      </c>
      <c r="P129">
        <v>-0.43840000000000001</v>
      </c>
      <c r="Q129">
        <v>6.2500000000000003E-3</v>
      </c>
      <c r="R129">
        <v>-5.0599999999999999E-2</v>
      </c>
      <c r="S129">
        <v>1.8400000000000001E-3</v>
      </c>
    </row>
    <row r="130" spans="1:19" x14ac:dyDescent="0.25">
      <c r="A130">
        <v>-6</v>
      </c>
      <c r="B130">
        <v>-0.42820000000000003</v>
      </c>
      <c r="C130">
        <v>7.1599999999999997E-3</v>
      </c>
      <c r="D130">
        <v>-5.2499999999999998E-2</v>
      </c>
      <c r="E130">
        <v>2.3800000000000002E-3</v>
      </c>
      <c r="H130">
        <v>-6</v>
      </c>
      <c r="I130">
        <v>-0.43469999999999998</v>
      </c>
      <c r="J130">
        <v>6.5599999999999999E-3</v>
      </c>
      <c r="K130">
        <v>-5.1299999999999998E-2</v>
      </c>
      <c r="L130">
        <v>2.0300000000000001E-3</v>
      </c>
      <c r="O130">
        <v>-5</v>
      </c>
      <c r="P130">
        <v>-0.32490000000000002</v>
      </c>
      <c r="Q130">
        <v>5.9800000000000001E-3</v>
      </c>
      <c r="R130">
        <v>-5.0799999999999998E-2</v>
      </c>
      <c r="S130">
        <v>1.47E-3</v>
      </c>
    </row>
    <row r="131" spans="1:19" x14ac:dyDescent="0.25">
      <c r="A131">
        <v>-5</v>
      </c>
      <c r="B131">
        <v>-0.31669999999999998</v>
      </c>
      <c r="C131">
        <v>6.7200000000000003E-3</v>
      </c>
      <c r="D131">
        <v>-5.2299999999999999E-2</v>
      </c>
      <c r="E131">
        <v>1.8699999999999999E-3</v>
      </c>
      <c r="H131">
        <v>-5</v>
      </c>
      <c r="I131">
        <v>-0.32190000000000002</v>
      </c>
      <c r="J131">
        <v>6.2500000000000003E-3</v>
      </c>
      <c r="K131">
        <v>-5.1299999999999998E-2</v>
      </c>
      <c r="L131">
        <v>1.6100000000000001E-3</v>
      </c>
      <c r="O131">
        <v>-4</v>
      </c>
      <c r="P131">
        <v>-0.21099999999999999</v>
      </c>
      <c r="Q131">
        <v>5.77E-3</v>
      </c>
      <c r="R131">
        <v>-5.11E-2</v>
      </c>
      <c r="S131">
        <v>1.1800000000000001E-3</v>
      </c>
    </row>
    <row r="132" spans="1:19" x14ac:dyDescent="0.25">
      <c r="A132">
        <v>-4</v>
      </c>
      <c r="B132">
        <v>-0.20480000000000001</v>
      </c>
      <c r="C132">
        <v>6.3899999999999998E-3</v>
      </c>
      <c r="D132">
        <v>-5.21E-2</v>
      </c>
      <c r="E132">
        <v>1.4599999999999999E-3</v>
      </c>
      <c r="H132">
        <v>-4</v>
      </c>
      <c r="I132">
        <v>-0.2087</v>
      </c>
      <c r="J132">
        <v>6.0000000000000001E-3</v>
      </c>
      <c r="K132">
        <v>-5.1400000000000001E-2</v>
      </c>
      <c r="L132">
        <v>1.2700000000000001E-3</v>
      </c>
      <c r="O132">
        <v>-3</v>
      </c>
      <c r="P132">
        <v>-9.69E-2</v>
      </c>
      <c r="Q132">
        <v>5.62E-3</v>
      </c>
      <c r="R132">
        <v>-5.1400000000000001E-2</v>
      </c>
      <c r="S132">
        <v>9.6000000000000002E-4</v>
      </c>
    </row>
    <row r="133" spans="1:19" x14ac:dyDescent="0.25">
      <c r="A133">
        <v>-3</v>
      </c>
      <c r="B133">
        <v>-9.2600000000000002E-2</v>
      </c>
      <c r="C133">
        <v>6.1399999999999996E-3</v>
      </c>
      <c r="D133">
        <v>-5.1999999999999998E-2</v>
      </c>
      <c r="E133">
        <v>1.16E-3</v>
      </c>
      <c r="H133">
        <v>-3</v>
      </c>
      <c r="I133">
        <v>-9.5200000000000007E-2</v>
      </c>
      <c r="J133">
        <v>5.8100000000000001E-3</v>
      </c>
      <c r="K133">
        <v>-5.16E-2</v>
      </c>
      <c r="L133">
        <v>1.0300000000000001E-3</v>
      </c>
      <c r="O133">
        <v>-2</v>
      </c>
      <c r="P133">
        <v>1.7600000000000001E-2</v>
      </c>
      <c r="Q133">
        <v>5.47E-3</v>
      </c>
      <c r="R133">
        <v>-5.1700000000000003E-2</v>
      </c>
      <c r="S133">
        <v>8.0999999999999996E-4</v>
      </c>
    </row>
    <row r="134" spans="1:19" x14ac:dyDescent="0.25">
      <c r="A134">
        <v>-2</v>
      </c>
      <c r="B134">
        <v>1.9800000000000002E-2</v>
      </c>
      <c r="C134">
        <v>5.9300000000000004E-3</v>
      </c>
      <c r="D134">
        <v>-5.1999999999999998E-2</v>
      </c>
      <c r="E134">
        <v>9.5E-4</v>
      </c>
      <c r="H134">
        <v>-2</v>
      </c>
      <c r="I134">
        <v>1.8499999999999999E-2</v>
      </c>
      <c r="J134">
        <v>5.6499999999999996E-3</v>
      </c>
      <c r="K134">
        <v>-5.1799999999999999E-2</v>
      </c>
      <c r="L134">
        <v>8.5999999999999998E-4</v>
      </c>
      <c r="O134">
        <v>-1</v>
      </c>
      <c r="P134">
        <v>0.13220000000000001</v>
      </c>
      <c r="Q134">
        <v>5.3600000000000002E-3</v>
      </c>
      <c r="R134">
        <v>-5.21E-2</v>
      </c>
      <c r="S134">
        <v>7.2999999999999996E-4</v>
      </c>
    </row>
    <row r="135" spans="1:19" x14ac:dyDescent="0.25">
      <c r="A135">
        <v>-1</v>
      </c>
      <c r="B135">
        <v>0.13239999999999999</v>
      </c>
      <c r="C135">
        <v>5.79E-3</v>
      </c>
      <c r="D135">
        <v>-5.1999999999999998E-2</v>
      </c>
      <c r="E135">
        <v>8.4999999999999995E-4</v>
      </c>
      <c r="H135">
        <v>-1</v>
      </c>
      <c r="I135">
        <v>0.13220000000000001</v>
      </c>
      <c r="J135">
        <v>5.5399999999999998E-3</v>
      </c>
      <c r="K135">
        <v>-5.21E-2</v>
      </c>
      <c r="L135">
        <v>7.6999999999999996E-4</v>
      </c>
      <c r="O135">
        <v>0</v>
      </c>
      <c r="P135">
        <v>0.2467</v>
      </c>
      <c r="Q135">
        <v>5.2900000000000004E-3</v>
      </c>
      <c r="R135">
        <v>-5.2499999999999998E-2</v>
      </c>
      <c r="S135">
        <v>7.2000000000000005E-4</v>
      </c>
    </row>
    <row r="136" spans="1:19" x14ac:dyDescent="0.25">
      <c r="A136">
        <v>0</v>
      </c>
      <c r="B136">
        <v>0.24490000000000001</v>
      </c>
      <c r="C136">
        <v>5.6800000000000002E-3</v>
      </c>
      <c r="D136">
        <v>-5.21E-2</v>
      </c>
      <c r="E136">
        <v>8.4000000000000003E-4</v>
      </c>
      <c r="H136">
        <v>0</v>
      </c>
      <c r="I136">
        <v>0.24610000000000001</v>
      </c>
      <c r="J136">
        <v>5.4599999999999996E-3</v>
      </c>
      <c r="K136">
        <v>-5.2400000000000002E-2</v>
      </c>
      <c r="L136">
        <v>7.6000000000000004E-4</v>
      </c>
      <c r="O136">
        <v>1</v>
      </c>
      <c r="P136">
        <v>0.36020000000000002</v>
      </c>
      <c r="Q136">
        <v>5.3699999999999998E-3</v>
      </c>
      <c r="R136">
        <v>-5.2699999999999997E-2</v>
      </c>
      <c r="S136">
        <v>8.0000000000000004E-4</v>
      </c>
    </row>
    <row r="137" spans="1:19" x14ac:dyDescent="0.25">
      <c r="A137">
        <v>1</v>
      </c>
      <c r="B137">
        <v>0.35680000000000001</v>
      </c>
      <c r="C137">
        <v>5.4999999999999997E-3</v>
      </c>
      <c r="D137">
        <v>-5.21E-2</v>
      </c>
      <c r="E137">
        <v>9.1E-4</v>
      </c>
      <c r="H137">
        <v>1</v>
      </c>
      <c r="I137">
        <v>0.35959999999999998</v>
      </c>
      <c r="J137">
        <v>5.4299999999999999E-3</v>
      </c>
      <c r="K137">
        <v>-5.2600000000000001E-2</v>
      </c>
      <c r="L137">
        <v>8.1999999999999998E-4</v>
      </c>
      <c r="O137">
        <v>2</v>
      </c>
      <c r="P137">
        <v>0.47210000000000002</v>
      </c>
      <c r="Q137">
        <v>5.5700000000000003E-3</v>
      </c>
      <c r="R137">
        <v>-5.28E-2</v>
      </c>
      <c r="S137">
        <v>9.7999999999999997E-4</v>
      </c>
    </row>
    <row r="138" spans="1:19" x14ac:dyDescent="0.25">
      <c r="A138">
        <v>2</v>
      </c>
      <c r="B138">
        <v>0.4677</v>
      </c>
      <c r="C138">
        <v>5.4400000000000004E-3</v>
      </c>
      <c r="D138">
        <v>-5.1999999999999998E-2</v>
      </c>
      <c r="E138">
        <v>1.09E-3</v>
      </c>
      <c r="H138">
        <v>2</v>
      </c>
      <c r="I138">
        <v>0.47070000000000001</v>
      </c>
      <c r="J138">
        <v>5.4799999999999996E-3</v>
      </c>
      <c r="K138">
        <v>-5.2499999999999998E-2</v>
      </c>
      <c r="L138">
        <v>1E-3</v>
      </c>
      <c r="O138">
        <v>3</v>
      </c>
      <c r="P138">
        <v>0.58199999999999996</v>
      </c>
      <c r="Q138">
        <v>5.8599999999999998E-3</v>
      </c>
      <c r="R138">
        <v>-5.2499999999999998E-2</v>
      </c>
      <c r="S138">
        <v>1.2899999999999999E-3</v>
      </c>
    </row>
    <row r="139" spans="1:19" x14ac:dyDescent="0.25">
      <c r="A139">
        <v>3</v>
      </c>
      <c r="B139">
        <v>0.57579999999999998</v>
      </c>
      <c r="C139">
        <v>5.6299999999999996E-3</v>
      </c>
      <c r="D139">
        <v>-5.1200000000000002E-2</v>
      </c>
      <c r="E139">
        <v>1.41E-3</v>
      </c>
      <c r="H139">
        <v>3</v>
      </c>
      <c r="I139">
        <v>0.58040000000000003</v>
      </c>
      <c r="J139">
        <v>5.7600000000000004E-3</v>
      </c>
      <c r="K139">
        <v>-5.2200000000000003E-2</v>
      </c>
      <c r="L139">
        <v>1.31E-3</v>
      </c>
      <c r="O139">
        <v>4</v>
      </c>
      <c r="P139">
        <v>0.69169999999999998</v>
      </c>
      <c r="Q139">
        <v>6.2399999999999999E-3</v>
      </c>
      <c r="R139">
        <v>-5.2200000000000003E-2</v>
      </c>
      <c r="S139">
        <v>1.6900000000000001E-3</v>
      </c>
    </row>
    <row r="140" spans="1:19" x14ac:dyDescent="0.25">
      <c r="A140">
        <v>4</v>
      </c>
      <c r="B140">
        <v>0.67720000000000002</v>
      </c>
      <c r="C140">
        <v>6.11E-3</v>
      </c>
      <c r="D140">
        <v>-4.8800000000000003E-2</v>
      </c>
      <c r="E140">
        <v>1.9E-3</v>
      </c>
      <c r="H140">
        <v>4</v>
      </c>
      <c r="I140">
        <v>0.68789999999999996</v>
      </c>
      <c r="J140">
        <v>6.2199999999999998E-3</v>
      </c>
      <c r="K140">
        <v>-5.1499999999999997E-2</v>
      </c>
      <c r="L140">
        <v>1.7700000000000001E-3</v>
      </c>
      <c r="O140">
        <v>5</v>
      </c>
      <c r="P140">
        <v>0.80010000000000003</v>
      </c>
      <c r="Q140">
        <v>6.6600000000000001E-3</v>
      </c>
      <c r="R140">
        <v>-5.1700000000000003E-2</v>
      </c>
      <c r="S140">
        <v>2.1900000000000001E-3</v>
      </c>
    </row>
    <row r="141" spans="1:19" x14ac:dyDescent="0.25">
      <c r="A141">
        <v>5</v>
      </c>
      <c r="B141">
        <v>0.79390000000000005</v>
      </c>
      <c r="C141">
        <v>7.1399999999999996E-3</v>
      </c>
      <c r="D141">
        <v>-5.0200000000000002E-2</v>
      </c>
      <c r="E141">
        <v>2.5600000000000002E-3</v>
      </c>
      <c r="H141">
        <v>5</v>
      </c>
      <c r="I141">
        <v>0.79179999999999995</v>
      </c>
      <c r="J141">
        <v>6.6899999999999998E-3</v>
      </c>
      <c r="K141">
        <v>-4.99E-2</v>
      </c>
      <c r="L141">
        <v>2.3400000000000001E-3</v>
      </c>
      <c r="O141">
        <v>6</v>
      </c>
      <c r="P141">
        <v>0.90580000000000005</v>
      </c>
      <c r="Q141">
        <v>7.0200000000000002E-3</v>
      </c>
      <c r="R141">
        <v>-5.0500000000000003E-2</v>
      </c>
      <c r="S141">
        <v>2.7399999999999998E-3</v>
      </c>
    </row>
    <row r="142" spans="1:19" x14ac:dyDescent="0.25">
      <c r="A142">
        <v>6</v>
      </c>
      <c r="B142">
        <v>0.90449999999999997</v>
      </c>
      <c r="C142">
        <v>8.1899999999999994E-3</v>
      </c>
      <c r="D142">
        <v>-5.0500000000000003E-2</v>
      </c>
      <c r="E142">
        <v>3.3E-3</v>
      </c>
      <c r="H142">
        <v>6</v>
      </c>
      <c r="I142">
        <v>0.90229999999999999</v>
      </c>
      <c r="J142">
        <v>7.43E-3</v>
      </c>
      <c r="K142">
        <v>-4.9700000000000001E-2</v>
      </c>
      <c r="L142">
        <v>2.96E-3</v>
      </c>
      <c r="O142">
        <v>7</v>
      </c>
      <c r="P142">
        <v>1.0184</v>
      </c>
      <c r="Q142">
        <v>7.6699999999999997E-3</v>
      </c>
      <c r="R142">
        <v>-5.0900000000000001E-2</v>
      </c>
      <c r="S142">
        <v>3.3500000000000001E-3</v>
      </c>
    </row>
    <row r="143" spans="1:19" x14ac:dyDescent="0.25">
      <c r="A143">
        <v>7</v>
      </c>
      <c r="B143">
        <v>1.0039</v>
      </c>
      <c r="C143">
        <v>9.1400000000000006E-3</v>
      </c>
      <c r="D143">
        <v>-4.8300000000000003E-2</v>
      </c>
      <c r="E143">
        <v>4.0699999999999998E-3</v>
      </c>
      <c r="H143">
        <v>7</v>
      </c>
      <c r="I143">
        <v>1.0134000000000001</v>
      </c>
      <c r="J143">
        <v>8.2400000000000008E-3</v>
      </c>
      <c r="K143">
        <v>-0.05</v>
      </c>
      <c r="L143">
        <v>3.62E-3</v>
      </c>
      <c r="O143">
        <v>8</v>
      </c>
      <c r="P143">
        <v>1.1238999999999999</v>
      </c>
      <c r="Q143">
        <v>8.4100000000000008E-3</v>
      </c>
      <c r="R143">
        <v>-4.99E-2</v>
      </c>
      <c r="S143">
        <v>4.0099999999999997E-3</v>
      </c>
    </row>
    <row r="144" spans="1:19" x14ac:dyDescent="0.25">
      <c r="A144">
        <v>8</v>
      </c>
      <c r="B144">
        <v>1.1047</v>
      </c>
      <c r="C144">
        <v>1.01E-2</v>
      </c>
      <c r="D144">
        <v>-4.65E-2</v>
      </c>
      <c r="E144">
        <v>4.9399999999999999E-3</v>
      </c>
      <c r="H144">
        <v>8</v>
      </c>
      <c r="I144">
        <v>1.1164000000000001</v>
      </c>
      <c r="J144">
        <v>9.0600000000000003E-3</v>
      </c>
      <c r="K144">
        <v>-4.8500000000000001E-2</v>
      </c>
      <c r="L144">
        <v>4.3600000000000002E-3</v>
      </c>
      <c r="O144">
        <v>9</v>
      </c>
      <c r="P144">
        <v>1.2276</v>
      </c>
      <c r="Q144">
        <v>9.1999999999999998E-3</v>
      </c>
      <c r="R144">
        <v>-4.87E-2</v>
      </c>
      <c r="S144">
        <v>4.7400000000000003E-3</v>
      </c>
    </row>
    <row r="145" spans="1:19" x14ac:dyDescent="0.25">
      <c r="A145">
        <v>9</v>
      </c>
      <c r="B145">
        <v>1.2037</v>
      </c>
      <c r="C145">
        <v>1.1129999999999999E-2</v>
      </c>
      <c r="D145">
        <v>-4.4499999999999998E-2</v>
      </c>
      <c r="E145">
        <v>5.94E-3</v>
      </c>
      <c r="H145">
        <v>9</v>
      </c>
      <c r="I145">
        <v>1.2183999999999999</v>
      </c>
      <c r="J145">
        <v>9.9399999999999992E-3</v>
      </c>
      <c r="K145">
        <v>-4.7100000000000003E-2</v>
      </c>
      <c r="L145">
        <v>5.1900000000000002E-3</v>
      </c>
      <c r="O145">
        <v>10</v>
      </c>
      <c r="P145">
        <v>1.3289</v>
      </c>
      <c r="Q145">
        <v>1.0109999999999999E-2</v>
      </c>
      <c r="R145">
        <v>-4.7199999999999999E-2</v>
      </c>
      <c r="S145">
        <v>5.6100000000000004E-3</v>
      </c>
    </row>
    <row r="146" spans="1:19" x14ac:dyDescent="0.25">
      <c r="A146">
        <v>10</v>
      </c>
      <c r="B146">
        <v>1.2988999999999999</v>
      </c>
      <c r="C146">
        <v>1.2319999999999999E-2</v>
      </c>
      <c r="D146">
        <v>-4.2099999999999999E-2</v>
      </c>
      <c r="E146">
        <v>7.1199999999999996E-3</v>
      </c>
      <c r="H146">
        <v>10</v>
      </c>
      <c r="I146">
        <v>1.3172999999999999</v>
      </c>
      <c r="J146">
        <v>1.0959999999999999E-2</v>
      </c>
      <c r="K146">
        <v>-4.5199999999999997E-2</v>
      </c>
      <c r="L146">
        <v>6.1799999999999997E-3</v>
      </c>
      <c r="O146">
        <v>11</v>
      </c>
      <c r="P146">
        <v>1.4267000000000001</v>
      </c>
      <c r="Q146">
        <v>1.112E-2</v>
      </c>
      <c r="R146">
        <v>-4.53E-2</v>
      </c>
      <c r="S146">
        <v>6.6E-3</v>
      </c>
    </row>
    <row r="147" spans="1:19" x14ac:dyDescent="0.25">
      <c r="A147">
        <v>11</v>
      </c>
      <c r="B147">
        <v>1.3886000000000001</v>
      </c>
      <c r="C147">
        <v>1.366E-2</v>
      </c>
      <c r="D147">
        <v>-3.8899999999999997E-2</v>
      </c>
      <c r="E147">
        <v>8.5000000000000006E-3</v>
      </c>
      <c r="H147">
        <v>11</v>
      </c>
      <c r="I147">
        <v>1.4127000000000001</v>
      </c>
      <c r="J147">
        <v>1.206E-2</v>
      </c>
      <c r="K147">
        <v>-4.2900000000000001E-2</v>
      </c>
      <c r="L147">
        <v>7.28E-3</v>
      </c>
      <c r="O147">
        <v>12</v>
      </c>
      <c r="P147">
        <v>1.5201</v>
      </c>
      <c r="Q147">
        <v>1.225E-2</v>
      </c>
      <c r="R147">
        <v>-4.2700000000000002E-2</v>
      </c>
      <c r="S147">
        <v>7.7200000000000003E-3</v>
      </c>
    </row>
    <row r="148" spans="1:19" x14ac:dyDescent="0.25">
      <c r="A148">
        <v>12</v>
      </c>
      <c r="B148">
        <v>1.4653</v>
      </c>
      <c r="C148">
        <v>1.523E-2</v>
      </c>
      <c r="D148">
        <v>-3.3599999999999998E-2</v>
      </c>
      <c r="E148">
        <v>1.0120000000000001E-2</v>
      </c>
      <c r="H148">
        <v>12</v>
      </c>
      <c r="I148">
        <v>1.5013000000000001</v>
      </c>
      <c r="J148">
        <v>1.338E-2</v>
      </c>
      <c r="K148">
        <v>-3.9600000000000003E-2</v>
      </c>
      <c r="L148">
        <v>8.6199999999999992E-3</v>
      </c>
      <c r="O148">
        <v>13</v>
      </c>
      <c r="P148">
        <v>1.6060000000000001</v>
      </c>
      <c r="Q148">
        <v>1.354E-2</v>
      </c>
      <c r="R148">
        <v>-3.9E-2</v>
      </c>
      <c r="S148">
        <v>9.0399999999999994E-3</v>
      </c>
    </row>
    <row r="149" spans="1:19" x14ac:dyDescent="0.25">
      <c r="A149">
        <v>13</v>
      </c>
      <c r="B149">
        <v>1.5290999999999999</v>
      </c>
      <c r="C149">
        <v>1.7100000000000001E-2</v>
      </c>
      <c r="D149">
        <v>-2.6700000000000002E-2</v>
      </c>
      <c r="E149">
        <v>1.21E-2</v>
      </c>
      <c r="H149">
        <v>13</v>
      </c>
      <c r="I149">
        <v>1.5763</v>
      </c>
      <c r="J149">
        <v>1.481E-2</v>
      </c>
      <c r="K149">
        <v>-3.4000000000000002E-2</v>
      </c>
      <c r="L149">
        <v>1.01E-2</v>
      </c>
      <c r="O149">
        <v>14</v>
      </c>
      <c r="P149">
        <v>1.6700999999999999</v>
      </c>
      <c r="Q149">
        <v>1.5180000000000001E-2</v>
      </c>
      <c r="R149">
        <v>-3.1699999999999999E-2</v>
      </c>
      <c r="S149">
        <v>1.073E-2</v>
      </c>
    </row>
    <row r="150" spans="1:19" x14ac:dyDescent="0.25">
      <c r="A150">
        <v>14</v>
      </c>
      <c r="B150">
        <v>1.5798000000000001</v>
      </c>
      <c r="C150">
        <v>1.9789999999999999E-2</v>
      </c>
      <c r="D150">
        <v>-1.9400000000000001E-2</v>
      </c>
      <c r="E150">
        <v>1.494E-2</v>
      </c>
      <c r="H150">
        <v>14</v>
      </c>
      <c r="I150">
        <v>1.637</v>
      </c>
      <c r="J150">
        <v>1.6719999999999999E-2</v>
      </c>
      <c r="K150">
        <v>-2.6800000000000001E-2</v>
      </c>
      <c r="L150">
        <v>1.21E-2</v>
      </c>
      <c r="O150">
        <v>15</v>
      </c>
      <c r="P150">
        <v>1.7276</v>
      </c>
      <c r="Q150">
        <v>1.7219999999999999E-2</v>
      </c>
      <c r="R150">
        <v>-2.46E-2</v>
      </c>
      <c r="S150">
        <v>1.286E-2</v>
      </c>
    </row>
    <row r="151" spans="1:19" x14ac:dyDescent="0.25">
      <c r="A151">
        <v>15</v>
      </c>
      <c r="B151">
        <v>1.6128</v>
      </c>
      <c r="C151">
        <v>2.3910000000000001E-2</v>
      </c>
      <c r="D151">
        <v>-1.23E-2</v>
      </c>
      <c r="E151">
        <v>1.925E-2</v>
      </c>
      <c r="H151">
        <v>15</v>
      </c>
      <c r="I151">
        <v>1.6843999999999999</v>
      </c>
      <c r="J151">
        <v>1.949E-2</v>
      </c>
      <c r="K151">
        <v>-1.9300000000000001E-2</v>
      </c>
      <c r="L151">
        <v>1.499E-2</v>
      </c>
      <c r="O151">
        <v>16</v>
      </c>
      <c r="P151">
        <v>1.768</v>
      </c>
      <c r="Q151">
        <v>2.0410000000000001E-2</v>
      </c>
      <c r="R151">
        <v>-1.6899999999999998E-2</v>
      </c>
      <c r="S151">
        <v>1.617E-2</v>
      </c>
    </row>
    <row r="152" spans="1:19" x14ac:dyDescent="0.25">
      <c r="A152">
        <v>16</v>
      </c>
      <c r="B152">
        <v>1.6238999999999999</v>
      </c>
      <c r="C152">
        <v>3.048E-2</v>
      </c>
      <c r="D152">
        <v>-6.7999999999999996E-3</v>
      </c>
      <c r="E152">
        <v>2.6089999999999999E-2</v>
      </c>
      <c r="H152">
        <v>16</v>
      </c>
      <c r="I152">
        <v>1.7143999999999999</v>
      </c>
      <c r="J152">
        <v>2.3740000000000001E-2</v>
      </c>
      <c r="K152">
        <v>-1.21E-2</v>
      </c>
      <c r="L152">
        <v>1.942E-2</v>
      </c>
      <c r="O152">
        <v>17</v>
      </c>
      <c r="P152">
        <v>1.7871999999999999</v>
      </c>
      <c r="Q152">
        <v>2.555E-2</v>
      </c>
      <c r="R152">
        <v>-9.7999999999999997E-3</v>
      </c>
      <c r="S152">
        <v>2.1489999999999999E-2</v>
      </c>
    </row>
    <row r="153" spans="1:19" x14ac:dyDescent="0.25">
      <c r="A153">
        <v>17</v>
      </c>
      <c r="B153">
        <v>1.607</v>
      </c>
      <c r="C153">
        <v>4.0939999999999997E-2</v>
      </c>
      <c r="D153">
        <v>-4.8999999999999998E-3</v>
      </c>
      <c r="E153">
        <v>3.6900000000000002E-2</v>
      </c>
      <c r="H153">
        <v>17</v>
      </c>
      <c r="I153">
        <v>1.7257</v>
      </c>
      <c r="J153">
        <v>3.0200000000000001E-2</v>
      </c>
      <c r="K153">
        <v>-6.7000000000000002E-3</v>
      </c>
      <c r="L153">
        <v>2.6110000000000001E-2</v>
      </c>
      <c r="O153">
        <v>18</v>
      </c>
      <c r="P153">
        <v>1.7865</v>
      </c>
      <c r="Q153">
        <v>3.3259999999999998E-2</v>
      </c>
      <c r="R153">
        <v>-5.1999999999999998E-3</v>
      </c>
      <c r="S153">
        <v>2.9440000000000001E-2</v>
      </c>
    </row>
    <row r="154" spans="1:19" x14ac:dyDescent="0.25">
      <c r="A154">
        <v>18</v>
      </c>
      <c r="B154">
        <v>1.5411999999999999</v>
      </c>
      <c r="C154">
        <v>5.8540000000000002E-2</v>
      </c>
      <c r="D154">
        <v>-8.6999999999999994E-3</v>
      </c>
      <c r="E154">
        <v>5.4960000000000002E-2</v>
      </c>
      <c r="H154">
        <v>18</v>
      </c>
      <c r="I154">
        <v>1.6972</v>
      </c>
      <c r="J154">
        <v>4.1439999999999998E-2</v>
      </c>
      <c r="K154">
        <v>-4.4999999999999997E-3</v>
      </c>
      <c r="L154">
        <v>3.7670000000000002E-2</v>
      </c>
    </row>
    <row r="291" spans="3:17" x14ac:dyDescent="0.25">
      <c r="C291" s="6" t="s">
        <v>41</v>
      </c>
      <c r="D291" s="6"/>
      <c r="E291" s="6"/>
      <c r="F291" s="6"/>
      <c r="H291" s="6" t="s">
        <v>42</v>
      </c>
      <c r="I291" s="6"/>
      <c r="J291" s="6"/>
      <c r="K291" s="6"/>
      <c r="N291" s="6" t="s">
        <v>43</v>
      </c>
      <c r="O291" s="6"/>
      <c r="P291" s="6"/>
      <c r="Q291" s="6"/>
    </row>
    <row r="292" spans="3:17" x14ac:dyDescent="0.25">
      <c r="C292" s="1" t="s">
        <v>40</v>
      </c>
      <c r="D292" s="4" t="s">
        <v>38</v>
      </c>
      <c r="E292" s="4" t="s">
        <v>37</v>
      </c>
      <c r="F292" s="4" t="s">
        <v>39</v>
      </c>
      <c r="H292" s="1" t="s">
        <v>40</v>
      </c>
      <c r="I292" s="4" t="s">
        <v>38</v>
      </c>
      <c r="J292" s="4" t="s">
        <v>37</v>
      </c>
      <c r="K292" s="4" t="s">
        <v>39</v>
      </c>
      <c r="N292" s="1" t="s">
        <v>40</v>
      </c>
      <c r="O292" s="4" t="s">
        <v>38</v>
      </c>
      <c r="P292" s="4" t="s">
        <v>37</v>
      </c>
      <c r="Q292" s="4" t="s">
        <v>39</v>
      </c>
    </row>
    <row r="293" spans="3:17" x14ac:dyDescent="0.25">
      <c r="C293">
        <f t="shared" ref="C293:C302" si="0">A6</f>
        <v>-18</v>
      </c>
      <c r="D293" s="5" t="str">
        <f t="shared" ref="D293:D329" si="1">IF(B6=0,"-",ABS((B6-B60)/B60))</f>
        <v>-</v>
      </c>
      <c r="E293" s="5" t="str">
        <f t="shared" ref="E293:E329" si="2">IF(C6=0,"-",ABS((C6-C60)/C60))</f>
        <v>-</v>
      </c>
      <c r="F293" s="5">
        <f t="shared" ref="F293:F329" si="3">IF(D6=0,"-",ABS((D6-E60)/E60))</f>
        <v>1.7072135785007072</v>
      </c>
      <c r="H293">
        <f t="shared" ref="H293:H302" si="4">F6</f>
        <v>-18</v>
      </c>
      <c r="I293" s="5">
        <f t="shared" ref="I293:I329" si="5">IF(G6=0,"-",ABS((G6-I60)/I60))</f>
        <v>0.48316414954196585</v>
      </c>
      <c r="J293" s="5" t="str">
        <f t="shared" ref="J293:J329" si="6">IF(H6=0,"-",ABS((H6-J60)/J60))</f>
        <v>-</v>
      </c>
      <c r="K293" s="5" t="str">
        <f t="shared" ref="K293:K329" si="7">IF(I6=0,"-",ABS((I6-L60)/L60))</f>
        <v>-</v>
      </c>
      <c r="N293">
        <f t="shared" ref="N293:N302" si="8">L6</f>
        <v>-18</v>
      </c>
      <c r="O293" s="5">
        <f t="shared" ref="O293:O329" si="9">IF(M6=0,"-",ABS((M6-P60)/P60))</f>
        <v>0.49982029471666467</v>
      </c>
      <c r="P293" s="5" t="str">
        <f t="shared" ref="P293:P329" si="10">IF(N6=0,"-",ABS((N6-Q60)/Q60))</f>
        <v>-</v>
      </c>
      <c r="Q293" s="5" t="str">
        <f t="shared" ref="Q293:Q329" si="11">IF(O6=0,"-",ABS((O6-S60)/S60))</f>
        <v>-</v>
      </c>
    </row>
    <row r="294" spans="3:17" x14ac:dyDescent="0.25">
      <c r="C294">
        <f t="shared" si="0"/>
        <v>-17</v>
      </c>
      <c r="D294" s="5" t="str">
        <f t="shared" si="1"/>
        <v>-</v>
      </c>
      <c r="E294" s="5" t="str">
        <f t="shared" si="2"/>
        <v>-</v>
      </c>
      <c r="F294" s="5">
        <f t="shared" si="3"/>
        <v>1.3692762186115215</v>
      </c>
      <c r="H294">
        <f t="shared" si="4"/>
        <v>-17</v>
      </c>
      <c r="I294" s="5">
        <f t="shared" si="5"/>
        <v>0.44214217405164169</v>
      </c>
      <c r="J294" s="5" t="str">
        <f t="shared" si="6"/>
        <v>-</v>
      </c>
      <c r="K294" s="5" t="str">
        <f t="shared" si="7"/>
        <v>-</v>
      </c>
      <c r="N294">
        <f t="shared" si="8"/>
        <v>-17</v>
      </c>
      <c r="O294" s="5">
        <f t="shared" si="9"/>
        <v>0.45141065830721</v>
      </c>
      <c r="P294" s="5" t="str">
        <f t="shared" si="10"/>
        <v>-</v>
      </c>
      <c r="Q294" s="5" t="str">
        <f t="shared" si="11"/>
        <v>-</v>
      </c>
    </row>
    <row r="295" spans="3:17" x14ac:dyDescent="0.25">
      <c r="C295">
        <f t="shared" si="0"/>
        <v>-16</v>
      </c>
      <c r="D295" s="5" t="str">
        <f t="shared" si="1"/>
        <v>-</v>
      </c>
      <c r="E295" s="5" t="str">
        <f t="shared" si="2"/>
        <v>-</v>
      </c>
      <c r="F295" s="5">
        <f t="shared" si="3"/>
        <v>1.1215559157212318</v>
      </c>
      <c r="H295">
        <f t="shared" si="4"/>
        <v>-16</v>
      </c>
      <c r="I295" s="5">
        <f t="shared" si="5"/>
        <v>0.36984648387745528</v>
      </c>
      <c r="J295" s="5" t="str">
        <f t="shared" si="6"/>
        <v>-</v>
      </c>
      <c r="K295" s="5" t="str">
        <f t="shared" si="7"/>
        <v>-</v>
      </c>
      <c r="N295">
        <f t="shared" si="8"/>
        <v>-16</v>
      </c>
      <c r="O295" s="5">
        <f t="shared" si="9"/>
        <v>0.37781307916335716</v>
      </c>
      <c r="P295" s="5" t="str">
        <f t="shared" si="10"/>
        <v>-</v>
      </c>
      <c r="Q295" s="5" t="str">
        <f t="shared" si="11"/>
        <v>-</v>
      </c>
    </row>
    <row r="296" spans="3:17" x14ac:dyDescent="0.25">
      <c r="C296">
        <f t="shared" si="0"/>
        <v>-15</v>
      </c>
      <c r="D296" s="5" t="str">
        <f t="shared" si="1"/>
        <v>-</v>
      </c>
      <c r="E296" s="5" t="str">
        <f t="shared" si="2"/>
        <v>-</v>
      </c>
      <c r="F296" s="5">
        <f t="shared" si="3"/>
        <v>0.82578397212543553</v>
      </c>
      <c r="H296">
        <f t="shared" si="4"/>
        <v>-15</v>
      </c>
      <c r="I296" s="5">
        <f t="shared" si="5"/>
        <v>0.25642659868281276</v>
      </c>
      <c r="J296" s="5" t="str">
        <f t="shared" si="6"/>
        <v>-</v>
      </c>
      <c r="K296" s="5" t="str">
        <f t="shared" si="7"/>
        <v>-</v>
      </c>
      <c r="N296">
        <f t="shared" si="8"/>
        <v>-15</v>
      </c>
      <c r="O296" s="5">
        <f t="shared" si="9"/>
        <v>0.2656315568610994</v>
      </c>
      <c r="P296" s="5" t="str">
        <f t="shared" si="10"/>
        <v>-</v>
      </c>
      <c r="Q296" s="5" t="str">
        <f t="shared" si="11"/>
        <v>-</v>
      </c>
    </row>
    <row r="297" spans="3:17" x14ac:dyDescent="0.25">
      <c r="C297">
        <f t="shared" si="0"/>
        <v>-14</v>
      </c>
      <c r="D297" s="5" t="str">
        <f t="shared" si="1"/>
        <v>-</v>
      </c>
      <c r="E297" s="5" t="str">
        <f t="shared" si="2"/>
        <v>-</v>
      </c>
      <c r="F297" s="5">
        <f t="shared" si="3"/>
        <v>0.71209213051823417</v>
      </c>
      <c r="H297">
        <f t="shared" si="4"/>
        <v>-14</v>
      </c>
      <c r="I297" s="5">
        <f t="shared" si="5"/>
        <v>0.12340361218166705</v>
      </c>
      <c r="J297" s="5" t="str">
        <f t="shared" si="6"/>
        <v>-</v>
      </c>
      <c r="K297" s="5" t="str">
        <f t="shared" si="7"/>
        <v>-</v>
      </c>
      <c r="N297">
        <f t="shared" si="8"/>
        <v>-14</v>
      </c>
      <c r="O297" s="5">
        <f t="shared" si="9"/>
        <v>0.11921032649962038</v>
      </c>
      <c r="P297" s="5" t="str">
        <f t="shared" si="10"/>
        <v>-</v>
      </c>
      <c r="Q297" s="5" t="str">
        <f t="shared" si="11"/>
        <v>-</v>
      </c>
    </row>
    <row r="298" spans="3:17" x14ac:dyDescent="0.25">
      <c r="C298">
        <f t="shared" si="0"/>
        <v>-13</v>
      </c>
      <c r="D298" s="5" t="str">
        <f t="shared" si="1"/>
        <v>-</v>
      </c>
      <c r="E298" s="5" t="str">
        <f t="shared" si="2"/>
        <v>-</v>
      </c>
      <c r="F298" s="5">
        <f t="shared" si="3"/>
        <v>0.47807933194154484</v>
      </c>
      <c r="H298">
        <f t="shared" si="4"/>
        <v>-13</v>
      </c>
      <c r="I298" s="5">
        <f t="shared" si="5"/>
        <v>0.13893028647127004</v>
      </c>
      <c r="J298" s="5">
        <f t="shared" si="6"/>
        <v>1.7770597738287538E-2</v>
      </c>
      <c r="K298" s="5" t="str">
        <f t="shared" si="7"/>
        <v>-</v>
      </c>
      <c r="N298">
        <f t="shared" si="8"/>
        <v>-13</v>
      </c>
      <c r="O298" s="5">
        <f t="shared" si="9"/>
        <v>0.13578195113844108</v>
      </c>
      <c r="P298" s="5" t="str">
        <f t="shared" si="10"/>
        <v>-</v>
      </c>
      <c r="Q298" s="5" t="str">
        <f t="shared" si="11"/>
        <v>-</v>
      </c>
    </row>
    <row r="299" spans="3:17" x14ac:dyDescent="0.25">
      <c r="C299">
        <f t="shared" si="0"/>
        <v>-12</v>
      </c>
      <c r="D299" s="5" t="str">
        <f t="shared" si="1"/>
        <v>-</v>
      </c>
      <c r="E299" s="5" t="str">
        <f t="shared" si="2"/>
        <v>-</v>
      </c>
      <c r="F299" s="5">
        <f t="shared" si="3"/>
        <v>0.36149312377210213</v>
      </c>
      <c r="H299">
        <f t="shared" si="4"/>
        <v>-12</v>
      </c>
      <c r="I299" s="5">
        <f t="shared" si="5"/>
        <v>0.10083493898522809</v>
      </c>
      <c r="J299" s="5">
        <f t="shared" si="6"/>
        <v>8.1081081081081058E-2</v>
      </c>
      <c r="K299" s="5" t="str">
        <f t="shared" si="7"/>
        <v>-</v>
      </c>
      <c r="N299">
        <f t="shared" si="8"/>
        <v>-12</v>
      </c>
      <c r="O299" s="5">
        <f t="shared" si="9"/>
        <v>0.10868576625738968</v>
      </c>
      <c r="P299" s="5" t="str">
        <f t="shared" si="10"/>
        <v>-</v>
      </c>
      <c r="Q299" s="5" t="str">
        <f t="shared" si="11"/>
        <v>-</v>
      </c>
    </row>
    <row r="300" spans="3:17" x14ac:dyDescent="0.25">
      <c r="C300">
        <f t="shared" si="0"/>
        <v>-11</v>
      </c>
      <c r="D300" s="5" t="str">
        <f t="shared" si="1"/>
        <v>-</v>
      </c>
      <c r="E300" s="5" t="str">
        <f t="shared" si="2"/>
        <v>-</v>
      </c>
      <c r="F300" s="5">
        <f t="shared" si="3"/>
        <v>0.26335174953959484</v>
      </c>
      <c r="H300">
        <f t="shared" si="4"/>
        <v>-11</v>
      </c>
      <c r="I300" s="5">
        <f t="shared" si="5"/>
        <v>8.4249084249084227E-2</v>
      </c>
      <c r="J300" s="5">
        <f t="shared" si="6"/>
        <v>7.1071071071070954E-2</v>
      </c>
      <c r="K300" s="5" t="str">
        <f t="shared" si="7"/>
        <v>-</v>
      </c>
      <c r="N300">
        <f t="shared" si="8"/>
        <v>-11</v>
      </c>
      <c r="O300" s="5">
        <f t="shared" si="9"/>
        <v>9.6294808715734495E-2</v>
      </c>
      <c r="P300" s="5" t="str">
        <f t="shared" si="10"/>
        <v>-</v>
      </c>
      <c r="Q300" s="5" t="str">
        <f t="shared" si="11"/>
        <v>-</v>
      </c>
    </row>
    <row r="301" spans="3:17" x14ac:dyDescent="0.25">
      <c r="C301">
        <f t="shared" si="0"/>
        <v>-10</v>
      </c>
      <c r="D301" s="5" t="str">
        <f t="shared" si="1"/>
        <v>-</v>
      </c>
      <c r="E301" s="5" t="str">
        <f t="shared" si="2"/>
        <v>-</v>
      </c>
      <c r="F301" s="5">
        <f t="shared" si="3"/>
        <v>0.2035398230088496</v>
      </c>
      <c r="H301">
        <f t="shared" si="4"/>
        <v>-10</v>
      </c>
      <c r="I301" s="5">
        <f t="shared" si="5"/>
        <v>9.0288833295428611E-2</v>
      </c>
      <c r="J301" s="5">
        <f t="shared" si="6"/>
        <v>4.6255506607929542E-2</v>
      </c>
      <c r="K301" s="5" t="str">
        <f t="shared" si="7"/>
        <v>-</v>
      </c>
      <c r="N301">
        <f t="shared" si="8"/>
        <v>-10</v>
      </c>
      <c r="O301" s="5">
        <f t="shared" si="9"/>
        <v>9.990999099909989E-2</v>
      </c>
      <c r="P301" s="5" t="str">
        <f t="shared" si="10"/>
        <v>-</v>
      </c>
      <c r="Q301" s="5" t="str">
        <f t="shared" si="11"/>
        <v>-</v>
      </c>
    </row>
    <row r="302" spans="3:17" x14ac:dyDescent="0.25">
      <c r="C302">
        <f t="shared" si="0"/>
        <v>-9</v>
      </c>
      <c r="D302" s="5" t="str">
        <f t="shared" si="1"/>
        <v>-</v>
      </c>
      <c r="E302" s="5" t="str">
        <f t="shared" si="2"/>
        <v>-</v>
      </c>
      <c r="F302" s="5">
        <f t="shared" si="3"/>
        <v>0.16817359855334543</v>
      </c>
      <c r="H302">
        <f t="shared" si="4"/>
        <v>-9</v>
      </c>
      <c r="I302" s="5">
        <f t="shared" si="5"/>
        <v>9.3733816675297801E-2</v>
      </c>
      <c r="J302" s="5">
        <f t="shared" si="6"/>
        <v>6.2801932367149926E-2</v>
      </c>
      <c r="K302" s="5" t="str">
        <f t="shared" si="7"/>
        <v>-</v>
      </c>
      <c r="N302">
        <f t="shared" si="8"/>
        <v>-9</v>
      </c>
      <c r="O302" s="5">
        <f t="shared" si="9"/>
        <v>0.10152740341419594</v>
      </c>
      <c r="P302" s="5" t="str">
        <f t="shared" si="10"/>
        <v>-</v>
      </c>
      <c r="Q302" s="5" t="str">
        <f t="shared" si="11"/>
        <v>-</v>
      </c>
    </row>
    <row r="303" spans="3:17" x14ac:dyDescent="0.25">
      <c r="C303">
        <f t="shared" ref="C303:C329" si="12">A16</f>
        <v>-8</v>
      </c>
      <c r="D303" s="5">
        <f t="shared" si="1"/>
        <v>7.9613437643810486E-2</v>
      </c>
      <c r="E303" s="5">
        <f t="shared" si="2"/>
        <v>0.15023474178403756</v>
      </c>
      <c r="F303" s="5">
        <f t="shared" si="3"/>
        <v>9.0909090909090939E-2</v>
      </c>
      <c r="H303">
        <f t="shared" ref="H303:H329" si="13">F16</f>
        <v>-8</v>
      </c>
      <c r="I303" s="5">
        <f t="shared" si="5"/>
        <v>9.3929326487466075E-2</v>
      </c>
      <c r="J303" s="5">
        <f t="shared" si="6"/>
        <v>4.9868766404199495E-2</v>
      </c>
      <c r="K303" s="5">
        <f t="shared" si="7"/>
        <v>5.4054054054053995E-2</v>
      </c>
      <c r="N303">
        <f t="shared" ref="N303:N329" si="14">L16</f>
        <v>-8</v>
      </c>
      <c r="O303" s="5">
        <f t="shared" si="9"/>
        <v>0.10112359550561799</v>
      </c>
      <c r="P303" s="5">
        <f t="shared" si="10"/>
        <v>8.1460674157303473E-2</v>
      </c>
      <c r="Q303" s="5">
        <f t="shared" si="11"/>
        <v>3.7328094302554009E-2</v>
      </c>
    </row>
    <row r="304" spans="3:17" x14ac:dyDescent="0.25">
      <c r="C304">
        <f t="shared" si="12"/>
        <v>-7</v>
      </c>
      <c r="D304" s="5">
        <f t="shared" si="1"/>
        <v>7.85108735716918E-2</v>
      </c>
      <c r="E304" s="5">
        <f t="shared" si="2"/>
        <v>0.1381074168797953</v>
      </c>
      <c r="F304" s="5">
        <f t="shared" si="3"/>
        <v>9.9437148217636009E-2</v>
      </c>
      <c r="H304">
        <f t="shared" si="13"/>
        <v>-7</v>
      </c>
      <c r="I304" s="5">
        <f t="shared" si="5"/>
        <v>9.1899745731928772E-2</v>
      </c>
      <c r="J304" s="5">
        <f t="shared" si="6"/>
        <v>7.4964639321074972E-2</v>
      </c>
      <c r="K304" s="5">
        <f t="shared" si="7"/>
        <v>7.1566731141199255E-2</v>
      </c>
      <c r="N304">
        <f t="shared" si="14"/>
        <v>-7</v>
      </c>
      <c r="O304" s="5">
        <f t="shared" si="9"/>
        <v>9.926139434336162E-2</v>
      </c>
      <c r="P304" s="5">
        <f t="shared" si="10"/>
        <v>9.7744360902255703E-2</v>
      </c>
      <c r="Q304" s="5">
        <f t="shared" si="11"/>
        <v>5.6974459724950882E-2</v>
      </c>
    </row>
    <row r="305" spans="3:17" x14ac:dyDescent="0.25">
      <c r="C305">
        <f t="shared" si="12"/>
        <v>-6</v>
      </c>
      <c r="D305" s="5">
        <f t="shared" si="1"/>
        <v>7.3645206113941625E-2</v>
      </c>
      <c r="E305" s="5">
        <f t="shared" si="2"/>
        <v>0.10497237569060777</v>
      </c>
      <c r="F305" s="5">
        <f t="shared" si="3"/>
        <v>0.11153119092627603</v>
      </c>
      <c r="H305">
        <f t="shared" si="13"/>
        <v>-6</v>
      </c>
      <c r="I305" s="5">
        <f t="shared" si="5"/>
        <v>8.738307095596623E-2</v>
      </c>
      <c r="J305" s="5">
        <f t="shared" si="6"/>
        <v>8.9258698940998388E-2</v>
      </c>
      <c r="K305" s="5">
        <f t="shared" si="7"/>
        <v>8.9147286821705418E-2</v>
      </c>
      <c r="N305">
        <f t="shared" si="14"/>
        <v>-6</v>
      </c>
      <c r="O305" s="5">
        <f t="shared" si="9"/>
        <v>9.4817832088707837E-2</v>
      </c>
      <c r="P305" s="5">
        <f t="shared" si="10"/>
        <v>0.11464968152866245</v>
      </c>
      <c r="Q305" s="5">
        <f t="shared" si="11"/>
        <v>7.8431372549019551E-2</v>
      </c>
    </row>
    <row r="306" spans="3:17" x14ac:dyDescent="0.25">
      <c r="C306">
        <f t="shared" si="12"/>
        <v>-5</v>
      </c>
      <c r="D306" s="5">
        <f t="shared" si="1"/>
        <v>6.2792877225866933E-2</v>
      </c>
      <c r="E306" s="5">
        <f t="shared" si="2"/>
        <v>0.15044247787610621</v>
      </c>
      <c r="F306" s="5">
        <f t="shared" si="3"/>
        <v>0.12713472485768498</v>
      </c>
      <c r="H306">
        <f t="shared" si="13"/>
        <v>-5</v>
      </c>
      <c r="I306" s="5">
        <f t="shared" si="5"/>
        <v>7.7490774907749083E-2</v>
      </c>
      <c r="J306" s="5">
        <f t="shared" si="6"/>
        <v>0.11821086261980834</v>
      </c>
      <c r="K306" s="5">
        <f t="shared" si="7"/>
        <v>0.11025145067698265</v>
      </c>
      <c r="N306">
        <f t="shared" si="14"/>
        <v>-5</v>
      </c>
      <c r="O306" s="5">
        <f t="shared" si="9"/>
        <v>8.6201644837039279E-2</v>
      </c>
      <c r="P306" s="5">
        <f t="shared" si="10"/>
        <v>0.13522537562604339</v>
      </c>
      <c r="Q306" s="5">
        <f t="shared" si="11"/>
        <v>0.10156250000000006</v>
      </c>
    </row>
    <row r="307" spans="3:17" x14ac:dyDescent="0.25">
      <c r="C307">
        <f t="shared" si="12"/>
        <v>-4</v>
      </c>
      <c r="D307" s="5">
        <f t="shared" si="1"/>
        <v>3.8461538461538367E-2</v>
      </c>
      <c r="E307" s="5">
        <f t="shared" si="2"/>
        <v>0.17554858934169271</v>
      </c>
      <c r="F307" s="5">
        <f t="shared" si="3"/>
        <v>0.12380952380952379</v>
      </c>
      <c r="H307">
        <f t="shared" si="13"/>
        <v>-4</v>
      </c>
      <c r="I307" s="5">
        <f t="shared" si="5"/>
        <v>5.5712936732766657E-2</v>
      </c>
      <c r="J307" s="5">
        <f t="shared" si="6"/>
        <v>0.13522537562604339</v>
      </c>
      <c r="K307" s="5">
        <f t="shared" si="7"/>
        <v>0.11196911196911197</v>
      </c>
      <c r="N307">
        <f t="shared" si="14"/>
        <v>-4</v>
      </c>
      <c r="O307" s="5">
        <f t="shared" si="9"/>
        <v>6.6293183940242723E-2</v>
      </c>
      <c r="P307" s="5">
        <f t="shared" si="10"/>
        <v>0.11111111111111109</v>
      </c>
      <c r="Q307" s="5">
        <f t="shared" si="11"/>
        <v>0.10679611650485434</v>
      </c>
    </row>
    <row r="308" spans="3:17" x14ac:dyDescent="0.25">
      <c r="C308">
        <f t="shared" si="12"/>
        <v>-3</v>
      </c>
      <c r="D308" s="5">
        <f t="shared" si="1"/>
        <v>4.6025104602510469E-2</v>
      </c>
      <c r="E308" s="5">
        <f t="shared" si="2"/>
        <v>0.18616144975288301</v>
      </c>
      <c r="F308" s="5">
        <f t="shared" si="3"/>
        <v>0.12380952380952379</v>
      </c>
      <c r="H308">
        <f t="shared" si="13"/>
        <v>-3</v>
      </c>
      <c r="I308" s="5">
        <f t="shared" si="5"/>
        <v>1.8329938900203766E-2</v>
      </c>
      <c r="J308" s="5">
        <f t="shared" si="6"/>
        <v>0.16117850953206245</v>
      </c>
      <c r="K308" s="5">
        <f t="shared" si="7"/>
        <v>0.11538461538461536</v>
      </c>
      <c r="N308">
        <f t="shared" si="14"/>
        <v>-3</v>
      </c>
      <c r="O308" s="5">
        <f t="shared" si="9"/>
        <v>0</v>
      </c>
      <c r="P308" s="5">
        <f t="shared" si="10"/>
        <v>0.11111111111111109</v>
      </c>
      <c r="Q308" s="5">
        <f t="shared" si="11"/>
        <v>0.11196911196911197</v>
      </c>
    </row>
    <row r="309" spans="3:17" x14ac:dyDescent="0.25">
      <c r="C309">
        <f t="shared" si="12"/>
        <v>-2</v>
      </c>
      <c r="D309" s="5" t="str">
        <f t="shared" si="1"/>
        <v>-</v>
      </c>
      <c r="E309" s="5">
        <f t="shared" si="2"/>
        <v>0.19863013698630144</v>
      </c>
      <c r="F309" s="5">
        <f t="shared" si="3"/>
        <v>0.14285714285714285</v>
      </c>
      <c r="H309">
        <f t="shared" si="13"/>
        <v>-2</v>
      </c>
      <c r="I309" s="5" t="str">
        <f t="shared" si="5"/>
        <v>-</v>
      </c>
      <c r="J309" s="5">
        <f t="shared" si="6"/>
        <v>0.18279569892473119</v>
      </c>
      <c r="K309" s="5">
        <f t="shared" si="7"/>
        <v>0.13957934990439771</v>
      </c>
      <c r="N309">
        <f t="shared" si="14"/>
        <v>-2</v>
      </c>
      <c r="O309" s="5" t="str">
        <f t="shared" si="9"/>
        <v>-</v>
      </c>
      <c r="P309" s="5">
        <f t="shared" si="10"/>
        <v>0.10294117647058817</v>
      </c>
      <c r="Q309" s="5">
        <f t="shared" si="11"/>
        <v>0.1379310344827587</v>
      </c>
    </row>
    <row r="310" spans="3:17" x14ac:dyDescent="0.25">
      <c r="C310">
        <f t="shared" si="12"/>
        <v>-1</v>
      </c>
      <c r="D310" s="5">
        <f t="shared" si="1"/>
        <v>7.4074074074074056E-2</v>
      </c>
      <c r="E310" s="5">
        <f t="shared" si="2"/>
        <v>0.19929453262786595</v>
      </c>
      <c r="F310" s="5">
        <f t="shared" si="3"/>
        <v>0.14448669201520917</v>
      </c>
      <c r="H310">
        <f t="shared" si="13"/>
        <v>-1</v>
      </c>
      <c r="I310" s="5">
        <f t="shared" si="5"/>
        <v>7.2642967542503808E-2</v>
      </c>
      <c r="J310" s="5">
        <f t="shared" si="6"/>
        <v>0.19047619047619052</v>
      </c>
      <c r="K310" s="5">
        <f t="shared" si="7"/>
        <v>0.14448669201520917</v>
      </c>
      <c r="N310">
        <f t="shared" si="14"/>
        <v>-1</v>
      </c>
      <c r="O310" s="5">
        <f t="shared" si="9"/>
        <v>7.1925754060324851E-2</v>
      </c>
      <c r="P310" s="5">
        <f t="shared" si="10"/>
        <v>0.1090225563909774</v>
      </c>
      <c r="Q310" s="5">
        <f t="shared" si="11"/>
        <v>0.14448669201520917</v>
      </c>
    </row>
    <row r="311" spans="3:17" x14ac:dyDescent="0.25">
      <c r="C311">
        <f t="shared" si="12"/>
        <v>0</v>
      </c>
      <c r="D311" s="5">
        <f t="shared" si="1"/>
        <v>5.0371593724194835E-2</v>
      </c>
      <c r="E311" s="5">
        <f t="shared" si="2"/>
        <v>0.20218579234972675</v>
      </c>
      <c r="F311" s="5">
        <f t="shared" si="3"/>
        <v>0.10815939278937375</v>
      </c>
      <c r="H311">
        <f t="shared" si="13"/>
        <v>0</v>
      </c>
      <c r="I311" s="5">
        <f t="shared" si="5"/>
        <v>1.4373716632443545E-2</v>
      </c>
      <c r="J311" s="5">
        <f t="shared" si="6"/>
        <v>0.21951219512195125</v>
      </c>
      <c r="K311" s="5">
        <f t="shared" si="7"/>
        <v>0.11153119092627603</v>
      </c>
      <c r="N311">
        <f t="shared" si="14"/>
        <v>0</v>
      </c>
      <c r="O311" s="5">
        <f t="shared" si="9"/>
        <v>5.7377049180327808E-2</v>
      </c>
      <c r="P311" s="5">
        <f t="shared" si="10"/>
        <v>0.11111111111111108</v>
      </c>
      <c r="Q311" s="5">
        <f t="shared" si="11"/>
        <v>0.1132075471698113</v>
      </c>
    </row>
    <row r="312" spans="3:17" x14ac:dyDescent="0.25">
      <c r="C312">
        <f t="shared" si="12"/>
        <v>1</v>
      </c>
      <c r="D312" s="5">
        <f t="shared" si="1"/>
        <v>1.0460842521911326E-2</v>
      </c>
      <c r="E312" s="5">
        <f t="shared" si="2"/>
        <v>0.26436781609195409</v>
      </c>
      <c r="F312" s="5">
        <f t="shared" si="3"/>
        <v>0.14611005692599618</v>
      </c>
      <c r="H312">
        <f t="shared" si="13"/>
        <v>1</v>
      </c>
      <c r="I312" s="5">
        <f t="shared" si="5"/>
        <v>2.0156774916013549E-2</v>
      </c>
      <c r="J312" s="5">
        <f t="shared" si="6"/>
        <v>0.16858237547892732</v>
      </c>
      <c r="K312" s="5">
        <f t="shared" si="7"/>
        <v>0.1557223264540338</v>
      </c>
      <c r="N312">
        <f t="shared" si="14"/>
        <v>1</v>
      </c>
      <c r="O312" s="5">
        <f t="shared" si="9"/>
        <v>2.3164945576332766E-2</v>
      </c>
      <c r="P312" s="5">
        <f t="shared" si="10"/>
        <v>0.16054158607350097</v>
      </c>
      <c r="Q312" s="5">
        <f t="shared" si="11"/>
        <v>0.15887850467289721</v>
      </c>
    </row>
    <row r="313" spans="3:17" x14ac:dyDescent="0.25">
      <c r="C313">
        <f t="shared" si="12"/>
        <v>2</v>
      </c>
      <c r="D313" s="5">
        <f t="shared" si="1"/>
        <v>5.4576708207993083E-2</v>
      </c>
      <c r="E313" s="5">
        <f t="shared" si="2"/>
        <v>0.27201565557729934</v>
      </c>
      <c r="F313" s="5">
        <f t="shared" si="3"/>
        <v>0.16349809885931565</v>
      </c>
      <c r="H313">
        <f t="shared" si="13"/>
        <v>2</v>
      </c>
      <c r="I313" s="5">
        <f t="shared" si="5"/>
        <v>6.2633148700468641E-2</v>
      </c>
      <c r="J313" s="5">
        <f t="shared" si="6"/>
        <v>0.20857699805068222</v>
      </c>
      <c r="K313" s="5">
        <f t="shared" si="7"/>
        <v>0.17602996254681658</v>
      </c>
      <c r="N313">
        <f t="shared" si="14"/>
        <v>2</v>
      </c>
      <c r="O313" s="5">
        <f t="shared" si="9"/>
        <v>6.5420560747663545E-2</v>
      </c>
      <c r="P313" s="5">
        <f t="shared" si="10"/>
        <v>0.18546845124282973</v>
      </c>
      <c r="Q313" s="5">
        <f t="shared" si="11"/>
        <v>0.17910447761194037</v>
      </c>
    </row>
    <row r="314" spans="3:17" x14ac:dyDescent="0.25">
      <c r="C314">
        <f t="shared" si="12"/>
        <v>3</v>
      </c>
      <c r="D314" s="5">
        <f t="shared" si="1"/>
        <v>4.1477866852561752E-2</v>
      </c>
      <c r="E314" s="5">
        <f t="shared" si="2"/>
        <v>0.27167630057803466</v>
      </c>
      <c r="F314" s="5">
        <f t="shared" si="3"/>
        <v>0.14893617021276606</v>
      </c>
      <c r="H314">
        <f t="shared" si="13"/>
        <v>3</v>
      </c>
      <c r="I314" s="5">
        <f t="shared" si="5"/>
        <v>5.1724137931034343E-2</v>
      </c>
      <c r="J314" s="5">
        <f t="shared" si="6"/>
        <v>0.27819548872180444</v>
      </c>
      <c r="K314" s="5">
        <f t="shared" si="7"/>
        <v>0.17293233082706769</v>
      </c>
      <c r="N314">
        <f t="shared" si="14"/>
        <v>3</v>
      </c>
      <c r="O314" s="5">
        <f t="shared" si="9"/>
        <v>5.465795806118931E-2</v>
      </c>
      <c r="P314" s="5">
        <f t="shared" si="10"/>
        <v>0.24314442413162698</v>
      </c>
      <c r="Q314" s="5">
        <f t="shared" si="11"/>
        <v>0.17910447761194037</v>
      </c>
    </row>
    <row r="315" spans="3:17" x14ac:dyDescent="0.25">
      <c r="C315">
        <f t="shared" si="12"/>
        <v>4</v>
      </c>
      <c r="D315" s="5">
        <f t="shared" si="1"/>
        <v>3.9314218149571326E-2</v>
      </c>
      <c r="E315" s="5">
        <f t="shared" si="2"/>
        <v>0.19089316987740804</v>
      </c>
      <c r="F315" s="5">
        <f t="shared" si="3"/>
        <v>0.15151515151515149</v>
      </c>
      <c r="H315">
        <f t="shared" si="13"/>
        <v>4</v>
      </c>
      <c r="I315" s="5">
        <f t="shared" si="5"/>
        <v>5.4957836580401202E-2</v>
      </c>
      <c r="J315" s="5">
        <f t="shared" si="6"/>
        <v>0.2762237762237762</v>
      </c>
      <c r="K315" s="5">
        <f t="shared" si="7"/>
        <v>0.19999999999999993</v>
      </c>
      <c r="N315">
        <f t="shared" si="14"/>
        <v>4</v>
      </c>
      <c r="O315" s="5">
        <f t="shared" si="9"/>
        <v>6.0422087308470582E-2</v>
      </c>
      <c r="P315" s="5">
        <f t="shared" si="10"/>
        <v>0.2307692307692307</v>
      </c>
      <c r="Q315" s="5">
        <f t="shared" si="11"/>
        <v>0.21348314606741572</v>
      </c>
    </row>
    <row r="316" spans="3:17" x14ac:dyDescent="0.25">
      <c r="C316">
        <f t="shared" si="12"/>
        <v>5</v>
      </c>
      <c r="D316" s="5">
        <f t="shared" si="1"/>
        <v>6.681597611048895E-2</v>
      </c>
      <c r="E316" s="5">
        <f t="shared" si="2"/>
        <v>0.12426035502958574</v>
      </c>
      <c r="F316" s="5">
        <f t="shared" si="3"/>
        <v>0.23076923076923073</v>
      </c>
      <c r="H316">
        <f t="shared" si="13"/>
        <v>5</v>
      </c>
      <c r="I316" s="5">
        <f t="shared" si="5"/>
        <v>5.0031665611146268E-2</v>
      </c>
      <c r="J316" s="5">
        <f t="shared" si="6"/>
        <v>0.19496855345911945</v>
      </c>
      <c r="K316" s="5">
        <f t="shared" si="7"/>
        <v>0.18489065606361821</v>
      </c>
      <c r="N316">
        <f t="shared" si="14"/>
        <v>5</v>
      </c>
      <c r="O316" s="5">
        <f t="shared" si="9"/>
        <v>6.2382797849731282E-2</v>
      </c>
      <c r="P316" s="5">
        <f t="shared" si="10"/>
        <v>0.15323854660347558</v>
      </c>
      <c r="Q316" s="5">
        <f t="shared" si="11"/>
        <v>0.22348484848484845</v>
      </c>
    </row>
    <row r="317" spans="3:17" x14ac:dyDescent="0.25">
      <c r="C317">
        <f t="shared" si="12"/>
        <v>6</v>
      </c>
      <c r="D317" s="5">
        <f t="shared" si="1"/>
        <v>5.6293207505761014E-2</v>
      </c>
      <c r="E317" s="5">
        <f t="shared" si="2"/>
        <v>0.15189873417721514</v>
      </c>
      <c r="F317" s="5">
        <f t="shared" si="3"/>
        <v>0.2452830188679245</v>
      </c>
      <c r="H317">
        <f t="shared" si="13"/>
        <v>6</v>
      </c>
      <c r="I317" s="5">
        <f t="shared" si="5"/>
        <v>5.4529463500439732E-2</v>
      </c>
      <c r="J317" s="5">
        <f t="shared" si="6"/>
        <v>7.4380165289256159E-2</v>
      </c>
      <c r="K317" s="5">
        <f t="shared" si="7"/>
        <v>0.23809523809523805</v>
      </c>
      <c r="N317">
        <f t="shared" si="14"/>
        <v>6</v>
      </c>
      <c r="O317" s="5">
        <f t="shared" si="9"/>
        <v>4.7091412742382252E-2</v>
      </c>
      <c r="P317" s="5">
        <f t="shared" si="10"/>
        <v>0.11111111111111115</v>
      </c>
      <c r="Q317" s="5">
        <f t="shared" si="11"/>
        <v>0.21259842519685035</v>
      </c>
    </row>
    <row r="318" spans="3:17" x14ac:dyDescent="0.25">
      <c r="C318">
        <f t="shared" si="12"/>
        <v>7</v>
      </c>
      <c r="D318" s="5">
        <f t="shared" si="1"/>
        <v>4.8091224590976686E-2</v>
      </c>
      <c r="E318" s="5">
        <f t="shared" si="2"/>
        <v>0.17449664429530209</v>
      </c>
      <c r="F318" s="5">
        <f t="shared" si="3"/>
        <v>0.2445328031809145</v>
      </c>
      <c r="H318">
        <f t="shared" si="13"/>
        <v>7</v>
      </c>
      <c r="I318" s="5">
        <f t="shared" si="5"/>
        <v>5.558288243974422E-2</v>
      </c>
      <c r="J318" s="5">
        <f t="shared" si="6"/>
        <v>5.6511056511056555E-2</v>
      </c>
      <c r="K318" s="5">
        <f t="shared" si="7"/>
        <v>0.26640926640926643</v>
      </c>
      <c r="N318">
        <f t="shared" si="14"/>
        <v>7</v>
      </c>
      <c r="O318" s="5">
        <f t="shared" si="9"/>
        <v>6.1216506943086245E-2</v>
      </c>
      <c r="P318" s="5">
        <f t="shared" si="10"/>
        <v>0.11695137976346927</v>
      </c>
      <c r="Q318" s="5">
        <f t="shared" si="11"/>
        <v>0.28301886792452829</v>
      </c>
    </row>
    <row r="319" spans="3:17" x14ac:dyDescent="0.25">
      <c r="C319">
        <f t="shared" si="12"/>
        <v>8</v>
      </c>
      <c r="D319" s="5">
        <f t="shared" si="1"/>
        <v>3.9848539487919235E-2</v>
      </c>
      <c r="E319" s="5">
        <f t="shared" si="2"/>
        <v>0.1534603811434303</v>
      </c>
      <c r="F319" s="5">
        <f t="shared" si="3"/>
        <v>0.22680412371134026</v>
      </c>
      <c r="H319">
        <f t="shared" si="13"/>
        <v>8</v>
      </c>
      <c r="I319" s="5">
        <f t="shared" si="5"/>
        <v>4.8427448177269503E-2</v>
      </c>
      <c r="J319" s="5">
        <f t="shared" si="6"/>
        <v>9.0100111234705224E-2</v>
      </c>
      <c r="K319" s="5">
        <f t="shared" si="7"/>
        <v>0.25447316103379719</v>
      </c>
      <c r="N319">
        <f t="shared" si="14"/>
        <v>8</v>
      </c>
      <c r="O319" s="5">
        <f t="shared" si="9"/>
        <v>5.4090061284305851E-2</v>
      </c>
      <c r="P319" s="5">
        <f t="shared" si="10"/>
        <v>8.8516746411483382E-2</v>
      </c>
      <c r="Q319" s="5">
        <f t="shared" si="11"/>
        <v>0.27184466019417475</v>
      </c>
    </row>
    <row r="320" spans="3:17" x14ac:dyDescent="0.25">
      <c r="C320">
        <f t="shared" si="12"/>
        <v>9</v>
      </c>
      <c r="D320" s="5">
        <f t="shared" si="1"/>
        <v>4.8957988752894588E-2</v>
      </c>
      <c r="E320" s="5">
        <f t="shared" si="2"/>
        <v>0.1402714932126696</v>
      </c>
      <c r="F320" s="5">
        <f t="shared" si="3"/>
        <v>0.23076923076923084</v>
      </c>
      <c r="H320">
        <f t="shared" si="13"/>
        <v>9</v>
      </c>
      <c r="I320" s="5">
        <f t="shared" si="5"/>
        <v>5.891980360065472E-2</v>
      </c>
      <c r="J320" s="5">
        <f t="shared" si="6"/>
        <v>8.1900910010111225E-2</v>
      </c>
      <c r="K320" s="5">
        <f t="shared" si="7"/>
        <v>0.30612244897959179</v>
      </c>
      <c r="N320">
        <f t="shared" si="14"/>
        <v>9</v>
      </c>
      <c r="O320" s="5">
        <f t="shared" si="9"/>
        <v>6.519265160136567E-2</v>
      </c>
      <c r="P320" s="5">
        <f t="shared" si="10"/>
        <v>0.1111111111111111</v>
      </c>
      <c r="Q320" s="5">
        <f t="shared" si="11"/>
        <v>0.32539682539682535</v>
      </c>
    </row>
    <row r="321" spans="3:17" x14ac:dyDescent="0.25">
      <c r="C321">
        <f t="shared" si="12"/>
        <v>10</v>
      </c>
      <c r="D321" s="5">
        <f t="shared" si="1"/>
        <v>5.111723293541473E-2</v>
      </c>
      <c r="E321" s="5">
        <f t="shared" si="2"/>
        <v>0.11384111384111374</v>
      </c>
      <c r="F321" s="5">
        <f t="shared" si="3"/>
        <v>0.27293064876957485</v>
      </c>
      <c r="H321">
        <f t="shared" si="13"/>
        <v>10</v>
      </c>
      <c r="I321" s="5">
        <f t="shared" si="5"/>
        <v>6.2665356413939055E-2</v>
      </c>
      <c r="J321" s="5">
        <f t="shared" si="6"/>
        <v>8.4558823529411659E-2</v>
      </c>
      <c r="K321" s="5">
        <f t="shared" si="7"/>
        <v>0.21052631578947373</v>
      </c>
      <c r="N321">
        <f t="shared" si="14"/>
        <v>10</v>
      </c>
      <c r="O321" s="5">
        <f t="shared" si="9"/>
        <v>6.9627851140456179E-2</v>
      </c>
      <c r="P321" s="5">
        <f t="shared" si="10"/>
        <v>0.1420059582919562</v>
      </c>
      <c r="Q321" s="5">
        <f t="shared" si="11"/>
        <v>0.23780487804878053</v>
      </c>
    </row>
    <row r="322" spans="3:17" x14ac:dyDescent="0.25">
      <c r="C322">
        <f t="shared" si="12"/>
        <v>11</v>
      </c>
      <c r="D322" s="5">
        <f t="shared" si="1"/>
        <v>5.7479471617279551E-2</v>
      </c>
      <c r="E322" s="5">
        <f t="shared" si="2"/>
        <v>0.11028867505551444</v>
      </c>
      <c r="F322" s="5">
        <f t="shared" si="3"/>
        <v>0.28909952606635075</v>
      </c>
      <c r="H322">
        <f t="shared" si="13"/>
        <v>11</v>
      </c>
      <c r="I322" s="5">
        <f t="shared" si="5"/>
        <v>7.0880551840641945E-2</v>
      </c>
      <c r="J322" s="5">
        <f t="shared" si="6"/>
        <v>9.4402673350041835E-2</v>
      </c>
      <c r="K322" s="5">
        <f t="shared" si="7"/>
        <v>0.23245614035087714</v>
      </c>
      <c r="N322">
        <f t="shared" si="14"/>
        <v>11</v>
      </c>
      <c r="O322" s="5">
        <f t="shared" si="9"/>
        <v>7.8791262474701654E-2</v>
      </c>
      <c r="P322" s="5">
        <f t="shared" si="10"/>
        <v>0.13122171945701355</v>
      </c>
      <c r="Q322" s="5">
        <f t="shared" si="11"/>
        <v>0.26470588235294118</v>
      </c>
    </row>
    <row r="323" spans="3:17" x14ac:dyDescent="0.25">
      <c r="C323">
        <f t="shared" si="12"/>
        <v>12</v>
      </c>
      <c r="D323" s="5">
        <f t="shared" si="1"/>
        <v>5.9455828014779999E-2</v>
      </c>
      <c r="E323" s="5">
        <f t="shared" si="2"/>
        <v>0.14896459585838337</v>
      </c>
      <c r="F323" s="5">
        <f t="shared" si="3"/>
        <v>0.33333333333333337</v>
      </c>
      <c r="H323">
        <f t="shared" si="13"/>
        <v>12</v>
      </c>
      <c r="I323" s="5">
        <f t="shared" si="5"/>
        <v>7.5113959172887712E-2</v>
      </c>
      <c r="J323" s="5">
        <f t="shared" si="6"/>
        <v>0.11866969009826155</v>
      </c>
      <c r="K323" s="5">
        <f t="shared" si="7"/>
        <v>0.21113689095127602</v>
      </c>
      <c r="N323">
        <f t="shared" si="14"/>
        <v>12</v>
      </c>
      <c r="O323" s="5">
        <f t="shared" si="9"/>
        <v>8.4249084249084269E-2</v>
      </c>
      <c r="P323" s="5">
        <f t="shared" si="10"/>
        <v>0.20590648072190321</v>
      </c>
      <c r="Q323" s="5">
        <f t="shared" si="11"/>
        <v>0.25274725274725268</v>
      </c>
    </row>
    <row r="324" spans="3:17" x14ac:dyDescent="0.25">
      <c r="C324">
        <f t="shared" si="12"/>
        <v>13</v>
      </c>
      <c r="D324" s="5">
        <f t="shared" si="1"/>
        <v>5.7447760240270859E-2</v>
      </c>
      <c r="E324" s="5">
        <f t="shared" si="2"/>
        <v>0.2612612612612612</v>
      </c>
      <c r="F324" s="5">
        <f t="shared" si="3"/>
        <v>0.26253687315634211</v>
      </c>
      <c r="H324">
        <f t="shared" si="13"/>
        <v>13</v>
      </c>
      <c r="I324" s="5">
        <f t="shared" si="5"/>
        <v>7.5288972196188728E-2</v>
      </c>
      <c r="J324" s="5">
        <f t="shared" si="6"/>
        <v>0.12627986348122874</v>
      </c>
      <c r="K324" s="5">
        <f t="shared" si="7"/>
        <v>0.2443324937027708</v>
      </c>
      <c r="N324">
        <f t="shared" si="14"/>
        <v>13</v>
      </c>
      <c r="O324" s="5">
        <f t="shared" si="9"/>
        <v>8.6306951475490765E-2</v>
      </c>
      <c r="P324" s="5">
        <f t="shared" si="10"/>
        <v>0.22676579925650561</v>
      </c>
      <c r="Q324" s="5">
        <f t="shared" si="11"/>
        <v>0.29906542056074764</v>
      </c>
    </row>
    <row r="325" spans="3:17" x14ac:dyDescent="0.25">
      <c r="C325">
        <f t="shared" si="12"/>
        <v>14</v>
      </c>
      <c r="D325" s="5">
        <f t="shared" si="1"/>
        <v>6.5133157020726917E-2</v>
      </c>
      <c r="E325" s="5" t="str">
        <f t="shared" si="2"/>
        <v>-</v>
      </c>
      <c r="F325" s="5">
        <f t="shared" si="3"/>
        <v>7.0631970260223012E-2</v>
      </c>
      <c r="H325">
        <f t="shared" si="13"/>
        <v>14</v>
      </c>
      <c r="I325" s="5">
        <f t="shared" si="5"/>
        <v>9.1398170841054477E-2</v>
      </c>
      <c r="J325" s="5">
        <f t="shared" si="6"/>
        <v>5.5862492326580797E-2</v>
      </c>
      <c r="K325" s="5">
        <f t="shared" si="7"/>
        <v>0.26253687315634211</v>
      </c>
      <c r="N325">
        <f t="shared" si="14"/>
        <v>14</v>
      </c>
      <c r="O325" s="5">
        <f t="shared" si="9"/>
        <v>0.10740501497445537</v>
      </c>
      <c r="P325" s="5">
        <f t="shared" si="10"/>
        <v>0.15436241610738255</v>
      </c>
      <c r="Q325" s="5">
        <f t="shared" si="11"/>
        <v>0.35732647814910018</v>
      </c>
    </row>
    <row r="326" spans="3:17" x14ac:dyDescent="0.25">
      <c r="C326">
        <f t="shared" si="12"/>
        <v>15</v>
      </c>
      <c r="D326" s="5">
        <f t="shared" si="1"/>
        <v>5.8571173210987211E-2</v>
      </c>
      <c r="E326" s="5" t="str">
        <f t="shared" si="2"/>
        <v>-</v>
      </c>
      <c r="F326" s="5">
        <f t="shared" si="3"/>
        <v>0.23152709359605927</v>
      </c>
      <c r="H326">
        <f t="shared" si="13"/>
        <v>15</v>
      </c>
      <c r="I326" s="5">
        <f t="shared" si="5"/>
        <v>7.7065066912782615E-2</v>
      </c>
      <c r="J326" s="5">
        <f t="shared" si="6"/>
        <v>1.4729950900163635E-2</v>
      </c>
      <c r="K326" s="5">
        <f t="shared" si="7"/>
        <v>7.7490774907748999E-2</v>
      </c>
      <c r="N326">
        <f t="shared" si="14"/>
        <v>15</v>
      </c>
      <c r="O326" s="5">
        <f t="shared" si="9"/>
        <v>9.4920239846136414E-2</v>
      </c>
      <c r="P326" s="5">
        <f t="shared" si="10"/>
        <v>0.12318840579710147</v>
      </c>
      <c r="Q326" s="5">
        <f t="shared" si="11"/>
        <v>0.29687500000000006</v>
      </c>
    </row>
    <row r="327" spans="3:17" x14ac:dyDescent="0.25">
      <c r="C327">
        <f t="shared" si="12"/>
        <v>16</v>
      </c>
      <c r="D327" s="5">
        <f t="shared" si="1"/>
        <v>9.8208052129392626E-2</v>
      </c>
      <c r="E327" s="5" t="str">
        <f t="shared" si="2"/>
        <v>-</v>
      </c>
      <c r="F327" s="5">
        <f t="shared" si="3"/>
        <v>1.2727272727272727</v>
      </c>
      <c r="H327">
        <f t="shared" si="13"/>
        <v>16</v>
      </c>
      <c r="I327" s="5">
        <f t="shared" si="5"/>
        <v>5.8981683750630239E-2</v>
      </c>
      <c r="J327" s="5" t="str">
        <f t="shared" si="6"/>
        <v>-</v>
      </c>
      <c r="K327" s="5">
        <f t="shared" si="7"/>
        <v>1.0731707317073171</v>
      </c>
      <c r="N327">
        <f t="shared" si="14"/>
        <v>16</v>
      </c>
      <c r="O327" s="5">
        <f t="shared" si="9"/>
        <v>7.88968693459072E-2</v>
      </c>
      <c r="P327" s="5" t="str">
        <f t="shared" si="10"/>
        <v>-</v>
      </c>
      <c r="Q327" s="5">
        <f t="shared" si="11"/>
        <v>0.20318725099601595</v>
      </c>
    </row>
    <row r="328" spans="3:17" x14ac:dyDescent="0.25">
      <c r="C328">
        <f t="shared" si="12"/>
        <v>17</v>
      </c>
      <c r="D328" s="5">
        <f t="shared" si="1"/>
        <v>0.20653042584769957</v>
      </c>
      <c r="E328" s="5" t="str">
        <f t="shared" si="2"/>
        <v>-</v>
      </c>
      <c r="F328" s="5">
        <f t="shared" si="3"/>
        <v>4</v>
      </c>
      <c r="H328">
        <f t="shared" si="13"/>
        <v>17</v>
      </c>
      <c r="I328" s="5">
        <f t="shared" si="5"/>
        <v>7.9603352873500247E-2</v>
      </c>
      <c r="J328" s="5" t="str">
        <f t="shared" si="6"/>
        <v>-</v>
      </c>
      <c r="K328" s="5">
        <f t="shared" si="7"/>
        <v>2.9383561643835616</v>
      </c>
      <c r="N328">
        <f t="shared" si="14"/>
        <v>17</v>
      </c>
      <c r="O328" s="5">
        <f t="shared" si="9"/>
        <v>0.17174308004702357</v>
      </c>
      <c r="P328" s="5" t="str">
        <f t="shared" si="10"/>
        <v>-</v>
      </c>
      <c r="Q328" s="5">
        <f t="shared" si="11"/>
        <v>0.87165775401069523</v>
      </c>
    </row>
    <row r="329" spans="3:17" x14ac:dyDescent="0.25">
      <c r="C329">
        <f t="shared" si="12"/>
        <v>18</v>
      </c>
      <c r="D329" s="5">
        <f t="shared" si="1"/>
        <v>0.29621431409274079</v>
      </c>
      <c r="E329" s="5" t="str">
        <f t="shared" si="2"/>
        <v>-</v>
      </c>
      <c r="F329" s="5">
        <f t="shared" si="3"/>
        <v>10.666666666666666</v>
      </c>
      <c r="H329">
        <f t="shared" si="13"/>
        <v>18</v>
      </c>
      <c r="I329" s="5">
        <f t="shared" si="5"/>
        <v>0.16500565641329526</v>
      </c>
      <c r="J329" s="5" t="str">
        <f t="shared" si="6"/>
        <v>-</v>
      </c>
      <c r="K329" s="5">
        <f t="shared" si="7"/>
        <v>9.2941176470588225</v>
      </c>
      <c r="N329">
        <f t="shared" si="14"/>
        <v>18</v>
      </c>
      <c r="O329" s="5">
        <f t="shared" si="9"/>
        <v>0.22960012577957128</v>
      </c>
      <c r="P329" s="5" t="str">
        <f t="shared" si="10"/>
        <v>-</v>
      </c>
      <c r="Q329" s="5">
        <f t="shared" si="11"/>
        <v>3.7348484848484844</v>
      </c>
    </row>
    <row r="330" spans="3:17" x14ac:dyDescent="0.25">
      <c r="C330" t="s">
        <v>47</v>
      </c>
      <c r="D330" s="10">
        <f>AVERAGE(D293:D329)</f>
        <v>7.1518795873346114E-2</v>
      </c>
      <c r="E330" s="10">
        <f>AVERAGE(E293:E329)</f>
        <v>0.1765124413312813</v>
      </c>
      <c r="F330" s="10">
        <f>AVERAGE(F293:F329)</f>
        <v>0.74244230113166798</v>
      </c>
      <c r="H330" t="s">
        <v>47</v>
      </c>
      <c r="I330" s="10">
        <f>AVERAGE(I293:I329)</f>
        <v>0.10854856632708258</v>
      </c>
      <c r="J330" s="10">
        <f>AVERAGE(J293:J329)</f>
        <v>0.11808324325854158</v>
      </c>
      <c r="K330" s="10">
        <f>AVERAGE(K293:K329)</f>
        <v>0.64617666315967304</v>
      </c>
      <c r="N330" t="s">
        <v>47</v>
      </c>
      <c r="O330" s="10">
        <f>AVERAGE(O293:O329)</f>
        <v>0.12022960420766078</v>
      </c>
      <c r="P330" s="10">
        <f>AVERAGE(P293:P329)</f>
        <v>0.13994502188578609</v>
      </c>
      <c r="Q330" s="10">
        <f>AVERAGE(Q293:Q329)</f>
        <v>0.35014146531828549</v>
      </c>
    </row>
    <row r="333" spans="3:17" x14ac:dyDescent="0.25">
      <c r="C333" s="6" t="s">
        <v>44</v>
      </c>
      <c r="D333" s="6"/>
      <c r="E333" s="6"/>
      <c r="F333" s="6"/>
      <c r="H333" s="6" t="s">
        <v>45</v>
      </c>
      <c r="I333" s="6"/>
      <c r="J333" s="6"/>
      <c r="K333" s="6"/>
      <c r="N333" s="6" t="s">
        <v>46</v>
      </c>
      <c r="O333" s="6"/>
      <c r="P333" s="6"/>
      <c r="Q333" s="6"/>
    </row>
    <row r="334" spans="3:17" x14ac:dyDescent="0.25">
      <c r="C334" s="1" t="s">
        <v>40</v>
      </c>
      <c r="D334" s="4" t="s">
        <v>38</v>
      </c>
      <c r="E334" s="4" t="s">
        <v>37</v>
      </c>
      <c r="F334" s="4" t="s">
        <v>39</v>
      </c>
      <c r="H334" s="1" t="s">
        <v>40</v>
      </c>
      <c r="I334" s="4" t="s">
        <v>38</v>
      </c>
      <c r="J334" s="4" t="s">
        <v>37</v>
      </c>
      <c r="K334" s="4" t="s">
        <v>39</v>
      </c>
      <c r="N334" s="1" t="s">
        <v>40</v>
      </c>
      <c r="O334" s="4" t="s">
        <v>38</v>
      </c>
      <c r="P334" s="4" t="s">
        <v>37</v>
      </c>
      <c r="Q334" s="4" t="s">
        <v>39</v>
      </c>
    </row>
    <row r="335" spans="3:17" x14ac:dyDescent="0.25">
      <c r="C335">
        <f>A6</f>
        <v>-18</v>
      </c>
      <c r="D335" s="5" t="str">
        <f>IF(B6=0,"-",IF(B118=0,"-",ABS((B6-B118)/B118)))</f>
        <v>-</v>
      </c>
      <c r="E335" s="5" t="str">
        <f>IF(C6=0,"-",IF(C118=0,"-",ABS((C6-C118)/C118)))</f>
        <v>-</v>
      </c>
      <c r="F335" s="5" t="str">
        <f>IF(D6=0,"-",IF(D118=0,"-",ABS((D6-D118)/D118)))</f>
        <v>-</v>
      </c>
      <c r="H335">
        <f>F6</f>
        <v>-18</v>
      </c>
      <c r="I335" s="5" t="str">
        <f>IF(G6=0,"-",IF(I118=0,"-",ABS((G6-I118)/I118)))</f>
        <v>-</v>
      </c>
      <c r="J335" s="5" t="str">
        <f>IF(H6=0,"-",IF(J118=0,"-",ABS((H6-J118)/J118)))</f>
        <v>-</v>
      </c>
      <c r="K335" s="5" t="str">
        <f>IF(I6=0,"-",IF(K118=0,"-",ABS((I6-K118)/K118)))</f>
        <v>-</v>
      </c>
      <c r="N335">
        <f>L6</f>
        <v>-18</v>
      </c>
      <c r="O335" s="5" t="str">
        <f>IF(M6=0,"-",IF(P117=0,"-",ABS((M6-P117)/P117)))</f>
        <v>-</v>
      </c>
      <c r="P335" s="5" t="str">
        <f>IF(N6=0,"-",ABS((N6-Q117)/Q117))</f>
        <v>-</v>
      </c>
      <c r="Q335" s="5" t="str">
        <f t="shared" ref="Q335:Q371" si="15">IF(O6=0,"-",ABS((O6-S60)/S60))</f>
        <v>-</v>
      </c>
    </row>
    <row r="336" spans="3:17" x14ac:dyDescent="0.25">
      <c r="C336">
        <f t="shared" ref="C336:C371" si="16">A7</f>
        <v>-17</v>
      </c>
      <c r="D336" s="5" t="str">
        <f t="shared" ref="D336:D371" si="17">IF(B7=0,"-",IF(B119=0,"-",ABS((B7-B119)/B119)))</f>
        <v>-</v>
      </c>
      <c r="E336" s="5" t="str">
        <f t="shared" ref="E336:E371" si="18">IF(C7=0,"-",IF(C119=0,"-",ABS((C7-C119)/C119)))</f>
        <v>-</v>
      </c>
      <c r="F336" s="5" t="str">
        <f t="shared" ref="F336:F371" si="19">IF(D7=0,"-",IF(D119=0,"-",ABS((D7-D119)/D119)))</f>
        <v>-</v>
      </c>
      <c r="H336">
        <f t="shared" ref="H336:H371" si="20">F7</f>
        <v>-17</v>
      </c>
      <c r="I336" s="5" t="str">
        <f t="shared" ref="I336:I371" si="21">IF(G7=0,"-",IF(I119=0,"-",ABS((G7-I119)/I119)))</f>
        <v>-</v>
      </c>
      <c r="J336" s="5" t="str">
        <f t="shared" ref="J336:J371" si="22">IF(H7=0,"-",IF(J119=0,"-",ABS((H7-J119)/J119)))</f>
        <v>-</v>
      </c>
      <c r="K336" s="5" t="str">
        <f t="shared" ref="K336:K371" si="23">IF(I7=0,"-",IF(K119=0,"-",ABS((I7-K119)/K119)))</f>
        <v>-</v>
      </c>
      <c r="N336">
        <f t="shared" ref="N336:N371" si="24">L7</f>
        <v>-17</v>
      </c>
      <c r="O336" s="5" t="str">
        <f t="shared" ref="O336:O371" si="25">IF(M7=0,"-",IF(P118=0,"-",ABS((M7-P118)/P118)))</f>
        <v>-</v>
      </c>
      <c r="P336" s="5" t="str">
        <f t="shared" ref="P336:P371" si="26">IF(N7=0,"-",ABS((N7-Q118)/Q118))</f>
        <v>-</v>
      </c>
      <c r="Q336" s="5" t="str">
        <f t="shared" si="15"/>
        <v>-</v>
      </c>
    </row>
    <row r="337" spans="3:17" x14ac:dyDescent="0.25">
      <c r="C337">
        <f t="shared" si="16"/>
        <v>-16</v>
      </c>
      <c r="D337" s="5" t="str">
        <f t="shared" si="17"/>
        <v>-</v>
      </c>
      <c r="E337" s="5" t="str">
        <f t="shared" si="18"/>
        <v>-</v>
      </c>
      <c r="F337" s="5" t="str">
        <f t="shared" si="19"/>
        <v>-</v>
      </c>
      <c r="H337">
        <f t="shared" si="20"/>
        <v>-16</v>
      </c>
      <c r="I337" s="5" t="str">
        <f t="shared" si="21"/>
        <v>-</v>
      </c>
      <c r="J337" s="5" t="str">
        <f t="shared" si="22"/>
        <v>-</v>
      </c>
      <c r="K337" s="5" t="str">
        <f t="shared" si="23"/>
        <v>-</v>
      </c>
      <c r="N337">
        <f t="shared" si="24"/>
        <v>-16</v>
      </c>
      <c r="O337" s="5" t="str">
        <f t="shared" si="25"/>
        <v>-</v>
      </c>
      <c r="P337" s="5" t="str">
        <f t="shared" si="26"/>
        <v>-</v>
      </c>
      <c r="Q337" s="5" t="str">
        <f t="shared" si="15"/>
        <v>-</v>
      </c>
    </row>
    <row r="338" spans="3:17" x14ac:dyDescent="0.25">
      <c r="C338">
        <f t="shared" si="16"/>
        <v>-15</v>
      </c>
      <c r="D338" s="5" t="str">
        <f t="shared" si="17"/>
        <v>-</v>
      </c>
      <c r="E338" s="5" t="str">
        <f t="shared" si="18"/>
        <v>-</v>
      </c>
      <c r="F338" s="5" t="str">
        <f t="shared" si="19"/>
        <v>-</v>
      </c>
      <c r="H338">
        <f t="shared" si="20"/>
        <v>-15</v>
      </c>
      <c r="I338" s="5" t="str">
        <f t="shared" si="21"/>
        <v>-</v>
      </c>
      <c r="J338" s="5" t="str">
        <f t="shared" si="22"/>
        <v>-</v>
      </c>
      <c r="K338" s="5" t="str">
        <f t="shared" si="23"/>
        <v>-</v>
      </c>
      <c r="N338">
        <f t="shared" si="24"/>
        <v>-15</v>
      </c>
      <c r="O338" s="5" t="str">
        <f t="shared" si="25"/>
        <v>-</v>
      </c>
      <c r="P338" s="5" t="str">
        <f t="shared" si="26"/>
        <v>-</v>
      </c>
      <c r="Q338" s="5" t="str">
        <f t="shared" si="15"/>
        <v>-</v>
      </c>
    </row>
    <row r="339" spans="3:17" x14ac:dyDescent="0.25">
      <c r="C339">
        <f t="shared" si="16"/>
        <v>-14</v>
      </c>
      <c r="D339" s="5" t="str">
        <f t="shared" si="17"/>
        <v>-</v>
      </c>
      <c r="E339" s="5" t="str">
        <f t="shared" si="18"/>
        <v>-</v>
      </c>
      <c r="F339" s="5" t="str">
        <f t="shared" si="19"/>
        <v>-</v>
      </c>
      <c r="H339">
        <f t="shared" si="20"/>
        <v>-14</v>
      </c>
      <c r="I339" s="5" t="str">
        <f t="shared" si="21"/>
        <v>-</v>
      </c>
      <c r="J339" s="5" t="str">
        <f t="shared" si="22"/>
        <v>-</v>
      </c>
      <c r="K339" s="5" t="str">
        <f t="shared" si="23"/>
        <v>-</v>
      </c>
      <c r="N339">
        <f t="shared" si="24"/>
        <v>-14</v>
      </c>
      <c r="O339" s="5" t="str">
        <f t="shared" si="25"/>
        <v>-</v>
      </c>
      <c r="P339" s="5" t="str">
        <f t="shared" si="26"/>
        <v>-</v>
      </c>
      <c r="Q339" s="5" t="str">
        <f t="shared" si="15"/>
        <v>-</v>
      </c>
    </row>
    <row r="340" spans="3:17" x14ac:dyDescent="0.25">
      <c r="C340">
        <f t="shared" si="16"/>
        <v>-13</v>
      </c>
      <c r="D340" s="5" t="str">
        <f t="shared" si="17"/>
        <v>-</v>
      </c>
      <c r="E340" s="5" t="str">
        <f t="shared" si="18"/>
        <v>-</v>
      </c>
      <c r="F340" s="5">
        <f t="shared" si="19"/>
        <v>0.48347107438016523</v>
      </c>
      <c r="H340">
        <f t="shared" si="20"/>
        <v>-13</v>
      </c>
      <c r="I340" s="5">
        <f t="shared" si="21"/>
        <v>0.13477537437603987</v>
      </c>
      <c r="J340" s="5">
        <f t="shared" si="22"/>
        <v>3.3634126333059941E-2</v>
      </c>
      <c r="K340" s="5" t="str">
        <f t="shared" si="23"/>
        <v>-</v>
      </c>
      <c r="N340">
        <f t="shared" si="24"/>
        <v>-13</v>
      </c>
      <c r="O340" s="5">
        <f t="shared" si="25"/>
        <v>0.13203138040393916</v>
      </c>
      <c r="P340" s="5" t="str">
        <f t="shared" si="26"/>
        <v>-</v>
      </c>
      <c r="Q340" s="5" t="str">
        <f t="shared" si="15"/>
        <v>-</v>
      </c>
    </row>
    <row r="341" spans="3:17" x14ac:dyDescent="0.25">
      <c r="C341">
        <f t="shared" si="16"/>
        <v>-12</v>
      </c>
      <c r="D341" s="5" t="str">
        <f t="shared" si="17"/>
        <v>-</v>
      </c>
      <c r="E341" s="5" t="str">
        <f t="shared" si="18"/>
        <v>-</v>
      </c>
      <c r="F341" s="5">
        <f t="shared" si="19"/>
        <v>0.36399217221135027</v>
      </c>
      <c r="H341">
        <f t="shared" si="20"/>
        <v>-12</v>
      </c>
      <c r="I341" s="5">
        <f t="shared" si="21"/>
        <v>9.7023864369298773E-2</v>
      </c>
      <c r="J341" s="5">
        <f t="shared" si="22"/>
        <v>0.10701107011070106</v>
      </c>
      <c r="K341" s="5" t="str">
        <f t="shared" si="23"/>
        <v>-</v>
      </c>
      <c r="N341">
        <f t="shared" si="24"/>
        <v>-12</v>
      </c>
      <c r="O341" s="5">
        <f t="shared" si="25"/>
        <v>0.10436848839334681</v>
      </c>
      <c r="P341" s="5" t="str">
        <f t="shared" si="26"/>
        <v>-</v>
      </c>
      <c r="Q341" s="5" t="str">
        <f t="shared" si="15"/>
        <v>-</v>
      </c>
    </row>
    <row r="342" spans="3:17" x14ac:dyDescent="0.25">
      <c r="C342">
        <f t="shared" si="16"/>
        <v>-11</v>
      </c>
      <c r="D342" s="5" t="str">
        <f t="shared" si="17"/>
        <v>-</v>
      </c>
      <c r="E342" s="5" t="str">
        <f t="shared" si="18"/>
        <v>-</v>
      </c>
      <c r="F342" s="5">
        <f t="shared" si="19"/>
        <v>0.26199261992619921</v>
      </c>
      <c r="H342">
        <f t="shared" si="20"/>
        <v>-11</v>
      </c>
      <c r="I342" s="5">
        <f t="shared" si="21"/>
        <v>7.9942751993457309E-2</v>
      </c>
      <c r="J342" s="5">
        <f t="shared" si="22"/>
        <v>8.9613034623217805E-2</v>
      </c>
      <c r="K342" s="5" t="str">
        <f t="shared" si="23"/>
        <v>-</v>
      </c>
      <c r="N342">
        <f t="shared" si="24"/>
        <v>-11</v>
      </c>
      <c r="O342" s="5">
        <f t="shared" si="25"/>
        <v>9.2101281145969882E-2</v>
      </c>
      <c r="P342" s="5" t="str">
        <f t="shared" si="26"/>
        <v>-</v>
      </c>
      <c r="Q342" s="5" t="str">
        <f t="shared" si="15"/>
        <v>-</v>
      </c>
    </row>
    <row r="343" spans="3:17" x14ac:dyDescent="0.25">
      <c r="C343">
        <f t="shared" si="16"/>
        <v>-10</v>
      </c>
      <c r="D343" s="5" t="str">
        <f t="shared" si="17"/>
        <v>-</v>
      </c>
      <c r="E343" s="5" t="str">
        <f t="shared" si="18"/>
        <v>-</v>
      </c>
      <c r="F343" s="5">
        <f t="shared" si="19"/>
        <v>0.19499105545617174</v>
      </c>
      <c r="H343">
        <f t="shared" si="20"/>
        <v>-10</v>
      </c>
      <c r="I343" s="5">
        <f t="shared" si="21"/>
        <v>8.6340794883508445E-2</v>
      </c>
      <c r="J343" s="5">
        <f t="shared" si="22"/>
        <v>7.2234762979683967E-2</v>
      </c>
      <c r="K343" s="5" t="str">
        <f t="shared" si="23"/>
        <v>-</v>
      </c>
      <c r="N343">
        <f t="shared" si="24"/>
        <v>-10</v>
      </c>
      <c r="O343" s="5">
        <f t="shared" si="25"/>
        <v>9.5227324134811067E-2</v>
      </c>
      <c r="P343" s="5" t="str">
        <f t="shared" si="26"/>
        <v>-</v>
      </c>
      <c r="Q343" s="5" t="str">
        <f t="shared" si="15"/>
        <v>-</v>
      </c>
    </row>
    <row r="344" spans="3:17" x14ac:dyDescent="0.25">
      <c r="C344">
        <f t="shared" si="16"/>
        <v>-9</v>
      </c>
      <c r="D344" s="5" t="str">
        <f t="shared" si="17"/>
        <v>-</v>
      </c>
      <c r="E344" s="5" t="str">
        <f t="shared" si="18"/>
        <v>-</v>
      </c>
      <c r="F344" s="5">
        <f t="shared" si="19"/>
        <v>0.15596330275229359</v>
      </c>
      <c r="H344">
        <f t="shared" si="20"/>
        <v>-9</v>
      </c>
      <c r="I344" s="5">
        <f t="shared" si="21"/>
        <v>8.8541666666666741E-2</v>
      </c>
      <c r="J344" s="5">
        <f t="shared" si="22"/>
        <v>8.6419753086419873E-2</v>
      </c>
      <c r="K344" s="5" t="str">
        <f t="shared" si="23"/>
        <v>-</v>
      </c>
      <c r="N344">
        <f t="shared" si="24"/>
        <v>-9</v>
      </c>
      <c r="O344" s="5">
        <f t="shared" si="25"/>
        <v>9.6191091026468709E-2</v>
      </c>
      <c r="P344" s="5" t="str">
        <f t="shared" si="26"/>
        <v>-</v>
      </c>
      <c r="Q344" s="5" t="str">
        <f t="shared" si="15"/>
        <v>-</v>
      </c>
    </row>
    <row r="345" spans="3:17" x14ac:dyDescent="0.25">
      <c r="C345">
        <f t="shared" si="16"/>
        <v>-8</v>
      </c>
      <c r="D345" s="5">
        <f t="shared" si="17"/>
        <v>7.4216941829964564E-2</v>
      </c>
      <c r="E345" s="5">
        <f t="shared" si="18"/>
        <v>0.17365269461077842</v>
      </c>
      <c r="F345" s="5">
        <f t="shared" si="19"/>
        <v>8.411214953271022E-2</v>
      </c>
      <c r="H345">
        <f t="shared" si="20"/>
        <v>-8</v>
      </c>
      <c r="I345" s="5">
        <f t="shared" si="21"/>
        <v>8.8284455249962077E-2</v>
      </c>
      <c r="J345" s="5">
        <f t="shared" si="22"/>
        <v>7.0950468540829995E-2</v>
      </c>
      <c r="K345" s="5">
        <f t="shared" si="23"/>
        <v>4.8543689320388259E-2</v>
      </c>
      <c r="N345">
        <f t="shared" si="24"/>
        <v>-8</v>
      </c>
      <c r="O345" s="5">
        <f t="shared" si="25"/>
        <v>9.5704596834966099E-2</v>
      </c>
      <c r="P345" s="5">
        <f t="shared" si="26"/>
        <v>9.6866096866096874E-2</v>
      </c>
      <c r="Q345" s="5">
        <f t="shared" si="15"/>
        <v>3.7328094302554009E-2</v>
      </c>
    </row>
    <row r="346" spans="3:17" x14ac:dyDescent="0.25">
      <c r="C346">
        <f t="shared" si="16"/>
        <v>-7</v>
      </c>
      <c r="D346" s="5">
        <f t="shared" si="17"/>
        <v>7.2184078678790203E-2</v>
      </c>
      <c r="E346" s="5">
        <f t="shared" si="18"/>
        <v>0.15734720416124839</v>
      </c>
      <c r="F346" s="5">
        <f t="shared" si="19"/>
        <v>9.2627599243856357E-2</v>
      </c>
      <c r="H346">
        <f t="shared" si="20"/>
        <v>-7</v>
      </c>
      <c r="I346" s="5">
        <f t="shared" si="21"/>
        <v>8.5421620632888176E-2</v>
      </c>
      <c r="J346" s="5">
        <f t="shared" si="22"/>
        <v>9.1954022988505732E-2</v>
      </c>
      <c r="K346" s="5">
        <f t="shared" si="23"/>
        <v>6.4327485380116914E-2</v>
      </c>
      <c r="N346">
        <f t="shared" si="24"/>
        <v>-7</v>
      </c>
      <c r="O346" s="5">
        <f t="shared" si="25"/>
        <v>9.321726514327168E-2</v>
      </c>
      <c r="P346" s="5">
        <f t="shared" si="26"/>
        <v>0.11111111111111106</v>
      </c>
      <c r="Q346" s="5">
        <f t="shared" si="15"/>
        <v>5.6974459724950882E-2</v>
      </c>
    </row>
    <row r="347" spans="3:17" x14ac:dyDescent="0.25">
      <c r="C347">
        <f t="shared" si="16"/>
        <v>-6</v>
      </c>
      <c r="D347" s="5">
        <f t="shared" si="17"/>
        <v>6.5857076132648296E-2</v>
      </c>
      <c r="E347" s="5">
        <f t="shared" si="18"/>
        <v>0.11731843575419001</v>
      </c>
      <c r="F347" s="5">
        <f t="shared" si="19"/>
        <v>0.10476190476190472</v>
      </c>
      <c r="H347">
        <f t="shared" si="20"/>
        <v>-6</v>
      </c>
      <c r="I347" s="5">
        <f t="shared" si="21"/>
        <v>7.9825166781688411E-2</v>
      </c>
      <c r="J347" s="5">
        <f t="shared" si="22"/>
        <v>9.7560975609756087E-2</v>
      </c>
      <c r="K347" s="5">
        <f t="shared" si="23"/>
        <v>8.3820662768031157E-2</v>
      </c>
      <c r="N347">
        <f t="shared" si="24"/>
        <v>-6</v>
      </c>
      <c r="O347" s="5">
        <f t="shared" si="25"/>
        <v>8.7591240875912385E-2</v>
      </c>
      <c r="P347" s="5">
        <f t="shared" si="26"/>
        <v>0.11999999999999997</v>
      </c>
      <c r="Q347" s="5">
        <f t="shared" si="15"/>
        <v>7.8431372549019551E-2</v>
      </c>
    </row>
    <row r="348" spans="3:17" x14ac:dyDescent="0.25">
      <c r="C348">
        <f t="shared" si="16"/>
        <v>-5</v>
      </c>
      <c r="D348" s="5">
        <f t="shared" si="17"/>
        <v>5.2731291443005979E-2</v>
      </c>
      <c r="E348" s="5">
        <f t="shared" si="18"/>
        <v>0.16071428571428562</v>
      </c>
      <c r="F348" s="5">
        <f t="shared" si="19"/>
        <v>0.12045889101338432</v>
      </c>
      <c r="H348">
        <f t="shared" si="20"/>
        <v>-5</v>
      </c>
      <c r="I348" s="5">
        <f t="shared" si="21"/>
        <v>6.8033550792171577E-2</v>
      </c>
      <c r="J348" s="5">
        <f t="shared" si="22"/>
        <v>0.11999999999999997</v>
      </c>
      <c r="K348" s="5">
        <f t="shared" si="23"/>
        <v>0.1033138401559454</v>
      </c>
      <c r="N348">
        <f t="shared" si="24"/>
        <v>-5</v>
      </c>
      <c r="O348" s="5">
        <f t="shared" si="25"/>
        <v>7.6638965835641837E-2</v>
      </c>
      <c r="P348" s="5">
        <f t="shared" si="26"/>
        <v>0.13712374581939793</v>
      </c>
      <c r="Q348" s="5">
        <f t="shared" si="15"/>
        <v>0.10156250000000006</v>
      </c>
    </row>
    <row r="349" spans="3:17" x14ac:dyDescent="0.25">
      <c r="C349">
        <f t="shared" si="16"/>
        <v>-4</v>
      </c>
      <c r="D349" s="5">
        <f t="shared" si="17"/>
        <v>2.3437499999999993E-2</v>
      </c>
      <c r="E349" s="5">
        <f t="shared" si="18"/>
        <v>0.17370892018779341</v>
      </c>
      <c r="F349" s="5">
        <f t="shared" si="19"/>
        <v>0.11708253358925146</v>
      </c>
      <c r="H349">
        <f t="shared" si="20"/>
        <v>-4</v>
      </c>
      <c r="I349" s="5">
        <f t="shared" si="21"/>
        <v>4.1686631528509752E-2</v>
      </c>
      <c r="J349" s="5">
        <f t="shared" si="22"/>
        <v>0.13333333333333325</v>
      </c>
      <c r="K349" s="5">
        <f t="shared" si="23"/>
        <v>0.10505836575875491</v>
      </c>
      <c r="N349">
        <f t="shared" si="24"/>
        <v>-4</v>
      </c>
      <c r="O349" s="5">
        <f t="shared" si="25"/>
        <v>5.2132701421800862E-2</v>
      </c>
      <c r="P349" s="5">
        <f t="shared" si="26"/>
        <v>0.10918544194107459</v>
      </c>
      <c r="Q349" s="5">
        <f t="shared" si="15"/>
        <v>0.10679611650485434</v>
      </c>
    </row>
    <row r="350" spans="3:17" x14ac:dyDescent="0.25">
      <c r="C350">
        <f t="shared" si="16"/>
        <v>-3</v>
      </c>
      <c r="D350" s="5">
        <f t="shared" si="17"/>
        <v>7.9913606911447124E-2</v>
      </c>
      <c r="E350" s="5">
        <f t="shared" si="18"/>
        <v>0.17263843648208474</v>
      </c>
      <c r="F350" s="5">
        <f t="shared" si="19"/>
        <v>0.11538461538461536</v>
      </c>
      <c r="H350">
        <f t="shared" si="20"/>
        <v>-3</v>
      </c>
      <c r="I350" s="5">
        <f t="shared" si="21"/>
        <v>5.0420168067226871E-2</v>
      </c>
      <c r="J350" s="5">
        <f t="shared" si="22"/>
        <v>0.15318416523235803</v>
      </c>
      <c r="K350" s="5">
        <f t="shared" si="23"/>
        <v>0.10852713178294575</v>
      </c>
      <c r="N350">
        <f t="shared" si="24"/>
        <v>-3</v>
      </c>
      <c r="O350" s="5">
        <f t="shared" si="25"/>
        <v>3.1991744066047531E-2</v>
      </c>
      <c r="P350" s="5">
        <f t="shared" si="26"/>
        <v>0.10320284697508893</v>
      </c>
      <c r="Q350" s="5">
        <f t="shared" si="15"/>
        <v>0.11196911196911197</v>
      </c>
    </row>
    <row r="351" spans="3:17" x14ac:dyDescent="0.25">
      <c r="C351">
        <f t="shared" si="16"/>
        <v>-2</v>
      </c>
      <c r="D351" s="5" t="str">
        <f>IF(B22=0,"-",IF(B134=0,"-",ABS((B22-B134)/B134)))</f>
        <v>-</v>
      </c>
      <c r="E351" s="5">
        <f t="shared" si="18"/>
        <v>0.1804384485666104</v>
      </c>
      <c r="F351" s="5">
        <f t="shared" si="19"/>
        <v>0.13461538461538461</v>
      </c>
      <c r="H351">
        <f t="shared" si="20"/>
        <v>-2</v>
      </c>
      <c r="I351" s="5" t="str">
        <f t="shared" si="21"/>
        <v>-</v>
      </c>
      <c r="J351" s="5">
        <f t="shared" si="22"/>
        <v>0.16814159292035405</v>
      </c>
      <c r="K351" s="5">
        <f t="shared" si="23"/>
        <v>0.13127413127413129</v>
      </c>
      <c r="N351">
        <f t="shared" si="24"/>
        <v>-2</v>
      </c>
      <c r="O351" s="5" t="str">
        <f t="shared" si="25"/>
        <v>-</v>
      </c>
      <c r="P351" s="5">
        <f t="shared" si="26"/>
        <v>9.6892138939670955E-2</v>
      </c>
      <c r="Q351" s="5">
        <f t="shared" si="15"/>
        <v>0.1379310344827587</v>
      </c>
    </row>
    <row r="352" spans="3:17" x14ac:dyDescent="0.25">
      <c r="C352">
        <f t="shared" si="16"/>
        <v>-1</v>
      </c>
      <c r="D352" s="5">
        <f t="shared" si="17"/>
        <v>9.3655589123867039E-2</v>
      </c>
      <c r="E352" s="5">
        <f t="shared" si="18"/>
        <v>0.1744386873920552</v>
      </c>
      <c r="F352" s="5">
        <f t="shared" si="19"/>
        <v>0.13461538461538461</v>
      </c>
      <c r="H352">
        <f t="shared" si="20"/>
        <v>-1</v>
      </c>
      <c r="I352" s="5">
        <f t="shared" si="21"/>
        <v>9.2284417549168038E-2</v>
      </c>
      <c r="J352" s="5">
        <f t="shared" si="22"/>
        <v>0.17328519855595667</v>
      </c>
      <c r="K352" s="5">
        <f t="shared" si="23"/>
        <v>0.13627639155470253</v>
      </c>
      <c r="N352">
        <f t="shared" si="24"/>
        <v>-1</v>
      </c>
      <c r="O352" s="5">
        <f t="shared" si="25"/>
        <v>9.2284417549168038E-2</v>
      </c>
      <c r="P352" s="5">
        <f t="shared" si="26"/>
        <v>0.10074626865671636</v>
      </c>
      <c r="Q352" s="5">
        <f t="shared" si="15"/>
        <v>0.14448669201520917</v>
      </c>
    </row>
    <row r="353" spans="3:17" x14ac:dyDescent="0.25">
      <c r="C353">
        <f t="shared" si="16"/>
        <v>0</v>
      </c>
      <c r="D353" s="5">
        <f t="shared" si="17"/>
        <v>6.084115965700284E-2</v>
      </c>
      <c r="E353" s="5">
        <f t="shared" si="18"/>
        <v>0.16197183098591544</v>
      </c>
      <c r="F353" s="5">
        <f t="shared" si="19"/>
        <v>9.7888675623800395E-2</v>
      </c>
      <c r="H353">
        <f t="shared" si="20"/>
        <v>0</v>
      </c>
      <c r="I353" s="5">
        <f t="shared" si="21"/>
        <v>2.4786672084518575E-2</v>
      </c>
      <c r="J353" s="5">
        <f t="shared" si="22"/>
        <v>0.19047619047619052</v>
      </c>
      <c r="K353" s="5">
        <f t="shared" si="23"/>
        <v>0.10305343511450385</v>
      </c>
      <c r="N353">
        <f t="shared" si="24"/>
        <v>0</v>
      </c>
      <c r="O353" s="5">
        <f t="shared" si="25"/>
        <v>6.7693554925010099E-2</v>
      </c>
      <c r="P353" s="5">
        <f t="shared" si="26"/>
        <v>9.6408317580340103E-2</v>
      </c>
      <c r="Q353" s="5">
        <f t="shared" si="15"/>
        <v>0.1132075471698113</v>
      </c>
    </row>
    <row r="354" spans="3:17" x14ac:dyDescent="0.25">
      <c r="C354">
        <f t="shared" si="16"/>
        <v>1</v>
      </c>
      <c r="D354" s="5">
        <f t="shared" si="17"/>
        <v>1.905829596412564E-2</v>
      </c>
      <c r="E354" s="5">
        <f t="shared" si="18"/>
        <v>0.20000000000000007</v>
      </c>
      <c r="F354" s="5">
        <f t="shared" si="19"/>
        <v>0.13627639155470253</v>
      </c>
      <c r="H354">
        <f t="shared" si="20"/>
        <v>1</v>
      </c>
      <c r="I354" s="5">
        <f t="shared" si="21"/>
        <v>2.669632925472747E-2</v>
      </c>
      <c r="J354" s="5">
        <f t="shared" si="22"/>
        <v>0.12338858195211795</v>
      </c>
      <c r="K354" s="5">
        <f t="shared" si="23"/>
        <v>0.14448669201520917</v>
      </c>
      <c r="N354">
        <f t="shared" si="24"/>
        <v>1</v>
      </c>
      <c r="O354" s="5">
        <f t="shared" si="25"/>
        <v>2.8317601332593121E-2</v>
      </c>
      <c r="P354" s="5">
        <f t="shared" si="26"/>
        <v>0.11731843575419001</v>
      </c>
      <c r="Q354" s="5">
        <f t="shared" si="15"/>
        <v>0.15887850467289721</v>
      </c>
    </row>
    <row r="355" spans="3:17" x14ac:dyDescent="0.25">
      <c r="C355">
        <f t="shared" si="16"/>
        <v>2</v>
      </c>
      <c r="D355" s="5">
        <f t="shared" si="17"/>
        <v>5.9225999572375461E-2</v>
      </c>
      <c r="E355" s="5">
        <f t="shared" si="18"/>
        <v>0.19485294117647045</v>
      </c>
      <c r="F355" s="5">
        <f t="shared" si="19"/>
        <v>0.15384615384615385</v>
      </c>
      <c r="H355">
        <f t="shared" si="20"/>
        <v>2</v>
      </c>
      <c r="I355" s="5">
        <f t="shared" si="21"/>
        <v>6.5222009772679002E-2</v>
      </c>
      <c r="J355" s="5">
        <f t="shared" si="22"/>
        <v>0.13138686131386865</v>
      </c>
      <c r="K355" s="5">
        <f t="shared" si="23"/>
        <v>0.16190476190476191</v>
      </c>
      <c r="N355">
        <f t="shared" si="24"/>
        <v>2</v>
      </c>
      <c r="O355" s="5">
        <f t="shared" si="25"/>
        <v>6.7994069053166739E-2</v>
      </c>
      <c r="P355" s="5">
        <f t="shared" si="26"/>
        <v>0.11310592459605016</v>
      </c>
      <c r="Q355" s="5">
        <f t="shared" si="15"/>
        <v>0.17910447761194037</v>
      </c>
    </row>
    <row r="356" spans="3:17" x14ac:dyDescent="0.25">
      <c r="C356">
        <f t="shared" si="16"/>
        <v>3</v>
      </c>
      <c r="D356" s="5">
        <f t="shared" si="17"/>
        <v>4.4807224730809198E-2</v>
      </c>
      <c r="E356" s="5">
        <f t="shared" si="18"/>
        <v>0.17229129662522211</v>
      </c>
      <c r="F356" s="5">
        <f t="shared" si="19"/>
        <v>0.14062500000000008</v>
      </c>
      <c r="H356">
        <f t="shared" si="20"/>
        <v>3</v>
      </c>
      <c r="I356" s="5">
        <f t="shared" si="21"/>
        <v>5.2377670572019266E-2</v>
      </c>
      <c r="J356" s="5">
        <f t="shared" si="22"/>
        <v>0.18055555555555541</v>
      </c>
      <c r="K356" s="5">
        <f t="shared" si="23"/>
        <v>0.15708812260536409</v>
      </c>
      <c r="N356">
        <f t="shared" si="24"/>
        <v>3</v>
      </c>
      <c r="O356" s="5">
        <f t="shared" si="25"/>
        <v>5.4982817869415668E-2</v>
      </c>
      <c r="P356" s="5">
        <f t="shared" si="26"/>
        <v>0.16040955631399315</v>
      </c>
      <c r="Q356" s="5">
        <f t="shared" si="15"/>
        <v>0.17910447761194037</v>
      </c>
    </row>
    <row r="357" spans="3:17" x14ac:dyDescent="0.25">
      <c r="C357">
        <f t="shared" si="16"/>
        <v>4</v>
      </c>
      <c r="D357" s="5">
        <f t="shared" si="17"/>
        <v>4.0165386887182519E-2</v>
      </c>
      <c r="E357" s="5">
        <f t="shared" si="18"/>
        <v>0.11292962356792138</v>
      </c>
      <c r="F357" s="5">
        <f t="shared" si="19"/>
        <v>0.13934426229508196</v>
      </c>
      <c r="H357">
        <f t="shared" si="20"/>
        <v>4</v>
      </c>
      <c r="I357" s="5">
        <f t="shared" si="21"/>
        <v>5.5095217328099924E-2</v>
      </c>
      <c r="J357" s="5">
        <f t="shared" si="22"/>
        <v>0.17363344051446949</v>
      </c>
      <c r="K357" s="5">
        <f t="shared" si="23"/>
        <v>0.18446601941747565</v>
      </c>
      <c r="N357">
        <f t="shared" si="24"/>
        <v>4</v>
      </c>
      <c r="O357" s="5">
        <f t="shared" si="25"/>
        <v>6.0286251264999223E-2</v>
      </c>
      <c r="P357" s="5">
        <f t="shared" si="26"/>
        <v>0.15384615384615383</v>
      </c>
      <c r="Q357" s="5">
        <f t="shared" si="15"/>
        <v>0.21348314606741572</v>
      </c>
    </row>
    <row r="358" spans="3:17" x14ac:dyDescent="0.25">
      <c r="C358">
        <f t="shared" si="16"/>
        <v>5</v>
      </c>
      <c r="D358" s="5">
        <f t="shared" si="17"/>
        <v>5.5296636856027266E-2</v>
      </c>
      <c r="E358" s="5">
        <f t="shared" si="18"/>
        <v>6.4425770308123298E-2</v>
      </c>
      <c r="F358" s="5">
        <f t="shared" si="19"/>
        <v>0.18326693227091634</v>
      </c>
      <c r="H358">
        <f t="shared" si="20"/>
        <v>5</v>
      </c>
      <c r="I358" s="5">
        <f t="shared" si="21"/>
        <v>5.279110886587516E-2</v>
      </c>
      <c r="J358" s="5">
        <f t="shared" si="22"/>
        <v>0.13602391629297464</v>
      </c>
      <c r="K358" s="5">
        <f t="shared" si="23"/>
        <v>0.17835671342685366</v>
      </c>
      <c r="N358">
        <f t="shared" si="24"/>
        <v>5</v>
      </c>
      <c r="O358" s="5">
        <f t="shared" si="25"/>
        <v>6.2617172853393369E-2</v>
      </c>
      <c r="P358" s="5">
        <f t="shared" si="26"/>
        <v>9.6096096096096081E-2</v>
      </c>
      <c r="Q358" s="5">
        <f t="shared" si="15"/>
        <v>0.22348484848484845</v>
      </c>
    </row>
    <row r="359" spans="3:17" x14ac:dyDescent="0.25">
      <c r="C359">
        <f t="shared" si="16"/>
        <v>6</v>
      </c>
      <c r="D359" s="5">
        <f t="shared" si="17"/>
        <v>4.9198452183526795E-2</v>
      </c>
      <c r="E359" s="5">
        <f t="shared" si="18"/>
        <v>0.11111111111111126</v>
      </c>
      <c r="F359" s="5">
        <f t="shared" si="19"/>
        <v>0.20792079207920797</v>
      </c>
      <c r="H359">
        <f t="shared" si="20"/>
        <v>6</v>
      </c>
      <c r="I359" s="5">
        <f t="shared" si="21"/>
        <v>4.6880195057076364E-2</v>
      </c>
      <c r="J359" s="5">
        <f t="shared" si="22"/>
        <v>4.979811574697169E-2</v>
      </c>
      <c r="K359" s="5">
        <f t="shared" si="23"/>
        <v>0.19517102615694165</v>
      </c>
      <c r="N359">
        <f t="shared" si="24"/>
        <v>6</v>
      </c>
      <c r="O359" s="5">
        <f t="shared" si="25"/>
        <v>5.0563038198277829E-2</v>
      </c>
      <c r="P359" s="5">
        <f t="shared" si="26"/>
        <v>8.2621082621082587E-2</v>
      </c>
      <c r="Q359" s="5">
        <f t="shared" si="15"/>
        <v>0.21259842519685035</v>
      </c>
    </row>
    <row r="360" spans="3:17" x14ac:dyDescent="0.25">
      <c r="C360">
        <f t="shared" si="16"/>
        <v>7</v>
      </c>
      <c r="D360" s="5">
        <f t="shared" si="17"/>
        <v>4.3729455125012501E-2</v>
      </c>
      <c r="E360" s="5">
        <f t="shared" si="18"/>
        <v>0.1487964989059081</v>
      </c>
      <c r="F360" s="5">
        <f t="shared" si="19"/>
        <v>0.21325051759834374</v>
      </c>
      <c r="H360">
        <f t="shared" si="20"/>
        <v>7</v>
      </c>
      <c r="I360" s="5">
        <f t="shared" si="21"/>
        <v>5.2693901716992411E-2</v>
      </c>
      <c r="J360" s="5">
        <f t="shared" si="22"/>
        <v>4.3689320388349412E-2</v>
      </c>
      <c r="K360" s="5">
        <f t="shared" si="23"/>
        <v>0.24000000000000007</v>
      </c>
      <c r="N360">
        <f t="shared" si="24"/>
        <v>7</v>
      </c>
      <c r="O360" s="5">
        <f t="shared" si="25"/>
        <v>5.7344854673998441E-2</v>
      </c>
      <c r="P360" s="5">
        <f t="shared" si="26"/>
        <v>0.10821382007822698</v>
      </c>
      <c r="Q360" s="5">
        <f t="shared" si="15"/>
        <v>0.28301886792452829</v>
      </c>
    </row>
    <row r="361" spans="3:17" x14ac:dyDescent="0.25">
      <c r="C361">
        <f t="shared" si="16"/>
        <v>8</v>
      </c>
      <c r="D361" s="5">
        <f t="shared" si="17"/>
        <v>3.593735855888483E-2</v>
      </c>
      <c r="E361" s="5">
        <f t="shared" si="18"/>
        <v>0.13861386138613863</v>
      </c>
      <c r="F361" s="5">
        <f t="shared" si="19"/>
        <v>0.19354838709677422</v>
      </c>
      <c r="H361">
        <f t="shared" si="20"/>
        <v>8</v>
      </c>
      <c r="I361" s="5">
        <f t="shared" si="21"/>
        <v>4.60408455750628E-2</v>
      </c>
      <c r="J361" s="5">
        <f t="shared" si="22"/>
        <v>8.1677704194260403E-2</v>
      </c>
      <c r="K361" s="5">
        <f t="shared" si="23"/>
        <v>0.22680412371134026</v>
      </c>
      <c r="N361">
        <f t="shared" si="24"/>
        <v>8</v>
      </c>
      <c r="O361" s="5">
        <f t="shared" si="25"/>
        <v>5.2406797757807599E-2</v>
      </c>
      <c r="P361" s="5">
        <f t="shared" si="26"/>
        <v>8.2045184304399471E-2</v>
      </c>
      <c r="Q361" s="5">
        <f t="shared" si="15"/>
        <v>0.27184466019417475</v>
      </c>
    </row>
    <row r="362" spans="3:17" x14ac:dyDescent="0.25">
      <c r="C362">
        <f t="shared" si="16"/>
        <v>9</v>
      </c>
      <c r="D362" s="5">
        <f t="shared" si="17"/>
        <v>4.461244496136918E-2</v>
      </c>
      <c r="E362" s="5">
        <f t="shared" si="18"/>
        <v>0.13207547169811329</v>
      </c>
      <c r="F362" s="5">
        <f t="shared" si="19"/>
        <v>0.1910112359550562</v>
      </c>
      <c r="H362">
        <f t="shared" si="20"/>
        <v>9</v>
      </c>
      <c r="I362" s="5">
        <f t="shared" si="21"/>
        <v>5.6139198949441908E-2</v>
      </c>
      <c r="J362" s="5">
        <f t="shared" si="22"/>
        <v>7.6458752515090572E-2</v>
      </c>
      <c r="K362" s="5">
        <f t="shared" si="23"/>
        <v>0.2781316348195329</v>
      </c>
      <c r="N362">
        <f t="shared" si="24"/>
        <v>9</v>
      </c>
      <c r="O362" s="5">
        <f t="shared" si="25"/>
        <v>6.3212772890192337E-2</v>
      </c>
      <c r="P362" s="5">
        <f t="shared" si="26"/>
        <v>0.10869565217391314</v>
      </c>
      <c r="Q362" s="5">
        <f t="shared" si="15"/>
        <v>0.32539682539682535</v>
      </c>
    </row>
    <row r="363" spans="3:17" x14ac:dyDescent="0.25">
      <c r="C363">
        <f t="shared" si="16"/>
        <v>10</v>
      </c>
      <c r="D363" s="5">
        <f t="shared" si="17"/>
        <v>4.534606205250593E-2</v>
      </c>
      <c r="E363" s="5">
        <f t="shared" si="18"/>
        <v>0.10389610389610389</v>
      </c>
      <c r="F363" s="5">
        <f t="shared" si="19"/>
        <v>0.22802850356294532</v>
      </c>
      <c r="H363">
        <f t="shared" si="20"/>
        <v>10</v>
      </c>
      <c r="I363" s="5">
        <f t="shared" si="21"/>
        <v>5.8680634631443053E-2</v>
      </c>
      <c r="J363" s="5">
        <f t="shared" si="22"/>
        <v>7.6642335766423403E-2</v>
      </c>
      <c r="K363" s="5">
        <f t="shared" si="23"/>
        <v>0.17035398230088494</v>
      </c>
      <c r="N363">
        <f t="shared" si="24"/>
        <v>10</v>
      </c>
      <c r="O363" s="5">
        <f t="shared" si="25"/>
        <v>6.6897433967943398E-2</v>
      </c>
      <c r="P363" s="5">
        <f t="shared" si="26"/>
        <v>0.13748763600395655</v>
      </c>
      <c r="Q363" s="5">
        <f t="shared" si="15"/>
        <v>0.23780487804878053</v>
      </c>
    </row>
    <row r="364" spans="3:17" x14ac:dyDescent="0.25">
      <c r="C364">
        <f t="shared" si="16"/>
        <v>11</v>
      </c>
      <c r="D364" s="5">
        <f t="shared" si="17"/>
        <v>4.9402275673340046E-2</v>
      </c>
      <c r="E364" s="5">
        <f t="shared" si="18"/>
        <v>9.8096632503660255E-2</v>
      </c>
      <c r="F364" s="5">
        <f t="shared" si="19"/>
        <v>0.22879177377892027</v>
      </c>
      <c r="H364">
        <f t="shared" si="20"/>
        <v>11</v>
      </c>
      <c r="I364" s="5">
        <f t="shared" si="21"/>
        <v>6.5619027394351243E-2</v>
      </c>
      <c r="J364" s="5">
        <f t="shared" si="22"/>
        <v>8.6235489220563927E-2</v>
      </c>
      <c r="K364" s="5">
        <f t="shared" si="23"/>
        <v>0.18414918414918408</v>
      </c>
      <c r="N364">
        <f t="shared" si="24"/>
        <v>11</v>
      </c>
      <c r="O364" s="5">
        <f t="shared" si="25"/>
        <v>7.4787972243639173E-2</v>
      </c>
      <c r="P364" s="5">
        <f t="shared" si="26"/>
        <v>0.12410071942446052</v>
      </c>
      <c r="Q364" s="5">
        <f t="shared" si="15"/>
        <v>0.26470588235294118</v>
      </c>
    </row>
    <row r="365" spans="3:17" x14ac:dyDescent="0.25">
      <c r="C365">
        <f t="shared" si="16"/>
        <v>12</v>
      </c>
      <c r="D365" s="5">
        <f t="shared" si="17"/>
        <v>4.4564253053982213E-2</v>
      </c>
      <c r="E365" s="5">
        <f t="shared" si="18"/>
        <v>0.12934996717005906</v>
      </c>
      <c r="F365" s="5">
        <f t="shared" si="19"/>
        <v>0.22619047619047619</v>
      </c>
      <c r="H365">
        <f t="shared" si="20"/>
        <v>12</v>
      </c>
      <c r="I365" s="5">
        <f t="shared" si="21"/>
        <v>6.7474855125557953E-2</v>
      </c>
      <c r="J365" s="5">
        <f t="shared" si="22"/>
        <v>0.10612855007473851</v>
      </c>
      <c r="K365" s="5">
        <f t="shared" si="23"/>
        <v>0.14141414141414144</v>
      </c>
      <c r="N365">
        <f t="shared" si="24"/>
        <v>12</v>
      </c>
      <c r="O365" s="5">
        <f t="shared" si="25"/>
        <v>7.9007960002631467E-2</v>
      </c>
      <c r="P365" s="5">
        <f t="shared" si="26"/>
        <v>0.19999999999999993</v>
      </c>
      <c r="Q365" s="5">
        <f t="shared" si="15"/>
        <v>0.25274725274725268</v>
      </c>
    </row>
    <row r="366" spans="3:17" x14ac:dyDescent="0.25">
      <c r="C366">
        <f t="shared" si="16"/>
        <v>13</v>
      </c>
      <c r="D366" s="5">
        <f t="shared" si="17"/>
        <v>3.5380289058923431E-2</v>
      </c>
      <c r="E366" s="5">
        <f t="shared" si="18"/>
        <v>0.22807017543859653</v>
      </c>
      <c r="F366" s="5">
        <f t="shared" si="19"/>
        <v>6.3670411985018729E-2</v>
      </c>
      <c r="H366">
        <f t="shared" si="20"/>
        <v>13</v>
      </c>
      <c r="I366" s="5">
        <f t="shared" si="21"/>
        <v>6.1092431643722675E-2</v>
      </c>
      <c r="J366" s="5">
        <f t="shared" si="22"/>
        <v>0.11411208642808916</v>
      </c>
      <c r="K366" s="5">
        <f t="shared" si="23"/>
        <v>0.11764705882352951</v>
      </c>
      <c r="N366">
        <f t="shared" si="24"/>
        <v>13</v>
      </c>
      <c r="O366" s="5">
        <f t="shared" si="25"/>
        <v>7.8455790784557972E-2</v>
      </c>
      <c r="P366" s="5">
        <f t="shared" si="26"/>
        <v>0.21861152141802073</v>
      </c>
      <c r="Q366" s="5">
        <f t="shared" si="15"/>
        <v>0.29906542056074764</v>
      </c>
    </row>
    <row r="367" spans="3:17" x14ac:dyDescent="0.25">
      <c r="C367">
        <f t="shared" si="16"/>
        <v>14</v>
      </c>
      <c r="D367" s="5">
        <f t="shared" si="17"/>
        <v>3.7852892771236914E-2</v>
      </c>
      <c r="E367" s="5" t="str">
        <f t="shared" si="18"/>
        <v>-</v>
      </c>
      <c r="F367" s="5">
        <f t="shared" si="19"/>
        <v>0.28865979381443302</v>
      </c>
      <c r="H367">
        <f t="shared" si="20"/>
        <v>14</v>
      </c>
      <c r="I367" s="5">
        <f t="shared" si="21"/>
        <v>7.1472205253512514E-2</v>
      </c>
      <c r="J367" s="5">
        <f t="shared" si="22"/>
        <v>2.8708133971291943E-2</v>
      </c>
      <c r="K367" s="5">
        <f t="shared" si="23"/>
        <v>6.7164179104477598E-2</v>
      </c>
      <c r="N367">
        <f t="shared" si="24"/>
        <v>14</v>
      </c>
      <c r="O367" s="5">
        <f t="shared" si="25"/>
        <v>8.9874857792946475E-2</v>
      </c>
      <c r="P367" s="5">
        <f t="shared" si="26"/>
        <v>0.13306982872200257</v>
      </c>
      <c r="Q367" s="5">
        <f t="shared" si="15"/>
        <v>0.35732647814910018</v>
      </c>
    </row>
    <row r="368" spans="3:17" x14ac:dyDescent="0.25">
      <c r="C368">
        <f t="shared" si="16"/>
        <v>15</v>
      </c>
      <c r="D368" s="5">
        <f t="shared" si="17"/>
        <v>2.033730158730155E-2</v>
      </c>
      <c r="E368" s="5" t="str">
        <f t="shared" si="18"/>
        <v>-</v>
      </c>
      <c r="F368" s="5">
        <f t="shared" si="19"/>
        <v>1.0325203252032522</v>
      </c>
      <c r="H368">
        <f t="shared" si="20"/>
        <v>15</v>
      </c>
      <c r="I368" s="5">
        <f t="shared" si="21"/>
        <v>5.0106862977914876E-2</v>
      </c>
      <c r="J368" s="5">
        <f t="shared" si="22"/>
        <v>4.5664443304258694E-2</v>
      </c>
      <c r="K368" s="5">
        <f t="shared" si="23"/>
        <v>0.29533678756476683</v>
      </c>
      <c r="N368">
        <f t="shared" si="24"/>
        <v>15</v>
      </c>
      <c r="O368" s="5">
        <f t="shared" si="25"/>
        <v>7.3859689742996032E-2</v>
      </c>
      <c r="P368" s="5">
        <f t="shared" si="26"/>
        <v>8.0139372822299618E-2</v>
      </c>
      <c r="Q368" s="5">
        <f t="shared" si="15"/>
        <v>0.29687500000000006</v>
      </c>
    </row>
    <row r="369" spans="3:20" x14ac:dyDescent="0.25">
      <c r="C369">
        <f t="shared" si="16"/>
        <v>16</v>
      </c>
      <c r="D369" s="5">
        <f t="shared" si="17"/>
        <v>4.5507728308393287E-2</v>
      </c>
      <c r="E369" s="5" t="str">
        <f t="shared" si="18"/>
        <v>-</v>
      </c>
      <c r="F369" s="5">
        <f t="shared" si="19"/>
        <v>3.7794117647058827</v>
      </c>
      <c r="H369">
        <f t="shared" si="20"/>
        <v>16</v>
      </c>
      <c r="I369" s="5">
        <f t="shared" si="21"/>
        <v>2.006532897806812E-2</v>
      </c>
      <c r="J369" s="5" t="str">
        <f t="shared" si="22"/>
        <v>-</v>
      </c>
      <c r="K369" s="5">
        <f t="shared" si="23"/>
        <v>2.5123966942148765</v>
      </c>
      <c r="N369">
        <f t="shared" si="24"/>
        <v>16</v>
      </c>
      <c r="O369" s="5">
        <f t="shared" si="25"/>
        <v>4.9773755656108642E-2</v>
      </c>
      <c r="P369" s="5" t="str">
        <f t="shared" si="26"/>
        <v>-</v>
      </c>
      <c r="Q369" s="5">
        <f t="shared" si="15"/>
        <v>0.20318725099601595</v>
      </c>
    </row>
    <row r="370" spans="3:20" x14ac:dyDescent="0.25">
      <c r="C370">
        <f t="shared" si="16"/>
        <v>17</v>
      </c>
      <c r="D370" s="5">
        <f t="shared" si="17"/>
        <v>0.13503422526446801</v>
      </c>
      <c r="E370" s="5" t="str">
        <f t="shared" si="18"/>
        <v>-</v>
      </c>
      <c r="F370" s="5">
        <f t="shared" si="19"/>
        <v>9.204081632653061</v>
      </c>
      <c r="H370">
        <f t="shared" si="20"/>
        <v>17</v>
      </c>
      <c r="I370" s="5">
        <f t="shared" si="21"/>
        <v>2.6482007301384988E-2</v>
      </c>
      <c r="J370" s="5" t="str">
        <f t="shared" si="22"/>
        <v>-</v>
      </c>
      <c r="K370" s="5">
        <f t="shared" si="23"/>
        <v>7.5820895522388065</v>
      </c>
      <c r="N370">
        <f t="shared" si="24"/>
        <v>17</v>
      </c>
      <c r="O370" s="5">
        <f t="shared" si="25"/>
        <v>0.1327215756490599</v>
      </c>
      <c r="P370" s="5" t="str">
        <f t="shared" si="26"/>
        <v>-</v>
      </c>
      <c r="Q370" s="5">
        <f t="shared" si="15"/>
        <v>0.87165775401069523</v>
      </c>
    </row>
    <row r="371" spans="3:20" x14ac:dyDescent="0.25">
      <c r="C371">
        <f t="shared" si="16"/>
        <v>18</v>
      </c>
      <c r="D371" s="5">
        <f t="shared" si="17"/>
        <v>0.19543213080716321</v>
      </c>
      <c r="E371" s="5" t="str">
        <f t="shared" si="18"/>
        <v>-</v>
      </c>
      <c r="F371" s="5">
        <f t="shared" si="19"/>
        <v>9.0574712643678161</v>
      </c>
      <c r="H371">
        <f t="shared" si="20"/>
        <v>18</v>
      </c>
      <c r="I371" s="5">
        <f t="shared" si="21"/>
        <v>8.6731086495404189E-2</v>
      </c>
      <c r="J371" s="5" t="str">
        <f t="shared" si="22"/>
        <v>-</v>
      </c>
      <c r="K371" s="5">
        <f t="shared" si="23"/>
        <v>22.333333333333332</v>
      </c>
      <c r="N371">
        <f t="shared" si="24"/>
        <v>18</v>
      </c>
      <c r="O371" s="5">
        <f t="shared" si="25"/>
        <v>0.17716204869857263</v>
      </c>
      <c r="P371" s="5" t="str">
        <f t="shared" si="26"/>
        <v>-</v>
      </c>
      <c r="Q371" s="5">
        <f t="shared" si="15"/>
        <v>3.7348484848484844</v>
      </c>
    </row>
    <row r="372" spans="3:20" x14ac:dyDescent="0.25">
      <c r="C372" t="s">
        <v>47</v>
      </c>
      <c r="D372" s="10">
        <f>AVERAGE(D335:D371)</f>
        <v>5.860483296897516E-2</v>
      </c>
      <c r="E372" s="10">
        <f>AVERAGE(E335:E371)</f>
        <v>0.15030629080192684</v>
      </c>
      <c r="F372" s="10">
        <f>AVERAGE(F335:F371)</f>
        <v>0.879058530689516</v>
      </c>
      <c r="H372" t="s">
        <v>47</v>
      </c>
      <c r="I372" s="10">
        <f>AVERAGE(I335:I371)</f>
        <v>6.3839614576401249E-2</v>
      </c>
      <c r="J372" s="10">
        <f>AVERAGE(J335:J371)</f>
        <v>0.10489317179411688</v>
      </c>
      <c r="K372" s="10">
        <f>AVERAGE(K335:K371)</f>
        <v>1.335351449641148</v>
      </c>
      <c r="N372" t="s">
        <v>47</v>
      </c>
      <c r="O372" s="10">
        <f>AVERAGE(O335:O371)</f>
        <v>7.8627113296408202E-2</v>
      </c>
      <c r="P372" s="10">
        <f>AVERAGE(P335:P371)</f>
        <v>0.12030403966934756</v>
      </c>
      <c r="Q372" s="10">
        <f>AVERAGE(Q335:Q371)</f>
        <v>0.35014146531828549</v>
      </c>
    </row>
    <row r="376" spans="3:20" x14ac:dyDescent="0.25">
      <c r="C376" s="6" t="s">
        <v>48</v>
      </c>
      <c r="D376" s="6"/>
      <c r="E376" s="6"/>
      <c r="F376" s="6"/>
      <c r="J376" s="6" t="s">
        <v>49</v>
      </c>
      <c r="K376" s="6"/>
      <c r="L376" s="6"/>
      <c r="M376" s="6"/>
      <c r="Q376" s="6" t="s">
        <v>49</v>
      </c>
      <c r="R376" s="6"/>
      <c r="S376" s="6"/>
      <c r="T376" s="6"/>
    </row>
    <row r="377" spans="3:20" x14ac:dyDescent="0.25">
      <c r="C377" s="1" t="s">
        <v>40</v>
      </c>
      <c r="D377" s="4" t="s">
        <v>38</v>
      </c>
      <c r="E377" s="4" t="s">
        <v>37</v>
      </c>
      <c r="F377" s="4" t="s">
        <v>39</v>
      </c>
      <c r="J377" s="1" t="s">
        <v>40</v>
      </c>
      <c r="K377" s="4" t="s">
        <v>38</v>
      </c>
      <c r="L377" s="4" t="s">
        <v>37</v>
      </c>
      <c r="M377" s="4" t="s">
        <v>39</v>
      </c>
      <c r="Q377" s="1" t="s">
        <v>40</v>
      </c>
      <c r="R377" s="4" t="s">
        <v>38</v>
      </c>
      <c r="S377" s="4" t="s">
        <v>37</v>
      </c>
      <c r="T377" s="4" t="s">
        <v>39</v>
      </c>
    </row>
    <row r="378" spans="3:20" x14ac:dyDescent="0.25">
      <c r="C378">
        <f>A60</f>
        <v>-18</v>
      </c>
      <c r="D378" s="5" t="str">
        <f>IF(B60=0,"-",IF(B118=0,"-",ABS((B60-B118)/B118)))</f>
        <v>-</v>
      </c>
      <c r="E378" s="5" t="str">
        <f>IF(C60=0,"-",IF(C118=0,"-",ABS((C60-C118)/C118)))</f>
        <v>-</v>
      </c>
      <c r="F378" s="5" t="str">
        <f>IF(E60=0,"-",IF(D118=0,"-",ABS((E60-D118)/D118)))</f>
        <v>-</v>
      </c>
      <c r="J378">
        <f>H60</f>
        <v>-18</v>
      </c>
      <c r="K378" s="5" t="str">
        <f>IF(I60=0,"-",IF(I118=0,"-",ABS((I60-I118)/I118)))</f>
        <v>-</v>
      </c>
      <c r="L378" s="5" t="str">
        <f>IF(J60=0,"-",IF(J118=0,"-",ABS((J60-J118)/J118)))</f>
        <v>-</v>
      </c>
      <c r="M378" s="5" t="str">
        <f>IF(L60=0,"-",IF(K118=0,"-",ABS((L60-K118)/K118)))</f>
        <v>-</v>
      </c>
      <c r="Q378">
        <f>O60</f>
        <v>-18</v>
      </c>
      <c r="R378" s="5" t="str">
        <f>IF(P60=0,"-",IF(P117=0,"-",ABS((P60-P117)/P117)))</f>
        <v>-</v>
      </c>
      <c r="S378" s="5" t="str">
        <f>IF(Q60=0,"-",IF(Q117=0,"-",ABS((Q60-Q117)/Q117)))</f>
        <v>-</v>
      </c>
      <c r="T378" s="5" t="str">
        <f>IF(S60=0,"-",IF(R117=0,"-",ABS((S60-R117)/R117)))</f>
        <v>-</v>
      </c>
    </row>
    <row r="379" spans="3:20" x14ac:dyDescent="0.25">
      <c r="C379">
        <f t="shared" ref="C379:C414" si="27">A61</f>
        <v>-17</v>
      </c>
      <c r="D379" s="5" t="str">
        <f t="shared" ref="D379:D414" si="28">IF(B61=0,"-",IF(B119=0,"-",ABS((B61-B119)/B119)))</f>
        <v>-</v>
      </c>
      <c r="E379" s="5" t="str">
        <f t="shared" ref="E379:E414" si="29">IF(C61=0,"-",IF(C119=0,"-",ABS((C61-C119)/C119)))</f>
        <v>-</v>
      </c>
      <c r="F379" s="5" t="str">
        <f t="shared" ref="F379:F414" si="30">IF(E61=0,"-",IF(D119=0,"-",ABS((E61-D119)/D119)))</f>
        <v>-</v>
      </c>
      <c r="J379">
        <f t="shared" ref="J379:J414" si="31">H61</f>
        <v>-17</v>
      </c>
      <c r="K379" s="5" t="str">
        <f t="shared" ref="K379:K414" si="32">IF(I61=0,"-",IF(I119=0,"-",ABS((I61-I119)/I119)))</f>
        <v>-</v>
      </c>
      <c r="L379" s="5" t="str">
        <f t="shared" ref="L379:L414" si="33">IF(J61=0,"-",IF(J119=0,"-",ABS((J61-J119)/J119)))</f>
        <v>-</v>
      </c>
      <c r="M379" s="5" t="str">
        <f t="shared" ref="M379:M414" si="34">IF(L61=0,"-",IF(K119=0,"-",ABS((L61-K119)/K119)))</f>
        <v>-</v>
      </c>
      <c r="Q379">
        <f t="shared" ref="Q379:Q414" si="35">O61</f>
        <v>-17</v>
      </c>
      <c r="R379" s="5" t="str">
        <f t="shared" ref="R379:R414" si="36">IF(P61=0,"-",IF(P118=0,"-",ABS((P61-P118)/P118)))</f>
        <v>-</v>
      </c>
      <c r="S379" s="5" t="str">
        <f t="shared" ref="S379:S414" si="37">IF(Q61=0,"-",IF(Q118=0,"-",ABS((Q61-Q118)/Q118)))</f>
        <v>-</v>
      </c>
      <c r="T379" s="5" t="str">
        <f t="shared" ref="T379:T414" si="38">IF(S61=0,"-",IF(R118=0,"-",ABS((S61-R118)/R118)))</f>
        <v>-</v>
      </c>
    </row>
    <row r="380" spans="3:20" x14ac:dyDescent="0.25">
      <c r="C380">
        <f t="shared" si="27"/>
        <v>-16</v>
      </c>
      <c r="D380" s="5" t="str">
        <f t="shared" si="28"/>
        <v>-</v>
      </c>
      <c r="E380" s="5" t="str">
        <f t="shared" si="29"/>
        <v>-</v>
      </c>
      <c r="F380" s="5" t="str">
        <f t="shared" si="30"/>
        <v>-</v>
      </c>
      <c r="J380">
        <f t="shared" si="31"/>
        <v>-16</v>
      </c>
      <c r="K380" s="5" t="str">
        <f t="shared" si="32"/>
        <v>-</v>
      </c>
      <c r="L380" s="5" t="str">
        <f t="shared" si="33"/>
        <v>-</v>
      </c>
      <c r="M380" s="5" t="str">
        <f t="shared" si="34"/>
        <v>-</v>
      </c>
      <c r="Q380">
        <f t="shared" si="35"/>
        <v>-16</v>
      </c>
      <c r="R380" s="5" t="str">
        <f t="shared" si="36"/>
        <v>-</v>
      </c>
      <c r="S380" s="5" t="str">
        <f t="shared" si="37"/>
        <v>-</v>
      </c>
      <c r="T380" s="5" t="str">
        <f t="shared" si="38"/>
        <v>-</v>
      </c>
    </row>
    <row r="381" spans="3:20" x14ac:dyDescent="0.25">
      <c r="C381">
        <f t="shared" si="27"/>
        <v>-15</v>
      </c>
      <c r="D381" s="5" t="str">
        <f t="shared" si="28"/>
        <v>-</v>
      </c>
      <c r="E381" s="5" t="str">
        <f t="shared" si="29"/>
        <v>-</v>
      </c>
      <c r="F381" s="5" t="str">
        <f t="shared" si="30"/>
        <v>-</v>
      </c>
      <c r="J381">
        <f t="shared" si="31"/>
        <v>-15</v>
      </c>
      <c r="K381" s="5" t="str">
        <f t="shared" si="32"/>
        <v>-</v>
      </c>
      <c r="L381" s="5" t="str">
        <f t="shared" si="33"/>
        <v>-</v>
      </c>
      <c r="M381" s="5" t="str">
        <f t="shared" si="34"/>
        <v>-</v>
      </c>
      <c r="Q381">
        <f t="shared" si="35"/>
        <v>-15</v>
      </c>
      <c r="R381" s="5" t="str">
        <f t="shared" si="36"/>
        <v>-</v>
      </c>
      <c r="S381" s="5" t="str">
        <f t="shared" si="37"/>
        <v>-</v>
      </c>
      <c r="T381" s="5" t="str">
        <f t="shared" si="38"/>
        <v>-</v>
      </c>
    </row>
    <row r="382" spans="3:20" x14ac:dyDescent="0.25">
      <c r="C382">
        <f t="shared" si="27"/>
        <v>-14</v>
      </c>
      <c r="D382" s="5" t="str">
        <f t="shared" si="28"/>
        <v>-</v>
      </c>
      <c r="E382" s="5" t="str">
        <f t="shared" si="29"/>
        <v>-</v>
      </c>
      <c r="F382" s="5" t="str">
        <f t="shared" si="30"/>
        <v>-</v>
      </c>
      <c r="J382">
        <f t="shared" si="31"/>
        <v>-14</v>
      </c>
      <c r="K382" s="5" t="str">
        <f t="shared" si="32"/>
        <v>-</v>
      </c>
      <c r="L382" s="5" t="str">
        <f t="shared" si="33"/>
        <v>-</v>
      </c>
      <c r="M382" s="5" t="str">
        <f t="shared" si="34"/>
        <v>-</v>
      </c>
      <c r="Q382">
        <f t="shared" si="35"/>
        <v>-14</v>
      </c>
      <c r="R382" s="5" t="str">
        <f t="shared" si="36"/>
        <v>-</v>
      </c>
      <c r="S382" s="5" t="str">
        <f t="shared" si="37"/>
        <v>-</v>
      </c>
      <c r="T382" s="5" t="str">
        <f t="shared" si="38"/>
        <v>-</v>
      </c>
    </row>
    <row r="383" spans="3:20" x14ac:dyDescent="0.25">
      <c r="C383">
        <f t="shared" si="27"/>
        <v>-13</v>
      </c>
      <c r="D383" s="5">
        <f t="shared" si="28"/>
        <v>8.9123617758705403E-3</v>
      </c>
      <c r="E383" s="5">
        <f t="shared" si="29"/>
        <v>1.8646408839778965E-2</v>
      </c>
      <c r="F383" s="5">
        <f t="shared" si="30"/>
        <v>1.0330578512396703E-2</v>
      </c>
      <c r="J383">
        <f t="shared" si="31"/>
        <v>-13</v>
      </c>
      <c r="K383" s="5">
        <f t="shared" si="32"/>
        <v>4.8252911813644155E-3</v>
      </c>
      <c r="L383" s="5">
        <f t="shared" si="33"/>
        <v>1.5586546349466853E-2</v>
      </c>
      <c r="M383" s="5">
        <f t="shared" si="34"/>
        <v>9.5785440613025564E-3</v>
      </c>
      <c r="Q383">
        <f t="shared" si="35"/>
        <v>-13</v>
      </c>
      <c r="R383" s="5">
        <f t="shared" si="36"/>
        <v>4.339843097980382E-3</v>
      </c>
      <c r="S383" s="5">
        <f t="shared" si="37"/>
        <v>1.8281535648994564E-2</v>
      </c>
      <c r="T383" s="5">
        <f t="shared" si="38"/>
        <v>1.1131725417439635E-2</v>
      </c>
    </row>
    <row r="384" spans="3:20" x14ac:dyDescent="0.25">
      <c r="C384">
        <f t="shared" si="27"/>
        <v>-12</v>
      </c>
      <c r="D384" s="5">
        <f t="shared" si="28"/>
        <v>8.4056646870716081E-3</v>
      </c>
      <c r="E384" s="5">
        <f t="shared" si="29"/>
        <v>6.9284064665126868E-3</v>
      </c>
      <c r="F384" s="5">
        <f t="shared" si="30"/>
        <v>3.9138943248532053E-3</v>
      </c>
      <c r="J384">
        <f t="shared" si="31"/>
        <v>-12</v>
      </c>
      <c r="K384" s="5">
        <f t="shared" si="32"/>
        <v>4.2384594121442545E-3</v>
      </c>
      <c r="L384" s="5">
        <f t="shared" si="33"/>
        <v>2.3985239852398504E-2</v>
      </c>
      <c r="M384" s="5">
        <f t="shared" si="34"/>
        <v>9.174311926605512E-3</v>
      </c>
      <c r="Q384">
        <f t="shared" si="35"/>
        <v>-12</v>
      </c>
      <c r="R384" s="5">
        <f t="shared" si="36"/>
        <v>4.8437214403215688E-3</v>
      </c>
      <c r="S384" s="5">
        <f t="shared" si="37"/>
        <v>1.9250253292806403E-2</v>
      </c>
      <c r="T384" s="5">
        <f t="shared" si="38"/>
        <v>7.532956685499013E-3</v>
      </c>
    </row>
    <row r="385" spans="3:20" x14ac:dyDescent="0.25">
      <c r="C385">
        <f t="shared" si="27"/>
        <v>-11</v>
      </c>
      <c r="D385" s="5">
        <f t="shared" si="28"/>
        <v>6.4608758076095613E-3</v>
      </c>
      <c r="E385" s="5">
        <f t="shared" si="29"/>
        <v>2.3788546255506554E-2</v>
      </c>
      <c r="F385" s="5">
        <f t="shared" si="30"/>
        <v>1.8450184501845547E-3</v>
      </c>
      <c r="J385">
        <f t="shared" si="31"/>
        <v>-11</v>
      </c>
      <c r="K385" s="5">
        <f t="shared" si="32"/>
        <v>4.7025148231446007E-3</v>
      </c>
      <c r="L385" s="5">
        <f t="shared" si="33"/>
        <v>1.7311608961303463E-2</v>
      </c>
      <c r="M385" s="5">
        <f t="shared" si="34"/>
        <v>7.3800738007380913E-3</v>
      </c>
      <c r="Q385">
        <f t="shared" si="35"/>
        <v>-11</v>
      </c>
      <c r="R385" s="5">
        <f t="shared" si="36"/>
        <v>4.6403712296984251E-3</v>
      </c>
      <c r="S385" s="5">
        <f t="shared" si="37"/>
        <v>2.5727069351230349E-2</v>
      </c>
      <c r="T385" s="5">
        <f t="shared" si="38"/>
        <v>7.7369439071566255E-3</v>
      </c>
    </row>
    <row r="386" spans="3:20" x14ac:dyDescent="0.25">
      <c r="C386">
        <f t="shared" si="27"/>
        <v>-10</v>
      </c>
      <c r="D386" s="5">
        <f t="shared" si="28"/>
        <v>4.3083372147182542E-3</v>
      </c>
      <c r="E386" s="5">
        <f t="shared" si="29"/>
        <v>2.2727272727272659E-2</v>
      </c>
      <c r="F386" s="5">
        <f t="shared" si="30"/>
        <v>1.073345259391777E-2</v>
      </c>
      <c r="J386">
        <f t="shared" si="31"/>
        <v>-10</v>
      </c>
      <c r="K386" s="5">
        <f t="shared" si="32"/>
        <v>4.3398812243032369E-3</v>
      </c>
      <c r="L386" s="5">
        <f t="shared" si="33"/>
        <v>2.4830699774266333E-2</v>
      </c>
      <c r="M386" s="5">
        <f t="shared" si="34"/>
        <v>9.5057034220532403E-3</v>
      </c>
      <c r="Q386">
        <f t="shared" si="35"/>
        <v>-10</v>
      </c>
      <c r="R386" s="5">
        <f t="shared" si="36"/>
        <v>5.202442886224891E-3</v>
      </c>
      <c r="S386" s="5">
        <f t="shared" si="37"/>
        <v>2.0706455542021926E-2</v>
      </c>
      <c r="T386" s="5">
        <f t="shared" si="38"/>
        <v>5.8823529411765035E-3</v>
      </c>
    </row>
    <row r="387" spans="3:20" x14ac:dyDescent="0.25">
      <c r="C387">
        <f t="shared" si="27"/>
        <v>-9</v>
      </c>
      <c r="D387" s="5">
        <f t="shared" si="28"/>
        <v>3.7095919448860951E-3</v>
      </c>
      <c r="E387" s="5">
        <f t="shared" si="29"/>
        <v>2.1857923497267815E-2</v>
      </c>
      <c r="F387" s="5">
        <f t="shared" si="30"/>
        <v>1.4678899082568846E-2</v>
      </c>
      <c r="J387">
        <f t="shared" si="31"/>
        <v>-9</v>
      </c>
      <c r="K387" s="5">
        <f t="shared" si="32"/>
        <v>5.7291666666666142E-3</v>
      </c>
      <c r="L387" s="5">
        <f t="shared" si="33"/>
        <v>2.2222222222222174E-2</v>
      </c>
      <c r="M387" s="5">
        <f t="shared" si="34"/>
        <v>5.7803468208092804E-3</v>
      </c>
      <c r="Q387">
        <f t="shared" si="35"/>
        <v>-9</v>
      </c>
      <c r="R387" s="5">
        <f t="shared" si="36"/>
        <v>5.9393156875404115E-3</v>
      </c>
      <c r="S387" s="5">
        <f t="shared" si="37"/>
        <v>1.7195767195767184E-2</v>
      </c>
      <c r="T387" s="5">
        <f t="shared" si="38"/>
        <v>5.9171597633135052E-3</v>
      </c>
    </row>
    <row r="388" spans="3:20" x14ac:dyDescent="0.25">
      <c r="C388">
        <f t="shared" si="27"/>
        <v>-8</v>
      </c>
      <c r="D388" s="5">
        <f t="shared" si="28"/>
        <v>5.8632927017435972E-3</v>
      </c>
      <c r="E388" s="5">
        <f t="shared" si="29"/>
        <v>2.0359281437125752E-2</v>
      </c>
      <c r="F388" s="5">
        <f t="shared" si="30"/>
        <v>7.476635514018776E-3</v>
      </c>
      <c r="J388">
        <f t="shared" si="31"/>
        <v>-8</v>
      </c>
      <c r="K388" s="5">
        <f t="shared" si="32"/>
        <v>6.2300562224585814E-3</v>
      </c>
      <c r="L388" s="5">
        <f t="shared" si="33"/>
        <v>2.0080321285140555E-2</v>
      </c>
      <c r="M388" s="5">
        <f t="shared" si="34"/>
        <v>5.8252427184466342E-3</v>
      </c>
      <c r="Q388">
        <f t="shared" si="35"/>
        <v>-8</v>
      </c>
      <c r="R388" s="5">
        <f t="shared" si="36"/>
        <v>6.0286360211002313E-3</v>
      </c>
      <c r="S388" s="5">
        <f t="shared" si="37"/>
        <v>1.4245014245014159E-2</v>
      </c>
      <c r="T388" s="5">
        <f t="shared" si="38"/>
        <v>7.9207920792078723E-3</v>
      </c>
    </row>
    <row r="389" spans="3:20" x14ac:dyDescent="0.25">
      <c r="C389">
        <f t="shared" si="27"/>
        <v>-7</v>
      </c>
      <c r="D389" s="5">
        <f t="shared" si="28"/>
        <v>6.8658378177768146E-3</v>
      </c>
      <c r="E389" s="5">
        <f t="shared" si="29"/>
        <v>1.6905071521456538E-2</v>
      </c>
      <c r="F389" s="5">
        <f t="shared" si="30"/>
        <v>7.5614366729678181E-3</v>
      </c>
      <c r="J389">
        <f t="shared" si="31"/>
        <v>-7</v>
      </c>
      <c r="K389" s="5">
        <f t="shared" si="32"/>
        <v>7.1337113590634986E-3</v>
      </c>
      <c r="L389" s="5">
        <f t="shared" si="33"/>
        <v>1.5804597701149406E-2</v>
      </c>
      <c r="M389" s="5">
        <f t="shared" si="34"/>
        <v>7.79727095516578E-3</v>
      </c>
      <c r="Q389">
        <f t="shared" si="35"/>
        <v>-7</v>
      </c>
      <c r="R389" s="5">
        <f t="shared" si="36"/>
        <v>6.7101922379398556E-3</v>
      </c>
      <c r="S389" s="5">
        <f t="shared" si="37"/>
        <v>1.21765601217655E-2</v>
      </c>
      <c r="T389" s="5">
        <f t="shared" si="38"/>
        <v>7.9207920792078723E-3</v>
      </c>
    </row>
    <row r="390" spans="3:20" x14ac:dyDescent="0.25">
      <c r="C390">
        <f t="shared" si="27"/>
        <v>-6</v>
      </c>
      <c r="D390" s="5">
        <f t="shared" si="28"/>
        <v>8.4072863148061464E-3</v>
      </c>
      <c r="E390" s="5">
        <f t="shared" si="29"/>
        <v>1.1173184357541929E-2</v>
      </c>
      <c r="F390" s="5">
        <f t="shared" si="30"/>
        <v>7.6190476190477058E-3</v>
      </c>
      <c r="J390">
        <f t="shared" si="31"/>
        <v>-6</v>
      </c>
      <c r="K390" s="5">
        <f t="shared" si="32"/>
        <v>8.2815734989649132E-3</v>
      </c>
      <c r="L390" s="5">
        <f t="shared" si="33"/>
        <v>7.6219512195122817E-3</v>
      </c>
      <c r="M390" s="5">
        <f t="shared" si="34"/>
        <v>5.8479532163743016E-3</v>
      </c>
      <c r="Q390">
        <f t="shared" si="35"/>
        <v>-6</v>
      </c>
      <c r="R390" s="5">
        <f t="shared" si="36"/>
        <v>7.983576642335774E-3</v>
      </c>
      <c r="S390" s="5">
        <f t="shared" si="37"/>
        <v>4.7999999999999432E-3</v>
      </c>
      <c r="T390" s="5">
        <f t="shared" si="38"/>
        <v>7.9051383399209012E-3</v>
      </c>
    </row>
    <row r="391" spans="3:20" x14ac:dyDescent="0.25">
      <c r="C391">
        <f t="shared" si="27"/>
        <v>-5</v>
      </c>
      <c r="D391" s="5">
        <f t="shared" si="28"/>
        <v>1.0735712030312644E-2</v>
      </c>
      <c r="E391" s="5">
        <f t="shared" si="29"/>
        <v>8.9285714285713223E-3</v>
      </c>
      <c r="F391" s="5">
        <f t="shared" si="30"/>
        <v>7.6481835564053075E-3</v>
      </c>
      <c r="J391">
        <f t="shared" si="31"/>
        <v>-5</v>
      </c>
      <c r="K391" s="5">
        <f t="shared" si="32"/>
        <v>1.0251630941286019E-2</v>
      </c>
      <c r="L391" s="5">
        <f t="shared" si="33"/>
        <v>1.5999999999999348E-3</v>
      </c>
      <c r="M391" s="5">
        <f t="shared" si="34"/>
        <v>7.79727095516578E-3</v>
      </c>
      <c r="Q391">
        <f t="shared" si="35"/>
        <v>-5</v>
      </c>
      <c r="R391" s="5">
        <f t="shared" si="36"/>
        <v>1.0464758387195933E-2</v>
      </c>
      <c r="S391" s="5">
        <f t="shared" si="37"/>
        <v>1.6722408026755172E-3</v>
      </c>
      <c r="T391" s="5">
        <f t="shared" si="38"/>
        <v>7.8740157480315862E-3</v>
      </c>
    </row>
    <row r="392" spans="3:20" x14ac:dyDescent="0.25">
      <c r="C392">
        <f t="shared" si="27"/>
        <v>-4</v>
      </c>
      <c r="D392" s="5">
        <f t="shared" si="28"/>
        <v>1.5624999999999905E-2</v>
      </c>
      <c r="E392" s="5">
        <f t="shared" si="29"/>
        <v>1.5649452269169942E-3</v>
      </c>
      <c r="F392" s="5">
        <f t="shared" si="30"/>
        <v>7.677543186180376E-3</v>
      </c>
      <c r="J392">
        <f t="shared" si="31"/>
        <v>-4</v>
      </c>
      <c r="K392" s="5">
        <f t="shared" si="32"/>
        <v>1.4853857211308058E-2</v>
      </c>
      <c r="L392" s="5">
        <f t="shared" si="33"/>
        <v>1.6666666666667433E-3</v>
      </c>
      <c r="M392" s="5">
        <f t="shared" si="34"/>
        <v>7.7821011673151275E-3</v>
      </c>
      <c r="Q392">
        <f t="shared" si="35"/>
        <v>-4</v>
      </c>
      <c r="R392" s="5">
        <f t="shared" si="36"/>
        <v>1.5165876777251225E-2</v>
      </c>
      <c r="S392" s="5">
        <f t="shared" si="37"/>
        <v>1.7331022530328584E-3</v>
      </c>
      <c r="T392" s="5">
        <f t="shared" si="38"/>
        <v>7.8277886497064107E-3</v>
      </c>
    </row>
    <row r="393" spans="3:20" x14ac:dyDescent="0.25">
      <c r="C393">
        <f t="shared" si="27"/>
        <v>-3</v>
      </c>
      <c r="D393" s="5">
        <f t="shared" si="28"/>
        <v>3.2397408207343444E-2</v>
      </c>
      <c r="E393" s="5">
        <f t="shared" si="29"/>
        <v>1.1400651465798006E-2</v>
      </c>
      <c r="F393" s="5">
        <f t="shared" si="30"/>
        <v>9.6153846153846246E-3</v>
      </c>
      <c r="J393">
        <f t="shared" si="31"/>
        <v>-3</v>
      </c>
      <c r="K393" s="5">
        <f t="shared" si="32"/>
        <v>3.1512605042016688E-2</v>
      </c>
      <c r="L393" s="5">
        <f t="shared" si="33"/>
        <v>6.8846815834767818E-3</v>
      </c>
      <c r="M393" s="5">
        <f t="shared" si="34"/>
        <v>7.7519379844960771E-3</v>
      </c>
      <c r="Q393">
        <f t="shared" si="35"/>
        <v>-3</v>
      </c>
      <c r="R393" s="5">
        <f t="shared" si="36"/>
        <v>3.1991744066047531E-2</v>
      </c>
      <c r="S393" s="5">
        <f t="shared" si="37"/>
        <v>7.1174377224199475E-3</v>
      </c>
      <c r="T393" s="5">
        <f t="shared" si="38"/>
        <v>7.7821011673151275E-3</v>
      </c>
    </row>
    <row r="394" spans="3:20" x14ac:dyDescent="0.25">
      <c r="C394">
        <f t="shared" si="27"/>
        <v>-2</v>
      </c>
      <c r="D394" s="5">
        <f t="shared" si="28"/>
        <v>0.14141414141414144</v>
      </c>
      <c r="E394" s="5">
        <f t="shared" si="29"/>
        <v>1.5177065767285104E-2</v>
      </c>
      <c r="F394" s="5">
        <f t="shared" si="30"/>
        <v>9.6153846153846246E-3</v>
      </c>
      <c r="J394">
        <f t="shared" si="31"/>
        <v>-2</v>
      </c>
      <c r="K394" s="5">
        <f t="shared" si="32"/>
        <v>0.16216216216216212</v>
      </c>
      <c r="L394" s="5">
        <f t="shared" si="33"/>
        <v>1.2389380530973408E-2</v>
      </c>
      <c r="M394" s="5">
        <f t="shared" si="34"/>
        <v>9.652509652509661E-3</v>
      </c>
      <c r="Q394">
        <f t="shared" si="35"/>
        <v>-2</v>
      </c>
      <c r="R394" s="5">
        <f t="shared" si="36"/>
        <v>0.17613636363636365</v>
      </c>
      <c r="S394" s="5">
        <f t="shared" si="37"/>
        <v>5.4844606946982894E-3</v>
      </c>
      <c r="T394" s="5">
        <f t="shared" si="38"/>
        <v>9.671179883945849E-3</v>
      </c>
    </row>
    <row r="395" spans="3:20" x14ac:dyDescent="0.25">
      <c r="C395">
        <f t="shared" si="27"/>
        <v>-1</v>
      </c>
      <c r="D395" s="5">
        <f t="shared" si="28"/>
        <v>2.1148036253776415E-2</v>
      </c>
      <c r="E395" s="5">
        <f t="shared" si="29"/>
        <v>2.0725388601036322E-2</v>
      </c>
      <c r="F395" s="5">
        <f t="shared" si="30"/>
        <v>1.1538461538461603E-2</v>
      </c>
      <c r="J395">
        <f t="shared" si="31"/>
        <v>-1</v>
      </c>
      <c r="K395" s="5">
        <f t="shared" si="32"/>
        <v>2.1180030257186268E-2</v>
      </c>
      <c r="L395" s="5">
        <f t="shared" si="33"/>
        <v>1.4440433212996429E-2</v>
      </c>
      <c r="M395" s="5">
        <f t="shared" si="34"/>
        <v>9.5969289827255357E-3</v>
      </c>
      <c r="Q395">
        <f t="shared" si="35"/>
        <v>-1</v>
      </c>
      <c r="R395" s="5">
        <f t="shared" si="36"/>
        <v>2.1936459909228542E-2</v>
      </c>
      <c r="S395" s="5">
        <f t="shared" si="37"/>
        <v>7.462686567164198E-3</v>
      </c>
      <c r="T395" s="5">
        <f t="shared" si="38"/>
        <v>9.5969289827255357E-3</v>
      </c>
    </row>
    <row r="396" spans="3:20" x14ac:dyDescent="0.25">
      <c r="C396">
        <f t="shared" si="27"/>
        <v>0</v>
      </c>
      <c r="D396" s="5">
        <f t="shared" si="28"/>
        <v>1.1024908125765651E-2</v>
      </c>
      <c r="E396" s="5">
        <f t="shared" si="29"/>
        <v>3.3450704225352124E-2</v>
      </c>
      <c r="F396" s="5">
        <f t="shared" si="30"/>
        <v>1.1516314779270564E-2</v>
      </c>
      <c r="J396">
        <f t="shared" si="31"/>
        <v>0</v>
      </c>
      <c r="K396" s="5">
        <f t="shared" si="32"/>
        <v>1.0564811052417793E-2</v>
      </c>
      <c r="L396" s="5">
        <f t="shared" si="33"/>
        <v>2.3809523809523794E-2</v>
      </c>
      <c r="M396" s="5">
        <f t="shared" si="34"/>
        <v>9.5419847328244364E-3</v>
      </c>
      <c r="Q396">
        <f t="shared" si="35"/>
        <v>0</v>
      </c>
      <c r="R396" s="5">
        <f t="shared" si="36"/>
        <v>1.0944466963923826E-2</v>
      </c>
      <c r="S396" s="5">
        <f t="shared" si="37"/>
        <v>1.3232514177693878E-2</v>
      </c>
      <c r="T396" s="5">
        <f t="shared" si="38"/>
        <v>9.5238095238095333E-3</v>
      </c>
    </row>
    <row r="397" spans="3:20" x14ac:dyDescent="0.25">
      <c r="C397">
        <f t="shared" si="27"/>
        <v>1</v>
      </c>
      <c r="D397" s="5">
        <f t="shared" si="28"/>
        <v>8.6883408071748644E-3</v>
      </c>
      <c r="E397" s="5">
        <f t="shared" si="29"/>
        <v>5.090909090909089E-2</v>
      </c>
      <c r="F397" s="5">
        <f t="shared" si="30"/>
        <v>1.1516314779270564E-2</v>
      </c>
      <c r="J397">
        <f t="shared" si="31"/>
        <v>1</v>
      </c>
      <c r="K397" s="5">
        <f t="shared" si="32"/>
        <v>6.674082313681752E-3</v>
      </c>
      <c r="L397" s="5">
        <f t="shared" si="33"/>
        <v>3.867403314917129E-2</v>
      </c>
      <c r="M397" s="5">
        <f t="shared" si="34"/>
        <v>1.330798479087451E-2</v>
      </c>
      <c r="Q397">
        <f t="shared" si="35"/>
        <v>1</v>
      </c>
      <c r="R397" s="5">
        <f t="shared" si="36"/>
        <v>5.2748473070516732E-3</v>
      </c>
      <c r="S397" s="5">
        <f t="shared" si="37"/>
        <v>3.7243947858472938E-2</v>
      </c>
      <c r="T397" s="5">
        <f t="shared" si="38"/>
        <v>1.5180265654648997E-2</v>
      </c>
    </row>
    <row r="398" spans="3:20" x14ac:dyDescent="0.25">
      <c r="C398">
        <f t="shared" si="27"/>
        <v>2</v>
      </c>
      <c r="D398" s="5">
        <f t="shared" si="28"/>
        <v>4.9176822749626347E-3</v>
      </c>
      <c r="E398" s="5">
        <f t="shared" si="29"/>
        <v>6.0661764705882429E-2</v>
      </c>
      <c r="F398" s="5">
        <f t="shared" si="30"/>
        <v>1.1538461538461603E-2</v>
      </c>
      <c r="J398">
        <f t="shared" si="31"/>
        <v>2</v>
      </c>
      <c r="K398" s="5">
        <f t="shared" si="32"/>
        <v>2.7618440620353164E-3</v>
      </c>
      <c r="L398" s="5">
        <f t="shared" si="33"/>
        <v>6.3868613138686067E-2</v>
      </c>
      <c r="M398" s="5">
        <f t="shared" si="34"/>
        <v>1.7142857142857237E-2</v>
      </c>
      <c r="Q398">
        <f t="shared" si="35"/>
        <v>2</v>
      </c>
      <c r="R398" s="5">
        <f t="shared" si="36"/>
        <v>2.7536538868884203E-3</v>
      </c>
      <c r="S398" s="5">
        <f t="shared" si="37"/>
        <v>6.1041292639138239E-2</v>
      </c>
      <c r="T398" s="5">
        <f t="shared" si="38"/>
        <v>1.5151515151515192E-2</v>
      </c>
    </row>
    <row r="399" spans="3:20" x14ac:dyDescent="0.25">
      <c r="C399">
        <f t="shared" si="27"/>
        <v>3</v>
      </c>
      <c r="D399" s="5">
        <f t="shared" si="28"/>
        <v>3.4734282737061513E-3</v>
      </c>
      <c r="E399" s="5">
        <f t="shared" si="29"/>
        <v>7.8152753108348044E-2</v>
      </c>
      <c r="F399" s="5">
        <f t="shared" si="30"/>
        <v>9.7656250000000087E-3</v>
      </c>
      <c r="J399">
        <f t="shared" si="31"/>
        <v>3</v>
      </c>
      <c r="K399" s="5">
        <f t="shared" si="32"/>
        <v>6.8917987594773768E-4</v>
      </c>
      <c r="L399" s="5">
        <f t="shared" si="33"/>
        <v>7.6388888888888937E-2</v>
      </c>
      <c r="M399" s="5">
        <f t="shared" si="34"/>
        <v>1.9157088122605248E-2</v>
      </c>
      <c r="Q399">
        <f t="shared" si="35"/>
        <v>3</v>
      </c>
      <c r="R399" s="5">
        <f t="shared" si="36"/>
        <v>3.4364261168381098E-4</v>
      </c>
      <c r="S399" s="5">
        <f t="shared" si="37"/>
        <v>6.6552901023890734E-2</v>
      </c>
      <c r="T399" s="5">
        <f t="shared" si="38"/>
        <v>2.0952380952381024E-2</v>
      </c>
    </row>
    <row r="400" spans="3:20" x14ac:dyDescent="0.25">
      <c r="C400">
        <f t="shared" si="27"/>
        <v>4</v>
      </c>
      <c r="D400" s="5">
        <f t="shared" si="28"/>
        <v>8.8600118133497479E-4</v>
      </c>
      <c r="E400" s="5">
        <f t="shared" si="29"/>
        <v>6.5466448445171882E-2</v>
      </c>
      <c r="F400" s="5">
        <f t="shared" si="30"/>
        <v>1.434426229508195E-2</v>
      </c>
      <c r="J400">
        <f t="shared" si="31"/>
        <v>4</v>
      </c>
      <c r="K400" s="5">
        <f t="shared" si="32"/>
        <v>1.4536996656489169E-4</v>
      </c>
      <c r="L400" s="5">
        <f t="shared" si="33"/>
        <v>8.0385852090032087E-2</v>
      </c>
      <c r="M400" s="5">
        <f t="shared" si="34"/>
        <v>1.9417475728155359E-2</v>
      </c>
      <c r="Q400">
        <f t="shared" si="35"/>
        <v>4</v>
      </c>
      <c r="R400" s="5">
        <f t="shared" si="36"/>
        <v>1.4457134595921497E-4</v>
      </c>
      <c r="S400" s="5">
        <f t="shared" si="37"/>
        <v>6.2499999999999958E-2</v>
      </c>
      <c r="T400" s="5">
        <f t="shared" si="38"/>
        <v>2.298850574712643E-2</v>
      </c>
    </row>
    <row r="401" spans="3:20" x14ac:dyDescent="0.25">
      <c r="C401">
        <f t="shared" si="27"/>
        <v>5</v>
      </c>
      <c r="D401" s="5">
        <f t="shared" si="28"/>
        <v>1.2344123945081142E-2</v>
      </c>
      <c r="E401" s="5">
        <f t="shared" si="29"/>
        <v>5.3221288515406064E-2</v>
      </c>
      <c r="F401" s="5">
        <f t="shared" si="30"/>
        <v>6.1752988047808738E-2</v>
      </c>
      <c r="J401">
        <f t="shared" si="31"/>
        <v>5</v>
      </c>
      <c r="K401" s="5">
        <f t="shared" si="32"/>
        <v>2.9047739328112768E-3</v>
      </c>
      <c r="L401" s="5">
        <f t="shared" si="33"/>
        <v>4.932735426008962E-2</v>
      </c>
      <c r="M401" s="5">
        <f t="shared" si="34"/>
        <v>8.0160320641282073E-3</v>
      </c>
      <c r="Q401">
        <f t="shared" si="35"/>
        <v>5</v>
      </c>
      <c r="R401" s="5">
        <f t="shared" si="36"/>
        <v>2.4996875390573422E-4</v>
      </c>
      <c r="S401" s="5">
        <f t="shared" si="37"/>
        <v>4.9549549549549612E-2</v>
      </c>
      <c r="T401" s="5">
        <f t="shared" si="38"/>
        <v>2.1276595744680788E-2</v>
      </c>
    </row>
    <row r="402" spans="3:20" x14ac:dyDescent="0.25">
      <c r="C402">
        <f t="shared" si="27"/>
        <v>6</v>
      </c>
      <c r="D402" s="5">
        <f t="shared" si="28"/>
        <v>7.5179657269209823E-3</v>
      </c>
      <c r="E402" s="5">
        <f t="shared" si="29"/>
        <v>3.5409035409035242E-2</v>
      </c>
      <c r="F402" s="5">
        <f t="shared" si="30"/>
        <v>4.950495049504941E-2</v>
      </c>
      <c r="J402">
        <f t="shared" si="31"/>
        <v>6</v>
      </c>
      <c r="K402" s="5">
        <f t="shared" si="32"/>
        <v>8.0904355535852523E-3</v>
      </c>
      <c r="L402" s="5">
        <f t="shared" si="33"/>
        <v>2.2880215343203232E-2</v>
      </c>
      <c r="M402" s="5">
        <f t="shared" si="34"/>
        <v>5.6338028169014023E-2</v>
      </c>
      <c r="Q402">
        <f t="shared" si="35"/>
        <v>6</v>
      </c>
      <c r="R402" s="5">
        <f t="shared" si="36"/>
        <v>3.643188341797395E-3</v>
      </c>
      <c r="S402" s="5">
        <f t="shared" si="37"/>
        <v>2.5641025641025706E-2</v>
      </c>
      <c r="T402" s="5">
        <f t="shared" si="38"/>
        <v>5.9405940594058357E-3</v>
      </c>
    </row>
    <row r="403" spans="3:20" x14ac:dyDescent="0.25">
      <c r="C403">
        <f t="shared" si="27"/>
        <v>7</v>
      </c>
      <c r="D403" s="5">
        <f t="shared" si="28"/>
        <v>4.5821296941925861E-3</v>
      </c>
      <c r="E403" s="5">
        <f t="shared" si="29"/>
        <v>2.1881838074398304E-2</v>
      </c>
      <c r="F403" s="5">
        <f t="shared" si="30"/>
        <v>4.1407867494823905E-2</v>
      </c>
      <c r="J403">
        <f t="shared" si="31"/>
        <v>7</v>
      </c>
      <c r="K403" s="5">
        <f t="shared" si="32"/>
        <v>3.0590092757054278E-3</v>
      </c>
      <c r="L403" s="5">
        <f t="shared" si="33"/>
        <v>1.2135922330097223E-2</v>
      </c>
      <c r="M403" s="5">
        <f t="shared" si="34"/>
        <v>3.5999999999999921E-2</v>
      </c>
      <c r="Q403">
        <f t="shared" si="35"/>
        <v>7</v>
      </c>
      <c r="R403" s="5">
        <f t="shared" si="36"/>
        <v>4.1241162608012388E-3</v>
      </c>
      <c r="S403" s="5">
        <f t="shared" si="37"/>
        <v>7.8226857887875052E-3</v>
      </c>
      <c r="T403" s="5">
        <f t="shared" si="38"/>
        <v>4.1257367387033353E-2</v>
      </c>
    </row>
    <row r="404" spans="3:20" x14ac:dyDescent="0.25">
      <c r="C404">
        <f t="shared" si="27"/>
        <v>8</v>
      </c>
      <c r="D404" s="5">
        <f t="shared" si="28"/>
        <v>4.0735041187652289E-3</v>
      </c>
      <c r="E404" s="5">
        <f t="shared" si="29"/>
        <v>1.2871287128712862E-2</v>
      </c>
      <c r="F404" s="5">
        <f t="shared" si="30"/>
        <v>4.3010752688172081E-2</v>
      </c>
      <c r="J404">
        <f t="shared" si="31"/>
        <v>8</v>
      </c>
      <c r="K404" s="5">
        <f t="shared" si="32"/>
        <v>2.5080616266570347E-3</v>
      </c>
      <c r="L404" s="5">
        <f t="shared" si="33"/>
        <v>7.7262693156733573E-3</v>
      </c>
      <c r="M404" s="5">
        <f t="shared" si="34"/>
        <v>3.7113402061855587E-2</v>
      </c>
      <c r="Q404">
        <f t="shared" si="35"/>
        <v>8</v>
      </c>
      <c r="R404" s="5">
        <f t="shared" si="36"/>
        <v>1.779517750689565E-3</v>
      </c>
      <c r="S404" s="5">
        <f t="shared" si="37"/>
        <v>5.9453032104639031E-3</v>
      </c>
      <c r="T404" s="5">
        <f t="shared" si="38"/>
        <v>3.2064128256512968E-2</v>
      </c>
    </row>
    <row r="405" spans="3:20" x14ac:dyDescent="0.25">
      <c r="C405">
        <f t="shared" si="27"/>
        <v>9</v>
      </c>
      <c r="D405" s="5">
        <f t="shared" si="28"/>
        <v>4.5692448284456759E-3</v>
      </c>
      <c r="E405" s="5">
        <f t="shared" si="29"/>
        <v>7.1877807726862964E-3</v>
      </c>
      <c r="F405" s="5">
        <f t="shared" si="30"/>
        <v>5.1685393258427047E-2</v>
      </c>
      <c r="J405">
        <f t="shared" si="31"/>
        <v>9</v>
      </c>
      <c r="K405" s="5">
        <f t="shared" si="32"/>
        <v>2.9546946815496127E-3</v>
      </c>
      <c r="L405" s="5">
        <f t="shared" si="33"/>
        <v>5.0301810865190843E-3</v>
      </c>
      <c r="M405" s="5">
        <f t="shared" si="34"/>
        <v>4.0339702760084903E-2</v>
      </c>
      <c r="Q405">
        <f t="shared" si="35"/>
        <v>9</v>
      </c>
      <c r="R405" s="5">
        <f t="shared" si="36"/>
        <v>2.1179537308569042E-3</v>
      </c>
      <c r="S405" s="5">
        <f t="shared" si="37"/>
        <v>2.1739130434781724E-3</v>
      </c>
      <c r="T405" s="5">
        <f t="shared" si="38"/>
        <v>3.4907597535934295E-2</v>
      </c>
    </row>
    <row r="406" spans="3:20" x14ac:dyDescent="0.25">
      <c r="C406">
        <f t="shared" si="27"/>
        <v>10</v>
      </c>
      <c r="D406" s="5">
        <f t="shared" si="28"/>
        <v>6.0820694433751776E-3</v>
      </c>
      <c r="E406" s="5">
        <f t="shared" si="29"/>
        <v>8.9285714285713465E-3</v>
      </c>
      <c r="F406" s="5">
        <f t="shared" si="30"/>
        <v>6.1757719714964326E-2</v>
      </c>
      <c r="J406">
        <f t="shared" si="31"/>
        <v>10</v>
      </c>
      <c r="K406" s="5">
        <f t="shared" si="32"/>
        <v>4.2511197145677143E-3</v>
      </c>
      <c r="L406" s="5">
        <f t="shared" si="33"/>
        <v>7.2992700729925617E-3</v>
      </c>
      <c r="M406" s="5">
        <f t="shared" si="34"/>
        <v>5.0884955752212468E-2</v>
      </c>
      <c r="Q406">
        <f t="shared" si="35"/>
        <v>10</v>
      </c>
      <c r="R406" s="5">
        <f t="shared" si="36"/>
        <v>2.9347580705847052E-3</v>
      </c>
      <c r="S406" s="5">
        <f t="shared" si="37"/>
        <v>3.9564787339266445E-3</v>
      </c>
      <c r="T406" s="5">
        <f t="shared" si="38"/>
        <v>4.2372881355932243E-2</v>
      </c>
    </row>
    <row r="407" spans="3:20" x14ac:dyDescent="0.25">
      <c r="C407">
        <f t="shared" si="27"/>
        <v>11</v>
      </c>
      <c r="D407" s="5">
        <f t="shared" si="28"/>
        <v>8.5697825147630861E-3</v>
      </c>
      <c r="E407" s="5">
        <f t="shared" si="29"/>
        <v>1.0980966325036664E-2</v>
      </c>
      <c r="F407" s="5">
        <f t="shared" si="30"/>
        <v>8.4832904884318883E-2</v>
      </c>
      <c r="J407">
        <f t="shared" si="31"/>
        <v>11</v>
      </c>
      <c r="K407" s="5">
        <f t="shared" si="32"/>
        <v>5.662914985488785E-3</v>
      </c>
      <c r="L407" s="5">
        <f t="shared" si="33"/>
        <v>7.4626865671641633E-3</v>
      </c>
      <c r="M407" s="5">
        <f t="shared" si="34"/>
        <v>6.2937062937062957E-2</v>
      </c>
      <c r="Q407">
        <f t="shared" si="35"/>
        <v>11</v>
      </c>
      <c r="R407" s="5">
        <f t="shared" si="36"/>
        <v>4.3456928576435013E-3</v>
      </c>
      <c r="S407" s="5">
        <f t="shared" si="37"/>
        <v>6.2949640287768777E-3</v>
      </c>
      <c r="T407" s="5">
        <f t="shared" si="38"/>
        <v>5.0772626931567408E-2</v>
      </c>
    </row>
    <row r="408" spans="3:20" x14ac:dyDescent="0.25">
      <c r="C408">
        <f t="shared" si="27"/>
        <v>12</v>
      </c>
      <c r="D408" s="5">
        <f t="shared" si="28"/>
        <v>1.5832935235105362E-2</v>
      </c>
      <c r="E408" s="5">
        <f t="shared" si="29"/>
        <v>1.7071569271175299E-2</v>
      </c>
      <c r="F408" s="5">
        <f t="shared" si="30"/>
        <v>0.16071428571428578</v>
      </c>
      <c r="J408">
        <f t="shared" si="31"/>
        <v>12</v>
      </c>
      <c r="K408" s="5">
        <f t="shared" si="32"/>
        <v>8.2595084260307511E-3</v>
      </c>
      <c r="L408" s="5">
        <f t="shared" si="33"/>
        <v>1.1210762331838497E-2</v>
      </c>
      <c r="M408" s="5">
        <f t="shared" si="34"/>
        <v>8.8383838383838273E-2</v>
      </c>
      <c r="Q408">
        <f t="shared" si="35"/>
        <v>12</v>
      </c>
      <c r="R408" s="5">
        <f t="shared" si="36"/>
        <v>5.7233076771264586E-3</v>
      </c>
      <c r="S408" s="5">
        <f t="shared" si="37"/>
        <v>4.8979591836735533E-3</v>
      </c>
      <c r="T408" s="5">
        <f t="shared" si="38"/>
        <v>6.5573770491803199E-2</v>
      </c>
    </row>
    <row r="409" spans="3:20" x14ac:dyDescent="0.25">
      <c r="C409">
        <f t="shared" si="27"/>
        <v>13</v>
      </c>
      <c r="D409" s="5">
        <f t="shared" si="28"/>
        <v>2.3412464848603792E-2</v>
      </c>
      <c r="E409" s="5">
        <f t="shared" si="29"/>
        <v>2.631578947368415E-2</v>
      </c>
      <c r="F409" s="5">
        <f t="shared" si="30"/>
        <v>0.26966292134831454</v>
      </c>
      <c r="J409">
        <f t="shared" si="31"/>
        <v>13</v>
      </c>
      <c r="K409" s="5">
        <f t="shared" si="32"/>
        <v>1.5352407536636426E-2</v>
      </c>
      <c r="L409" s="5">
        <f t="shared" si="33"/>
        <v>1.0803511141120893E-2</v>
      </c>
      <c r="M409" s="5">
        <f t="shared" si="34"/>
        <v>0.16764705882352932</v>
      </c>
      <c r="Q409">
        <f t="shared" si="35"/>
        <v>13</v>
      </c>
      <c r="R409" s="5">
        <f t="shared" si="36"/>
        <v>8.5927770859276532E-3</v>
      </c>
      <c r="S409" s="5">
        <f t="shared" si="37"/>
        <v>6.6469719350073708E-3</v>
      </c>
      <c r="T409" s="5">
        <f t="shared" si="38"/>
        <v>9.7435897435897381E-2</v>
      </c>
    </row>
    <row r="410" spans="3:20" x14ac:dyDescent="0.25">
      <c r="C410">
        <f t="shared" si="27"/>
        <v>14</v>
      </c>
      <c r="D410" s="5">
        <f t="shared" si="28"/>
        <v>2.9180908975819601E-2</v>
      </c>
      <c r="E410" s="5">
        <f t="shared" si="29"/>
        <v>5.1541182415361299E-2</v>
      </c>
      <c r="F410" s="5">
        <f t="shared" si="30"/>
        <v>0.38659793814432986</v>
      </c>
      <c r="J410">
        <f t="shared" si="31"/>
        <v>14</v>
      </c>
      <c r="K410" s="5">
        <f t="shared" si="32"/>
        <v>2.1930360415394038E-2</v>
      </c>
      <c r="L410" s="5">
        <f t="shared" si="33"/>
        <v>2.5717703349282289E-2</v>
      </c>
      <c r="M410" s="5">
        <f t="shared" si="34"/>
        <v>0.26492537313432829</v>
      </c>
      <c r="Q410">
        <f t="shared" si="35"/>
        <v>14</v>
      </c>
      <c r="R410" s="5">
        <f t="shared" si="36"/>
        <v>1.9639542542362831E-2</v>
      </c>
      <c r="S410" s="5">
        <f t="shared" si="37"/>
        <v>1.8445322793148929E-2</v>
      </c>
      <c r="T410" s="5">
        <f t="shared" si="38"/>
        <v>0.22712933753943212</v>
      </c>
    </row>
    <row r="411" spans="3:20" x14ac:dyDescent="0.25">
      <c r="C411">
        <f t="shared" si="27"/>
        <v>15</v>
      </c>
      <c r="D411" s="5">
        <f t="shared" si="28"/>
        <v>4.0612599206349138E-2</v>
      </c>
      <c r="E411" s="5">
        <f t="shared" si="29"/>
        <v>9.3684650773734932E-2</v>
      </c>
      <c r="F411" s="5">
        <f t="shared" si="30"/>
        <v>0.65040650406504052</v>
      </c>
      <c r="J411">
        <f t="shared" si="31"/>
        <v>15</v>
      </c>
      <c r="K411" s="5">
        <f t="shared" si="32"/>
        <v>2.9209213963429195E-2</v>
      </c>
      <c r="L411" s="5">
        <f t="shared" si="33"/>
        <v>5.9517701385325875E-2</v>
      </c>
      <c r="M411" s="5">
        <f t="shared" si="34"/>
        <v>0.40414507772020714</v>
      </c>
      <c r="Q411">
        <f t="shared" si="35"/>
        <v>15</v>
      </c>
      <c r="R411" s="5">
        <f t="shared" si="36"/>
        <v>2.3269275295207233E-2</v>
      </c>
      <c r="S411" s="5">
        <f t="shared" si="37"/>
        <v>3.8327526132404234E-2</v>
      </c>
      <c r="T411" s="5">
        <f t="shared" si="38"/>
        <v>0.30081300813008133</v>
      </c>
    </row>
    <row r="412" spans="3:20" x14ac:dyDescent="0.25">
      <c r="C412">
        <f t="shared" si="27"/>
        <v>16</v>
      </c>
      <c r="D412" s="5">
        <f t="shared" si="28"/>
        <v>5.8439559086150755E-2</v>
      </c>
      <c r="E412" s="5">
        <f t="shared" si="29"/>
        <v>0.15157480314960628</v>
      </c>
      <c r="F412" s="5">
        <f t="shared" si="30"/>
        <v>1.1029411764705883</v>
      </c>
      <c r="J412">
        <f t="shared" si="31"/>
        <v>16</v>
      </c>
      <c r="K412" s="5">
        <f t="shared" si="32"/>
        <v>4.1355576294913779E-2</v>
      </c>
      <c r="L412" s="5">
        <f t="shared" si="33"/>
        <v>0.10783487784330244</v>
      </c>
      <c r="M412" s="5">
        <f t="shared" si="34"/>
        <v>0.69421487603305798</v>
      </c>
      <c r="Q412">
        <f t="shared" si="35"/>
        <v>16</v>
      </c>
      <c r="R412" s="5">
        <f t="shared" si="36"/>
        <v>3.1617647058823563E-2</v>
      </c>
      <c r="S412" s="5">
        <f t="shared" si="37"/>
        <v>7.5943165115139766E-2</v>
      </c>
      <c r="T412" s="5">
        <f t="shared" si="38"/>
        <v>0.48520710059171618</v>
      </c>
    </row>
    <row r="413" spans="3:20" x14ac:dyDescent="0.25">
      <c r="C413">
        <f t="shared" si="27"/>
        <v>17</v>
      </c>
      <c r="D413" s="5">
        <f t="shared" si="28"/>
        <v>9.0105787181082794E-2</v>
      </c>
      <c r="E413" s="5">
        <f t="shared" si="29"/>
        <v>0.23277967757694179</v>
      </c>
      <c r="F413" s="5">
        <f t="shared" si="30"/>
        <v>1.0408163265306123</v>
      </c>
      <c r="J413">
        <f t="shared" si="31"/>
        <v>17</v>
      </c>
      <c r="K413" s="5">
        <f t="shared" si="32"/>
        <v>5.7715709567132123E-2</v>
      </c>
      <c r="L413" s="5">
        <f t="shared" si="33"/>
        <v>0.16158940397351002</v>
      </c>
      <c r="M413" s="5">
        <f t="shared" si="34"/>
        <v>1.1791044776119404</v>
      </c>
      <c r="Q413">
        <f t="shared" si="35"/>
        <v>17</v>
      </c>
      <c r="R413" s="5">
        <f t="shared" si="36"/>
        <v>4.7112802148612389E-2</v>
      </c>
      <c r="S413" s="5">
        <f t="shared" si="37"/>
        <v>0.13698630136986301</v>
      </c>
      <c r="T413" s="5">
        <f t="shared" si="38"/>
        <v>0.90816326530612268</v>
      </c>
    </row>
    <row r="414" spans="3:20" x14ac:dyDescent="0.25">
      <c r="C414">
        <f t="shared" si="27"/>
        <v>18</v>
      </c>
      <c r="D414" s="5">
        <f t="shared" si="28"/>
        <v>0.14320010381520901</v>
      </c>
      <c r="E414" s="5">
        <f t="shared" si="29"/>
        <v>0.3155107618722241</v>
      </c>
      <c r="F414" s="5">
        <f t="shared" si="30"/>
        <v>0.13793103448275859</v>
      </c>
      <c r="J414">
        <f t="shared" si="31"/>
        <v>18</v>
      </c>
      <c r="K414" s="5">
        <f t="shared" si="32"/>
        <v>9.3742634928116908E-2</v>
      </c>
      <c r="L414" s="5">
        <f t="shared" si="33"/>
        <v>0.25410231660231658</v>
      </c>
      <c r="M414" s="5">
        <f t="shared" si="34"/>
        <v>1.2666666666666671</v>
      </c>
      <c r="Q414">
        <f t="shared" si="35"/>
        <v>18</v>
      </c>
      <c r="R414" s="5">
        <f t="shared" si="36"/>
        <v>6.8066050937587427E-2</v>
      </c>
      <c r="S414" s="5">
        <f t="shared" si="37"/>
        <v>0.20054119061936257</v>
      </c>
      <c r="T414" s="5">
        <f t="shared" si="38"/>
        <v>1.5384615384615385</v>
      </c>
    </row>
    <row r="415" spans="3:20" x14ac:dyDescent="0.25">
      <c r="C415" t="s">
        <v>47</v>
      </c>
      <c r="D415" s="11">
        <f>AVERAGE(D378:D414)</f>
        <v>2.3492721420402034E-2</v>
      </c>
      <c r="E415" s="11">
        <f>AVERAGE(E378:E414)</f>
        <v>4.7743208786640338E-2</v>
      </c>
      <c r="F415" s="11">
        <f>AVERAGE(F378:F414)</f>
        <v>0.13474867693791723</v>
      </c>
      <c r="J415" t="s">
        <v>47</v>
      </c>
      <c r="K415" s="11">
        <f>AVERAGE(K378:K414)</f>
        <v>1.885227025546047E-2</v>
      </c>
      <c r="L415" s="11">
        <f>AVERAGE(L378:L414)</f>
        <v>3.7818419876197218E-2</v>
      </c>
      <c r="M415" s="11">
        <f>AVERAGE(M378:M414)</f>
        <v>0.14183606682184222</v>
      </c>
      <c r="Q415" t="s">
        <v>47</v>
      </c>
      <c r="R415" s="11">
        <f>AVERAGE(R378:R414)</f>
        <v>1.7001908832708187E-2</v>
      </c>
      <c r="S415" s="11">
        <f>AVERAGE(S378:S414)</f>
        <v>3.0612362383793577E-2</v>
      </c>
      <c r="T415" s="11">
        <f>AVERAGE(T378:T414)</f>
        <v>0.12624600193443081</v>
      </c>
    </row>
  </sheetData>
  <mergeCells count="18">
    <mergeCell ref="A4:D4"/>
    <mergeCell ref="F4:I4"/>
    <mergeCell ref="L4:O4"/>
    <mergeCell ref="A46:D46"/>
    <mergeCell ref="H46:K46"/>
    <mergeCell ref="O104:R104"/>
    <mergeCell ref="C291:F291"/>
    <mergeCell ref="H291:K291"/>
    <mergeCell ref="N291:Q291"/>
    <mergeCell ref="P46:S46"/>
    <mergeCell ref="A104:D104"/>
    <mergeCell ref="H104:K104"/>
    <mergeCell ref="C376:F376"/>
    <mergeCell ref="J376:M376"/>
    <mergeCell ref="Q376:T376"/>
    <mergeCell ref="C333:F333"/>
    <mergeCell ref="H333:K333"/>
    <mergeCell ref="N333:Q3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 Atencia Tatis</dc:creator>
  <cp:lastModifiedBy>Tomas Atencia Tatis</cp:lastModifiedBy>
  <dcterms:created xsi:type="dcterms:W3CDTF">2024-08-16T20:21:08Z</dcterms:created>
  <dcterms:modified xsi:type="dcterms:W3CDTF">2024-08-19T02:23:20Z</dcterms:modified>
</cp:coreProperties>
</file>