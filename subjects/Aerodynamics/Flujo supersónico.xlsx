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8_{02383A30-2E3C-4BF4-9368-B4BE8A9C5204}" xr6:coauthVersionLast="47" xr6:coauthVersionMax="47" xr10:uidLastSave="{00000000-0000-0000-0000-000000000000}"/>
  <bookViews>
    <workbookView xWindow="-120" yWindow="-120" windowWidth="29040" windowHeight="15720" activeTab="1" xr2:uid="{070E6511-5CB5-4CA5-A0D5-95558C107D3D}"/>
  </bookViews>
  <sheets>
    <sheet name="Hoja1" sheetId="1" r:id="rId1"/>
    <sheet name="Hoja2" sheetId="2" r:id="rId2"/>
  </sheets>
  <definedNames>
    <definedName name="_xlchart.v1.0" hidden="1">Hoja2!$B$6:$B$25</definedName>
    <definedName name="_xlchart.v1.1" hidden="1">Hoja2!$C$6:$C$25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6" i="2"/>
  <c r="F6" i="2"/>
  <c r="F25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6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3" i="1"/>
</calcChain>
</file>

<file path=xl/sharedStrings.xml><?xml version="1.0" encoding="utf-8"?>
<sst xmlns="http://schemas.openxmlformats.org/spreadsheetml/2006/main" count="11" uniqueCount="8">
  <si>
    <t>M</t>
  </si>
  <si>
    <t>rho/rho0</t>
  </si>
  <si>
    <t>Cl</t>
  </si>
  <si>
    <t>Cmc/4</t>
  </si>
  <si>
    <t>Cp0</t>
  </si>
  <si>
    <t>Cp con M</t>
  </si>
  <si>
    <t>Correcion</t>
  </si>
  <si>
    <t>Cp Karman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</si>
</sst>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Hoja1!$B$3:$B$43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Hoja1!$C$3:$C$43</c:f>
              <c:numCache>
                <c:formatCode>General</c:formatCode>
                <c:ptCount val="41"/>
                <c:pt idx="0">
                  <c:v>1</c:v>
                </c:pt>
                <c:pt idx="1">
                  <c:v>0.99968756834655992</c:v>
                </c:pt>
                <c:pt idx="2">
                  <c:v>0.99875109293025122</c:v>
                </c:pt>
                <c:pt idx="3">
                  <c:v>0.99719302777993557</c:v>
                </c:pt>
                <c:pt idx="4">
                  <c:v>0.99501744764400046</c:v>
                </c:pt>
                <c:pt idx="5">
                  <c:v>0.99223002519482817</c:v>
                </c:pt>
                <c:pt idx="6">
                  <c:v>0.98883799942083594</c:v>
                </c:pt>
                <c:pt idx="7">
                  <c:v>0.98485013550653666</c:v>
                </c:pt>
                <c:pt idx="8">
                  <c:v>0.98027667657942275</c:v>
                </c:pt>
                <c:pt idx="9">
                  <c:v>0.97512928777541907</c:v>
                </c:pt>
                <c:pt idx="10">
                  <c:v>0.96942099314119834</c:v>
                </c:pt>
                <c:pt idx="11">
                  <c:v>0.96316610595099383</c:v>
                </c:pt>
                <c:pt idx="12">
                  <c:v>0.95638015306690838</c:v>
                </c:pt>
                <c:pt idx="13">
                  <c:v>0.94907979401461273</c:v>
                </c:pt>
                <c:pt idx="14">
                  <c:v>0.94128273548032437</c:v>
                </c:pt>
                <c:pt idx="15">
                  <c:v>0.93300764195980235</c:v>
                </c:pt>
                <c:pt idx="16">
                  <c:v>0.92427404330578189</c:v>
                </c:pt>
                <c:pt idx="17">
                  <c:v>0.91510223992679829</c:v>
                </c:pt>
                <c:pt idx="18">
                  <c:v>0.90551320638802801</c:v>
                </c:pt>
                <c:pt idx="19">
                  <c:v>0.89552849415393898</c:v>
                </c:pt>
                <c:pt idx="20">
                  <c:v>0.88517013419368074</c:v>
                </c:pt>
                <c:pt idx="21">
                  <c:v>0.8744605401439095</c:v>
                </c:pt>
                <c:pt idx="22">
                  <c:v>0.86342241269079434</c:v>
                </c:pt>
                <c:pt idx="23">
                  <c:v>0.852078645794069</c:v>
                </c:pt>
                <c:pt idx="24">
                  <c:v>0.84045223533204394</c:v>
                </c:pt>
                <c:pt idx="25">
                  <c:v>0.82856619069827453</c:v>
                </c:pt>
                <c:pt idx="26">
                  <c:v>0.81644344982904504</c:v>
                </c:pt>
                <c:pt idx="27">
                  <c:v>0.80410679808681262</c:v>
                </c:pt>
                <c:pt idx="28">
                  <c:v>0.79157879136912335</c:v>
                </c:pt>
                <c:pt idx="29">
                  <c:v>0.77888168375613664</c:v>
                </c:pt>
                <c:pt idx="30">
                  <c:v>0.76603735995350442</c:v>
                </c:pt>
                <c:pt idx="31">
                  <c:v>0.75306727273173124</c:v>
                </c:pt>
                <c:pt idx="32">
                  <c:v>0.73999238550892377</c:v>
                </c:pt>
                <c:pt idx="33">
                  <c:v>0.7268331201716326</c:v>
                </c:pt>
                <c:pt idx="34">
                  <c:v>0.71360931017880791</c:v>
                </c:pt>
                <c:pt idx="35">
                  <c:v>0.70034015894717594</c:v>
                </c:pt>
                <c:pt idx="36">
                  <c:v>0.68704420347295669</c:v>
                </c:pt>
                <c:pt idx="37">
                  <c:v>0.67373928310504139</c:v>
                </c:pt>
                <c:pt idx="38">
                  <c:v>0.6604425133487819</c:v>
                </c:pt>
                <c:pt idx="39">
                  <c:v>0.64717026454747872</c:v>
                </c:pt>
                <c:pt idx="40">
                  <c:v>0.63393814526060888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83-46FC-A71A-E32A41D94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267855"/>
        <c:axId val="1192265935"/>
      </c:scatterChart>
      <c:valAx>
        <c:axId val="119226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2265935"/>
        <c:crosses val="autoZero"/>
        <c:crossBetween val="midCat"/>
      </c:valAx>
      <c:valAx>
        <c:axId val="11922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226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Cl vs Mach</a:t>
            </a:r>
          </a:p>
        </c:rich>
      </c:tx>
      <c:layout>
        <c:manualLayout>
          <c:xMode val="edge"/>
          <c:yMode val="edge"/>
          <c:x val="0.3645277777777777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Hoja2!$B$6:$B$25</c:f>
              <c:numCache>
                <c:formatCode>General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</c:numCache>
            </c:numRef>
          </c:xVal>
          <c:yVal>
            <c:numRef>
              <c:f>Hoja2!$C$6:$C$25</c:f>
              <c:numCache>
                <c:formatCode>General</c:formatCode>
                <c:ptCount val="20"/>
                <c:pt idx="0">
                  <c:v>0.83</c:v>
                </c:pt>
                <c:pt idx="1">
                  <c:v>0.83103944937411967</c:v>
                </c:pt>
                <c:pt idx="2">
                  <c:v>0.83418138666514596</c:v>
                </c:pt>
                <c:pt idx="3">
                  <c:v>0.83949808412412807</c:v>
                </c:pt>
                <c:pt idx="4">
                  <c:v>0.84711520271251572</c:v>
                </c:pt>
                <c:pt idx="5">
                  <c:v>0.85722031396057485</c:v>
                </c:pt>
                <c:pt idx="6">
                  <c:v>0.87007641447919215</c:v>
                </c:pt>
                <c:pt idx="7">
                  <c:v>0.88604245105481538</c:v>
                </c:pt>
                <c:pt idx="8">
                  <c:v>0.90560424447936838</c:v>
                </c:pt>
                <c:pt idx="9">
                  <c:v>0.92942156818671806</c:v>
                </c:pt>
                <c:pt idx="10">
                  <c:v>0.95840144685477879</c:v>
                </c:pt>
                <c:pt idx="11">
                  <c:v>0.99381600454815444</c:v>
                </c:pt>
                <c:pt idx="12">
                  <c:v>1.0374999999999999</c:v>
                </c:pt>
                <c:pt idx="13">
                  <c:v>1.0921998136332165</c:v>
                </c:pt>
                <c:pt idx="14">
                  <c:v>1.162232469743248</c:v>
                </c:pt>
                <c:pt idx="15">
                  <c:v>1.2548420503906343</c:v>
                </c:pt>
                <c:pt idx="16">
                  <c:v>1.3833333333333335</c:v>
                </c:pt>
                <c:pt idx="17">
                  <c:v>1.5756022729491479</c:v>
                </c:pt>
                <c:pt idx="18">
                  <c:v>1.9041505911256629</c:v>
                </c:pt>
                <c:pt idx="19">
                  <c:v>2.6581273531644456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C9-4558-A6BE-871D1E19A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566431"/>
        <c:axId val="1347566911"/>
      </c:scatterChart>
      <c:valAx>
        <c:axId val="134756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7566911"/>
        <c:crosses val="autoZero"/>
        <c:crossBetween val="midCat"/>
      </c:valAx>
      <c:valAx>
        <c:axId val="134756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7566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Cmc/4 vs Mach</a:t>
            </a:r>
          </a:p>
        </c:rich>
      </c:tx>
      <c:layout>
        <c:manualLayout>
          <c:xMode val="edge"/>
          <c:yMode val="edge"/>
          <c:x val="0.3645277777777777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Hoja2!$B$6:$B$25</c:f>
              <c:numCache>
                <c:formatCode>General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</c:numCache>
            </c:numRef>
          </c:xVal>
          <c:yVal>
            <c:numRef>
              <c:f>Hoja2!$D$6:$D$25</c:f>
              <c:numCache>
                <c:formatCode>General</c:formatCode>
                <c:ptCount val="20"/>
                <c:pt idx="0">
                  <c:v>-0.09</c:v>
                </c:pt>
                <c:pt idx="1">
                  <c:v>-9.0112711377916599E-2</c:v>
                </c:pt>
                <c:pt idx="2">
                  <c:v>-9.0453403373329078E-2</c:v>
                </c:pt>
                <c:pt idx="3">
                  <c:v>-9.1029912736351248E-2</c:v>
                </c:pt>
                <c:pt idx="4">
                  <c:v>-9.1855865354369182E-2</c:v>
                </c:pt>
                <c:pt idx="5">
                  <c:v>-9.2951600308978005E-2</c:v>
                </c:pt>
                <c:pt idx="6">
                  <c:v>-9.4345635304972641E-2</c:v>
                </c:pt>
                <c:pt idx="7">
                  <c:v>-9.6076892283052273E-2</c:v>
                </c:pt>
                <c:pt idx="8">
                  <c:v>-9.8198050606196574E-2</c:v>
                </c:pt>
                <c:pt idx="9">
                  <c:v>-0.10078065197205377</c:v>
                </c:pt>
                <c:pt idx="10">
                  <c:v>-0.10392304845413264</c:v>
                </c:pt>
                <c:pt idx="11">
                  <c:v>-0.10776318121606494</c:v>
                </c:pt>
                <c:pt idx="12">
                  <c:v>-0.11249999999999999</c:v>
                </c:pt>
                <c:pt idx="13">
                  <c:v>-0.11843130509275841</c:v>
                </c:pt>
                <c:pt idx="14">
                  <c:v>-0.12602520756252089</c:v>
                </c:pt>
                <c:pt idx="15">
                  <c:v>-0.13606721028332178</c:v>
                </c:pt>
                <c:pt idx="16">
                  <c:v>-0.15000000000000002</c:v>
                </c:pt>
                <c:pt idx="17">
                  <c:v>-0.17084843923544979</c:v>
                </c:pt>
                <c:pt idx="18">
                  <c:v>-0.20647416048350561</c:v>
                </c:pt>
                <c:pt idx="19">
                  <c:v>-0.28823067684915676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EB-4C99-BB95-E6D5141CE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566431"/>
        <c:axId val="1347566911"/>
      </c:scatterChart>
      <c:valAx>
        <c:axId val="134756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7566911"/>
        <c:crosses val="autoZero"/>
        <c:crossBetween val="midCat"/>
      </c:valAx>
      <c:valAx>
        <c:axId val="134756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7566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Cp vs Mach</a:t>
            </a:r>
          </a:p>
        </c:rich>
      </c:tx>
      <c:layout>
        <c:manualLayout>
          <c:xMode val="edge"/>
          <c:yMode val="edge"/>
          <c:x val="0.3645277777777777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Hoja2!$B$6:$B$25</c:f>
              <c:numCache>
                <c:formatCode>General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</c:numCache>
            </c:numRef>
          </c:xVal>
          <c:yVal>
            <c:numRef>
              <c:f>Hoja2!$E$6:$E$25</c:f>
              <c:numCache>
                <c:formatCode>General</c:formatCode>
                <c:ptCount val="20"/>
                <c:pt idx="0">
                  <c:v>-0.43</c:v>
                </c:pt>
                <c:pt idx="1">
                  <c:v>-0.43053850991671261</c:v>
                </c:pt>
                <c:pt idx="2">
                  <c:v>-0.43216626056146118</c:v>
                </c:pt>
                <c:pt idx="3">
                  <c:v>-0.43492069418478929</c:v>
                </c:pt>
                <c:pt idx="4">
                  <c:v>-0.43886691224865276</c:v>
                </c:pt>
                <c:pt idx="5">
                  <c:v>-0.44410209036511711</c:v>
                </c:pt>
                <c:pt idx="6">
                  <c:v>-0.45076247979042483</c:v>
                </c:pt>
                <c:pt idx="7">
                  <c:v>-0.45903404090791644</c:v>
                </c:pt>
                <c:pt idx="8">
                  <c:v>-0.4691684640073836</c:v>
                </c:pt>
                <c:pt idx="9">
                  <c:v>-0.48150755942203471</c:v>
                </c:pt>
                <c:pt idx="10">
                  <c:v>-0.4965212315030782</c:v>
                </c:pt>
                <c:pt idx="11">
                  <c:v>-0.51486853247675468</c:v>
                </c:pt>
                <c:pt idx="12">
                  <c:v>-0.53749999999999998</c:v>
                </c:pt>
                <c:pt idx="13">
                  <c:v>-0.56583845766540131</c:v>
                </c:pt>
                <c:pt idx="14">
                  <c:v>-0.60212043613204425</c:v>
                </c:pt>
                <c:pt idx="15">
                  <c:v>-0.65009889357587081</c:v>
                </c:pt>
                <c:pt idx="16">
                  <c:v>-0.71666666666666679</c:v>
                </c:pt>
                <c:pt idx="17">
                  <c:v>-0.81627587634714904</c:v>
                </c:pt>
                <c:pt idx="18">
                  <c:v>-0.98648765564341578</c:v>
                </c:pt>
                <c:pt idx="19">
                  <c:v>-1.377102122723749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FA-4A55-9CA0-9A899450485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Hoja2!$B$6:$B$25</c:f>
              <c:numCache>
                <c:formatCode>General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</c:numCache>
            </c:numRef>
          </c:xVal>
          <c:yVal>
            <c:numRef>
              <c:f>Hoja2!$F$6:$F$25</c:f>
              <c:numCache>
                <c:formatCode>General</c:formatCode>
                <c:ptCount val="20"/>
                <c:pt idx="0">
                  <c:v>0</c:v>
                </c:pt>
                <c:pt idx="1">
                  <c:v>-3.5939891798072532E-4</c:v>
                </c:pt>
                <c:pt idx="2">
                  <c:v>-1.426362693543006E-3</c:v>
                </c:pt>
                <c:pt idx="3">
                  <c:v>-3.1672273971503628E-3</c:v>
                </c:pt>
                <c:pt idx="4">
                  <c:v>-5.5260027047159023E-3</c:v>
                </c:pt>
                <c:pt idx="5">
                  <c:v>-8.4245446369924405E-3</c:v>
                </c:pt>
                <c:pt idx="6">
                  <c:v>-1.1762794242134904E-2</c:v>
                </c:pt>
                <c:pt idx="7">
                  <c:v>-1.5419079169669827E-2</c:v>
                </c:pt>
                <c:pt idx="8">
                  <c:v>-1.9250474351230683E-2</c:v>
                </c:pt>
                <c:pt idx="9">
                  <c:v>-2.3093217366488616E-2</c:v>
                </c:pt>
                <c:pt idx="10">
                  <c:v>-2.6763173544433749E-2</c:v>
                </c:pt>
                <c:pt idx="11">
                  <c:v>-3.0056345438951228E-2</c:v>
                </c:pt>
                <c:pt idx="12">
                  <c:v>-3.2749421027481247E-2</c:v>
                </c:pt>
                <c:pt idx="13">
                  <c:v>-3.460035481217906E-2</c:v>
                </c:pt>
                <c:pt idx="14">
                  <c:v>-3.5348975950178135E-2</c:v>
                </c:pt>
                <c:pt idx="15">
                  <c:v>-3.4717617595667064E-2</c:v>
                </c:pt>
                <c:pt idx="16">
                  <c:v>-3.2411761791073301E-2</c:v>
                </c:pt>
                <c:pt idx="17">
                  <c:v>-2.8120694485160348E-2</c:v>
                </c:pt>
                <c:pt idx="18">
                  <c:v>-2.151816556837037E-2</c:v>
                </c:pt>
                <c:pt idx="19">
                  <c:v>-1.2263049185687998E-2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FA-4A55-9CA0-9A8994504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566431"/>
        <c:axId val="1347566911"/>
      </c:scatterChart>
      <c:valAx>
        <c:axId val="13475664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7566911"/>
        <c:crosses val="autoZero"/>
        <c:crossBetween val="midCat"/>
      </c:valAx>
      <c:valAx>
        <c:axId val="134756691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7566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Cp</a:t>
            </a:r>
            <a:r>
              <a:rPr lang="es-CO" baseline="0"/>
              <a:t> Karman</a:t>
            </a:r>
            <a:r>
              <a:rPr lang="es-CO"/>
              <a:t> vs Mach</a:t>
            </a:r>
          </a:p>
        </c:rich>
      </c:tx>
      <c:layout>
        <c:manualLayout>
          <c:xMode val="edge"/>
          <c:yMode val="edge"/>
          <c:x val="0.3645277777777777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Hoja2!$B$6:$B$25</c:f>
              <c:numCache>
                <c:formatCode>General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</c:numCache>
            </c:numRef>
          </c:xVal>
          <c:yVal>
            <c:numRef>
              <c:f>Hoja2!$G$6:$G$25</c:f>
              <c:numCache>
                <c:formatCode>General</c:formatCode>
                <c:ptCount val="20"/>
                <c:pt idx="0">
                  <c:v>-0.43</c:v>
                </c:pt>
                <c:pt idx="1">
                  <c:v>-0.43065446576695871</c:v>
                </c:pt>
                <c:pt idx="2">
                  <c:v>-0.43263486047934602</c:v>
                </c:pt>
                <c:pt idx="3">
                  <c:v>-0.43599338925233955</c:v>
                </c:pt>
                <c:pt idx="4">
                  <c:v>-0.44082127402571541</c:v>
                </c:pt>
                <c:pt idx="5">
                  <c:v>-0.44725571058863489</c:v>
                </c:pt>
                <c:pt idx="6">
                  <c:v>-0.45549104156301062</c:v>
                </c:pt>
                <c:pt idx="7">
                  <c:v>-0.46579601112884605</c:v>
                </c:pt>
                <c:pt idx="8">
                  <c:v>-0.47854030843081086</c:v>
                </c:pt>
                <c:pt idx="9">
                  <c:v>-0.49423600461001432</c:v>
                </c:pt>
                <c:pt idx="10">
                  <c:v>-0.51360401737338102</c:v>
                </c:pt>
                <c:pt idx="11">
                  <c:v>-0.5376847920969221</c:v>
                </c:pt>
                <c:pt idx="12">
                  <c:v>-0.56803170409511228</c:v>
                </c:pt>
                <c:pt idx="13">
                  <c:v>-0.60707019731430434</c:v>
                </c:pt>
                <c:pt idx="14">
                  <c:v>-0.65881849989930819</c:v>
                </c:pt>
                <c:pt idx="15">
                  <c:v>-0.73048877966252579</c:v>
                </c:pt>
                <c:pt idx="16">
                  <c:v>-0.83657587548638168</c:v>
                </c:pt>
                <c:pt idx="17">
                  <c:v>-1.0116671919106153</c:v>
                </c:pt>
                <c:pt idx="18">
                  <c:v>-1.366787973099215</c:v>
                </c:pt>
                <c:pt idx="19">
                  <c:v>-2.6158322710008388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62-47C0-8DF4-5F691CC92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566431"/>
        <c:axId val="1347566911"/>
      </c:scatterChart>
      <c:valAx>
        <c:axId val="13475664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7566911"/>
        <c:crosses val="autoZero"/>
        <c:crossBetween val="midCat"/>
      </c:valAx>
      <c:valAx>
        <c:axId val="134756691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7566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11</xdr:row>
      <xdr:rowOff>52387</xdr:rowOff>
    </xdr:from>
    <xdr:to>
      <xdr:col>14</xdr:col>
      <xdr:colOff>552450</xdr:colOff>
      <xdr:row>25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E0EF65-19A3-65DF-0289-DE62F4FA9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700087</xdr:colOff>
      <xdr:row>29</xdr:row>
      <xdr:rowOff>119062</xdr:rowOff>
    </xdr:from>
    <xdr:to>
      <xdr:col>6</xdr:col>
      <xdr:colOff>700087</xdr:colOff>
      <xdr:row>44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E5FA5D-D21B-421E-C1B0-B452403FC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29</xdr:row>
      <xdr:rowOff>133350</xdr:rowOff>
    </xdr:from>
    <xdr:to>
      <xdr:col>13</xdr:col>
      <xdr:colOff>76200</xdr:colOff>
      <xdr:row>44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294B84-2A86-4223-9473-ECA8AADF4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304800</xdr:colOff>
      <xdr:row>30</xdr:row>
      <xdr:rowOff>171450</xdr:rowOff>
    </xdr:from>
    <xdr:to>
      <xdr:col>19</xdr:col>
      <xdr:colOff>304800</xdr:colOff>
      <xdr:row>45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B3E6CB-6219-4FEC-BD1B-3D4D3D3CF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85725</xdr:colOff>
      <xdr:row>5</xdr:row>
      <xdr:rowOff>104775</xdr:rowOff>
    </xdr:from>
    <xdr:to>
      <xdr:col>17</xdr:col>
      <xdr:colOff>85725</xdr:colOff>
      <xdr:row>19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EA659F-572B-4438-9CEF-F21AE9C04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BD5E-DFF4-40EE-9AB7-1F751DAFAD14}">
  <dimension ref="B2:C43"/>
  <sheetViews>
    <sheetView topLeftCell="A8" workbookViewId="0">
      <selection activeCell="R17" sqref="R17"/>
    </sheetView>
  </sheetViews>
  <sheetFormatPr baseColWidth="10" defaultRowHeight="15" x14ac:dyDescent="0.25"/>
  <sheetData>
    <row r="2" spans="2:3" x14ac:dyDescent="0.25">
      <c r="B2" s="1" t="s">
        <v>0</v>
      </c>
      <c r="C2" t="s">
        <v>1</v>
      </c>
    </row>
    <row r="3" spans="2:3" x14ac:dyDescent="0.25">
      <c r="B3">
        <v>0</v>
      </c>
      <c r="C3">
        <f>1/((1+((1.4-1)/2)*B3^2)^(1/(1.4-1)))</f>
        <v>1</v>
      </c>
    </row>
    <row r="4" spans="2:3" x14ac:dyDescent="0.25">
      <c r="B4">
        <v>2.5000000000000001E-2</v>
      </c>
      <c r="C4">
        <f t="shared" ref="C4:C43" si="0">1/((1+((1.4-1)/2)*B4^2)^(1/(1.4-1)))</f>
        <v>0.99968756834655992</v>
      </c>
    </row>
    <row r="5" spans="2:3" x14ac:dyDescent="0.25">
      <c r="B5">
        <v>0.05</v>
      </c>
      <c r="C5">
        <f t="shared" si="0"/>
        <v>0.99875109293025122</v>
      </c>
    </row>
    <row r="6" spans="2:3" x14ac:dyDescent="0.25">
      <c r="B6">
        <v>7.4999999999999997E-2</v>
      </c>
      <c r="C6">
        <f t="shared" si="0"/>
        <v>0.99719302777993557</v>
      </c>
    </row>
    <row r="7" spans="2:3" x14ac:dyDescent="0.25">
      <c r="B7">
        <v>0.1</v>
      </c>
      <c r="C7">
        <f t="shared" si="0"/>
        <v>0.99501744764400046</v>
      </c>
    </row>
    <row r="8" spans="2:3" x14ac:dyDescent="0.25">
      <c r="B8">
        <v>0.125</v>
      </c>
      <c r="C8">
        <f t="shared" si="0"/>
        <v>0.99223002519482817</v>
      </c>
    </row>
    <row r="9" spans="2:3" x14ac:dyDescent="0.25">
      <c r="B9">
        <v>0.15</v>
      </c>
      <c r="C9">
        <f t="shared" si="0"/>
        <v>0.98883799942083594</v>
      </c>
    </row>
    <row r="10" spans="2:3" x14ac:dyDescent="0.25">
      <c r="B10">
        <v>0.17499999999999999</v>
      </c>
      <c r="C10">
        <f t="shared" si="0"/>
        <v>0.98485013550653666</v>
      </c>
    </row>
    <row r="11" spans="2:3" x14ac:dyDescent="0.25">
      <c r="B11">
        <v>0.2</v>
      </c>
      <c r="C11">
        <f t="shared" si="0"/>
        <v>0.98027667657942275</v>
      </c>
    </row>
    <row r="12" spans="2:3" x14ac:dyDescent="0.25">
      <c r="B12">
        <v>0.22500000000000001</v>
      </c>
      <c r="C12">
        <f t="shared" si="0"/>
        <v>0.97512928777541907</v>
      </c>
    </row>
    <row r="13" spans="2:3" x14ac:dyDescent="0.25">
      <c r="B13">
        <v>0.25</v>
      </c>
      <c r="C13">
        <f t="shared" si="0"/>
        <v>0.96942099314119834</v>
      </c>
    </row>
    <row r="14" spans="2:3" x14ac:dyDescent="0.25">
      <c r="B14">
        <v>0.27500000000000002</v>
      </c>
      <c r="C14">
        <f t="shared" si="0"/>
        <v>0.96316610595099383</v>
      </c>
    </row>
    <row r="15" spans="2:3" x14ac:dyDescent="0.25">
      <c r="B15">
        <v>0.3</v>
      </c>
      <c r="C15">
        <f t="shared" si="0"/>
        <v>0.95638015306690838</v>
      </c>
    </row>
    <row r="16" spans="2:3" x14ac:dyDescent="0.25">
      <c r="B16">
        <v>0.32500000000000001</v>
      </c>
      <c r="C16">
        <f t="shared" si="0"/>
        <v>0.94907979401461273</v>
      </c>
    </row>
    <row r="17" spans="2:3" x14ac:dyDescent="0.25">
      <c r="B17">
        <v>0.35</v>
      </c>
      <c r="C17">
        <f t="shared" si="0"/>
        <v>0.94128273548032437</v>
      </c>
    </row>
    <row r="18" spans="2:3" x14ac:dyDescent="0.25">
      <c r="B18">
        <v>0.375</v>
      </c>
      <c r="C18">
        <f t="shared" si="0"/>
        <v>0.93300764195980235</v>
      </c>
    </row>
    <row r="19" spans="2:3" x14ac:dyDescent="0.25">
      <c r="B19">
        <v>0.4</v>
      </c>
      <c r="C19">
        <f t="shared" si="0"/>
        <v>0.92427404330578189</v>
      </c>
    </row>
    <row r="20" spans="2:3" x14ac:dyDescent="0.25">
      <c r="B20">
        <v>0.42499999999999999</v>
      </c>
      <c r="C20">
        <f t="shared" si="0"/>
        <v>0.91510223992679829</v>
      </c>
    </row>
    <row r="21" spans="2:3" x14ac:dyDescent="0.25">
      <c r="B21">
        <v>0.45</v>
      </c>
      <c r="C21">
        <f t="shared" si="0"/>
        <v>0.90551320638802801</v>
      </c>
    </row>
    <row r="22" spans="2:3" x14ac:dyDescent="0.25">
      <c r="B22">
        <v>0.47499999999999998</v>
      </c>
      <c r="C22">
        <f t="shared" si="0"/>
        <v>0.89552849415393898</v>
      </c>
    </row>
    <row r="23" spans="2:3" x14ac:dyDescent="0.25">
      <c r="B23">
        <v>0.5</v>
      </c>
      <c r="C23">
        <f t="shared" si="0"/>
        <v>0.88517013419368074</v>
      </c>
    </row>
    <row r="24" spans="2:3" x14ac:dyDescent="0.25">
      <c r="B24">
        <v>0.52500000000000002</v>
      </c>
      <c r="C24">
        <f t="shared" si="0"/>
        <v>0.8744605401439095</v>
      </c>
    </row>
    <row r="25" spans="2:3" x14ac:dyDescent="0.25">
      <c r="B25">
        <v>0.55000000000000004</v>
      </c>
      <c r="C25">
        <f t="shared" si="0"/>
        <v>0.86342241269079434</v>
      </c>
    </row>
    <row r="26" spans="2:3" x14ac:dyDescent="0.25">
      <c r="B26">
        <v>0.57499999999999996</v>
      </c>
      <c r="C26">
        <f t="shared" si="0"/>
        <v>0.852078645794069</v>
      </c>
    </row>
    <row r="27" spans="2:3" x14ac:dyDescent="0.25">
      <c r="B27">
        <v>0.6</v>
      </c>
      <c r="C27">
        <f t="shared" si="0"/>
        <v>0.84045223533204394</v>
      </c>
    </row>
    <row r="28" spans="2:3" x14ac:dyDescent="0.25">
      <c r="B28">
        <v>0.625</v>
      </c>
      <c r="C28">
        <f t="shared" si="0"/>
        <v>0.82856619069827453</v>
      </c>
    </row>
    <row r="29" spans="2:3" x14ac:dyDescent="0.25">
      <c r="B29">
        <v>0.65</v>
      </c>
      <c r="C29">
        <f t="shared" si="0"/>
        <v>0.81644344982904504</v>
      </c>
    </row>
    <row r="30" spans="2:3" x14ac:dyDescent="0.25">
      <c r="B30">
        <v>0.67500000000000004</v>
      </c>
      <c r="C30">
        <f t="shared" si="0"/>
        <v>0.80410679808681262</v>
      </c>
    </row>
    <row r="31" spans="2:3" x14ac:dyDescent="0.25">
      <c r="B31">
        <v>0.7</v>
      </c>
      <c r="C31">
        <f t="shared" si="0"/>
        <v>0.79157879136912335</v>
      </c>
    </row>
    <row r="32" spans="2:3" x14ac:dyDescent="0.25">
      <c r="B32">
        <v>0.72499999999999998</v>
      </c>
      <c r="C32">
        <f t="shared" si="0"/>
        <v>0.77888168375613664</v>
      </c>
    </row>
    <row r="33" spans="2:3" x14ac:dyDescent="0.25">
      <c r="B33">
        <v>0.75</v>
      </c>
      <c r="C33">
        <f t="shared" si="0"/>
        <v>0.76603735995350442</v>
      </c>
    </row>
    <row r="34" spans="2:3" x14ac:dyDescent="0.25">
      <c r="B34">
        <v>0.77500000000000002</v>
      </c>
      <c r="C34">
        <f t="shared" si="0"/>
        <v>0.75306727273173124</v>
      </c>
    </row>
    <row r="35" spans="2:3" x14ac:dyDescent="0.25">
      <c r="B35">
        <v>0.8</v>
      </c>
      <c r="C35">
        <f t="shared" si="0"/>
        <v>0.73999238550892377</v>
      </c>
    </row>
    <row r="36" spans="2:3" x14ac:dyDescent="0.25">
      <c r="B36">
        <v>0.82499999999999996</v>
      </c>
      <c r="C36">
        <f t="shared" si="0"/>
        <v>0.7268331201716326</v>
      </c>
    </row>
    <row r="37" spans="2:3" x14ac:dyDescent="0.25">
      <c r="B37">
        <v>0.85</v>
      </c>
      <c r="C37">
        <f t="shared" si="0"/>
        <v>0.71360931017880791</v>
      </c>
    </row>
    <row r="38" spans="2:3" x14ac:dyDescent="0.25">
      <c r="B38">
        <v>0.875</v>
      </c>
      <c r="C38">
        <f t="shared" si="0"/>
        <v>0.70034015894717594</v>
      </c>
    </row>
    <row r="39" spans="2:3" x14ac:dyDescent="0.25">
      <c r="B39">
        <v>0.9</v>
      </c>
      <c r="C39">
        <f t="shared" si="0"/>
        <v>0.68704420347295669</v>
      </c>
    </row>
    <row r="40" spans="2:3" x14ac:dyDescent="0.25">
      <c r="B40">
        <v>0.92500000000000004</v>
      </c>
      <c r="C40">
        <f t="shared" si="0"/>
        <v>0.67373928310504139</v>
      </c>
    </row>
    <row r="41" spans="2:3" x14ac:dyDescent="0.25">
      <c r="B41">
        <v>0.95</v>
      </c>
      <c r="C41">
        <f t="shared" si="0"/>
        <v>0.6604425133487819</v>
      </c>
    </row>
    <row r="42" spans="2:3" x14ac:dyDescent="0.25">
      <c r="B42">
        <v>0.97499999999999998</v>
      </c>
      <c r="C42">
        <f t="shared" si="0"/>
        <v>0.64717026454747872</v>
      </c>
    </row>
    <row r="43" spans="2:3" x14ac:dyDescent="0.25">
      <c r="B43">
        <v>1</v>
      </c>
      <c r="C43">
        <f t="shared" si="0"/>
        <v>0.63393814526060888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A2BF-7251-470F-9929-F5E923695E6D}">
  <dimension ref="B1:G25"/>
  <sheetViews>
    <sheetView tabSelected="1" workbookViewId="0">
      <selection activeCell="S15" sqref="S15"/>
    </sheetView>
  </sheetViews>
  <sheetFormatPr baseColWidth="10" defaultRowHeight="15" x14ac:dyDescent="0.25"/>
  <sheetData>
    <row r="1" spans="2:7" x14ac:dyDescent="0.25">
      <c r="C1" t="s">
        <v>2</v>
      </c>
      <c r="D1" t="s">
        <v>3</v>
      </c>
      <c r="E1" t="s">
        <v>4</v>
      </c>
    </row>
    <row r="2" spans="2:7" x14ac:dyDescent="0.25">
      <c r="C2">
        <v>0.83</v>
      </c>
      <c r="D2">
        <v>-0.09</v>
      </c>
      <c r="E2">
        <v>-0.43</v>
      </c>
    </row>
    <row r="5" spans="2:7" x14ac:dyDescent="0.25">
      <c r="B5" t="s">
        <v>0</v>
      </c>
      <c r="C5" t="s">
        <v>2</v>
      </c>
      <c r="D5" t="s">
        <v>3</v>
      </c>
      <c r="E5" t="s">
        <v>5</v>
      </c>
      <c r="F5" t="s">
        <v>6</v>
      </c>
      <c r="G5" t="s">
        <v>7</v>
      </c>
    </row>
    <row r="6" spans="2:7" x14ac:dyDescent="0.25">
      <c r="B6">
        <v>0</v>
      </c>
      <c r="C6">
        <f>$C$2/SQRT(1-B6^2)</f>
        <v>0.83</v>
      </c>
      <c r="D6">
        <f>$D$2/SQRT(1-B6^2)</f>
        <v>-0.09</v>
      </c>
      <c r="E6">
        <f>$E$2/SQRT(1-B6^2)</f>
        <v>-0.43</v>
      </c>
      <c r="F6">
        <f>(2/1.4*B6^2)*((((2+(1.4-1)*B6^2)/(1.4+1))^(1.4/(1.4+1))-1))</f>
        <v>0</v>
      </c>
      <c r="G6">
        <f>$E$2/(SQRT(1-B6^2)+((B6^2)/(1+SQRT(1-B6^2)))*($E$2/2))</f>
        <v>-0.43</v>
      </c>
    </row>
    <row r="7" spans="2:7" x14ac:dyDescent="0.25">
      <c r="B7">
        <v>0.05</v>
      </c>
      <c r="C7">
        <f>$C$2/SQRT(1-B7^2)</f>
        <v>0.83103944937411967</v>
      </c>
      <c r="D7">
        <f t="shared" ref="D7:D25" si="0">$D$2/SQRT(1-B7^2)</f>
        <v>-9.0112711377916599E-2</v>
      </c>
      <c r="E7">
        <f>$E$2/SQRT(1-B7^2)</f>
        <v>-0.43053850991671261</v>
      </c>
      <c r="F7">
        <f>(2/1.4*B7^2)*((((2+(1.4-1)*B7^2)/(1.4+1))^(1.4/(1.4+1))-1))</f>
        <v>-3.5939891798072532E-4</v>
      </c>
      <c r="G7">
        <f t="shared" ref="G7:G25" si="1">$E$2/(SQRT(1-B7^2)+((B7^2)/(1+SQRT(1-B7^2)))*($E$2/2))</f>
        <v>-0.43065446576695871</v>
      </c>
    </row>
    <row r="8" spans="2:7" x14ac:dyDescent="0.25">
      <c r="B8">
        <v>0.1</v>
      </c>
      <c r="C8">
        <f>$C$2/SQRT(1-B8^2)</f>
        <v>0.83418138666514596</v>
      </c>
      <c r="D8">
        <f t="shared" si="0"/>
        <v>-9.0453403373329078E-2</v>
      </c>
      <c r="E8">
        <f>$E$2/SQRT(1-B8^2)</f>
        <v>-0.43216626056146118</v>
      </c>
      <c r="F8">
        <f>(2/1.4*B8^2)*((((2+(1.4-1)*B8^2)/(1.4+1))^(1.4/(1.4+1))-1))</f>
        <v>-1.426362693543006E-3</v>
      </c>
      <c r="G8">
        <f t="shared" si="1"/>
        <v>-0.43263486047934602</v>
      </c>
    </row>
    <row r="9" spans="2:7" x14ac:dyDescent="0.25">
      <c r="B9">
        <v>0.15</v>
      </c>
      <c r="C9">
        <f>$C$2/SQRT(1-B9^2)</f>
        <v>0.83949808412412807</v>
      </c>
      <c r="D9">
        <f t="shared" si="0"/>
        <v>-9.1029912736351248E-2</v>
      </c>
      <c r="E9">
        <f>$E$2/SQRT(1-B9^2)</f>
        <v>-0.43492069418478929</v>
      </c>
      <c r="F9">
        <f>(2/1.4*B9^2)*((((2+(1.4-1)*B9^2)/(1.4+1))^(1.4/(1.4+1))-1))</f>
        <v>-3.1672273971503628E-3</v>
      </c>
      <c r="G9">
        <f t="shared" si="1"/>
        <v>-0.43599338925233955</v>
      </c>
    </row>
    <row r="10" spans="2:7" x14ac:dyDescent="0.25">
      <c r="B10">
        <v>0.2</v>
      </c>
      <c r="C10">
        <f>$C$2/SQRT(1-B10^2)</f>
        <v>0.84711520271251572</v>
      </c>
      <c r="D10">
        <f t="shared" si="0"/>
        <v>-9.1855865354369182E-2</v>
      </c>
      <c r="E10">
        <f>$E$2/SQRT(1-B10^2)</f>
        <v>-0.43886691224865276</v>
      </c>
      <c r="F10">
        <f>(2/1.4*B10^2)*((((2+(1.4-1)*B10^2)/(1.4+1))^(1.4/(1.4+1))-1))</f>
        <v>-5.5260027047159023E-3</v>
      </c>
      <c r="G10">
        <f t="shared" si="1"/>
        <v>-0.44082127402571541</v>
      </c>
    </row>
    <row r="11" spans="2:7" x14ac:dyDescent="0.25">
      <c r="B11">
        <v>0.25</v>
      </c>
      <c r="C11">
        <f>$C$2/SQRT(1-B11^2)</f>
        <v>0.85722031396057485</v>
      </c>
      <c r="D11">
        <f t="shared" si="0"/>
        <v>-9.2951600308978005E-2</v>
      </c>
      <c r="E11">
        <f>$E$2/SQRT(1-B11^2)</f>
        <v>-0.44410209036511711</v>
      </c>
      <c r="F11">
        <f>(2/1.4*B11^2)*((((2+(1.4-1)*B11^2)/(1.4+1))^(1.4/(1.4+1))-1))</f>
        <v>-8.4245446369924405E-3</v>
      </c>
      <c r="G11">
        <f t="shared" si="1"/>
        <v>-0.44725571058863489</v>
      </c>
    </row>
    <row r="12" spans="2:7" x14ac:dyDescent="0.25">
      <c r="B12">
        <v>0.3</v>
      </c>
      <c r="C12">
        <f>$C$2/SQRT(1-B12^2)</f>
        <v>0.87007641447919215</v>
      </c>
      <c r="D12">
        <f t="shared" si="0"/>
        <v>-9.4345635304972641E-2</v>
      </c>
      <c r="E12">
        <f>$E$2/SQRT(1-B12^2)</f>
        <v>-0.45076247979042483</v>
      </c>
      <c r="F12">
        <f>(2/1.4*B12^2)*((((2+(1.4-1)*B12^2)/(1.4+1))^(1.4/(1.4+1))-1))</f>
        <v>-1.1762794242134904E-2</v>
      </c>
      <c r="G12">
        <f t="shared" si="1"/>
        <v>-0.45549104156301062</v>
      </c>
    </row>
    <row r="13" spans="2:7" x14ac:dyDescent="0.25">
      <c r="B13">
        <v>0.35</v>
      </c>
      <c r="C13">
        <f>$C$2/SQRT(1-B13^2)</f>
        <v>0.88604245105481538</v>
      </c>
      <c r="D13">
        <f t="shared" si="0"/>
        <v>-9.6076892283052273E-2</v>
      </c>
      <c r="E13">
        <f>$E$2/SQRT(1-B13^2)</f>
        <v>-0.45903404090791644</v>
      </c>
      <c r="F13">
        <f>(2/1.4*B13^2)*((((2+(1.4-1)*B13^2)/(1.4+1))^(1.4/(1.4+1))-1))</f>
        <v>-1.5419079169669827E-2</v>
      </c>
      <c r="G13">
        <f t="shared" si="1"/>
        <v>-0.46579601112884605</v>
      </c>
    </row>
    <row r="14" spans="2:7" x14ac:dyDescent="0.25">
      <c r="B14">
        <v>0.4</v>
      </c>
      <c r="C14">
        <f>$C$2/SQRT(1-B14^2)</f>
        <v>0.90560424447936838</v>
      </c>
      <c r="D14">
        <f t="shared" si="0"/>
        <v>-9.8198050606196574E-2</v>
      </c>
      <c r="E14">
        <f>$E$2/SQRT(1-B14^2)</f>
        <v>-0.4691684640073836</v>
      </c>
      <c r="F14">
        <f>(2/1.4*B14^2)*((((2+(1.4-1)*B14^2)/(1.4+1))^(1.4/(1.4+1))-1))</f>
        <v>-1.9250474351230683E-2</v>
      </c>
      <c r="G14">
        <f t="shared" si="1"/>
        <v>-0.47854030843081086</v>
      </c>
    </row>
    <row r="15" spans="2:7" x14ac:dyDescent="0.25">
      <c r="B15">
        <v>0.45</v>
      </c>
      <c r="C15">
        <f>$C$2/SQRT(1-B15^2)</f>
        <v>0.92942156818671806</v>
      </c>
      <c r="D15">
        <f t="shared" si="0"/>
        <v>-0.10078065197205377</v>
      </c>
      <c r="E15">
        <f>$E$2/SQRT(1-B15^2)</f>
        <v>-0.48150755942203471</v>
      </c>
      <c r="F15">
        <f>(2/1.4*B15^2)*((((2+(1.4-1)*B15^2)/(1.4+1))^(1.4/(1.4+1))-1))</f>
        <v>-2.3093217366488616E-2</v>
      </c>
      <c r="G15">
        <f t="shared" si="1"/>
        <v>-0.49423600461001432</v>
      </c>
    </row>
    <row r="16" spans="2:7" x14ac:dyDescent="0.25">
      <c r="B16">
        <v>0.5</v>
      </c>
      <c r="C16">
        <f>$C$2/SQRT(1-B16^2)</f>
        <v>0.95840144685477879</v>
      </c>
      <c r="D16">
        <f t="shared" si="0"/>
        <v>-0.10392304845413264</v>
      </c>
      <c r="E16">
        <f>$E$2/SQRT(1-B16^2)</f>
        <v>-0.4965212315030782</v>
      </c>
      <c r="F16">
        <f>(2/1.4*B16^2)*((((2+(1.4-1)*B16^2)/(1.4+1))^(1.4/(1.4+1))-1))</f>
        <v>-2.6763173544433749E-2</v>
      </c>
      <c r="G16">
        <f t="shared" si="1"/>
        <v>-0.51360401737338102</v>
      </c>
    </row>
    <row r="17" spans="2:7" x14ac:dyDescent="0.25">
      <c r="B17">
        <v>0.55000000000000004</v>
      </c>
      <c r="C17">
        <f>$C$2/SQRT(1-B17^2)</f>
        <v>0.99381600454815444</v>
      </c>
      <c r="D17">
        <f t="shared" si="0"/>
        <v>-0.10776318121606494</v>
      </c>
      <c r="E17">
        <f>$E$2/SQRT(1-B17^2)</f>
        <v>-0.51486853247675468</v>
      </c>
      <c r="F17">
        <f>(2/1.4*B17^2)*((((2+(1.4-1)*B17^2)/(1.4+1))^(1.4/(1.4+1))-1))</f>
        <v>-3.0056345438951228E-2</v>
      </c>
      <c r="G17">
        <f t="shared" si="1"/>
        <v>-0.5376847920969221</v>
      </c>
    </row>
    <row r="18" spans="2:7" x14ac:dyDescent="0.25">
      <c r="B18">
        <v>0.6</v>
      </c>
      <c r="C18">
        <f>$C$2/SQRT(1-B18^2)</f>
        <v>1.0374999999999999</v>
      </c>
      <c r="D18">
        <f t="shared" si="0"/>
        <v>-0.11249999999999999</v>
      </c>
      <c r="E18">
        <f>$E$2/SQRT(1-B18^2)</f>
        <v>-0.53749999999999998</v>
      </c>
      <c r="F18">
        <f>(2/1.4*B18^2)*((((2+(1.4-1)*B18^2)/(1.4+1))^(1.4/(1.4+1))-1))</f>
        <v>-3.2749421027481247E-2</v>
      </c>
      <c r="G18">
        <f t="shared" si="1"/>
        <v>-0.56803170409511228</v>
      </c>
    </row>
    <row r="19" spans="2:7" x14ac:dyDescent="0.25">
      <c r="B19">
        <v>0.65</v>
      </c>
      <c r="C19">
        <f>$C$2/SQRT(1-B19^2)</f>
        <v>1.0921998136332165</v>
      </c>
      <c r="D19">
        <f t="shared" si="0"/>
        <v>-0.11843130509275841</v>
      </c>
      <c r="E19">
        <f>$E$2/SQRT(1-B19^2)</f>
        <v>-0.56583845766540131</v>
      </c>
      <c r="F19">
        <f>(2/1.4*B19^2)*((((2+(1.4-1)*B19^2)/(1.4+1))^(1.4/(1.4+1))-1))</f>
        <v>-3.460035481217906E-2</v>
      </c>
      <c r="G19">
        <f t="shared" si="1"/>
        <v>-0.60707019731430434</v>
      </c>
    </row>
    <row r="20" spans="2:7" x14ac:dyDescent="0.25">
      <c r="B20">
        <v>0.7</v>
      </c>
      <c r="C20">
        <f>$C$2/SQRT(1-B20^2)</f>
        <v>1.162232469743248</v>
      </c>
      <c r="D20">
        <f t="shared" si="0"/>
        <v>-0.12602520756252089</v>
      </c>
      <c r="E20">
        <f>$E$2/SQRT(1-B20^2)</f>
        <v>-0.60212043613204425</v>
      </c>
      <c r="F20">
        <f>(2/1.4*B20^2)*((((2+(1.4-1)*B20^2)/(1.4+1))^(1.4/(1.4+1))-1))</f>
        <v>-3.5348975950178135E-2</v>
      </c>
      <c r="G20">
        <f t="shared" si="1"/>
        <v>-0.65881849989930819</v>
      </c>
    </row>
    <row r="21" spans="2:7" x14ac:dyDescent="0.25">
      <c r="B21">
        <v>0.75</v>
      </c>
      <c r="C21">
        <f>$C$2/SQRT(1-B21^2)</f>
        <v>1.2548420503906343</v>
      </c>
      <c r="D21">
        <f t="shared" si="0"/>
        <v>-0.13606721028332178</v>
      </c>
      <c r="E21">
        <f>$E$2/SQRT(1-B21^2)</f>
        <v>-0.65009889357587081</v>
      </c>
      <c r="F21">
        <f>(2/1.4*B21^2)*((((2+(1.4-1)*B21^2)/(1.4+1))^(1.4/(1.4+1))-1))</f>
        <v>-3.4717617595667064E-2</v>
      </c>
      <c r="G21">
        <f t="shared" si="1"/>
        <v>-0.73048877966252579</v>
      </c>
    </row>
    <row r="22" spans="2:7" x14ac:dyDescent="0.25">
      <c r="B22">
        <v>0.8</v>
      </c>
      <c r="C22">
        <f>$C$2/SQRT(1-B22^2)</f>
        <v>1.3833333333333335</v>
      </c>
      <c r="D22">
        <f t="shared" si="0"/>
        <v>-0.15000000000000002</v>
      </c>
      <c r="E22">
        <f>$E$2/SQRT(1-B22^2)</f>
        <v>-0.71666666666666679</v>
      </c>
      <c r="F22">
        <f>(2/1.4*B22^2)*((((2+(1.4-1)*B22^2)/(1.4+1))^(1.4/(1.4+1))-1))</f>
        <v>-3.2411761791073301E-2</v>
      </c>
      <c r="G22">
        <f t="shared" si="1"/>
        <v>-0.83657587548638168</v>
      </c>
    </row>
    <row r="23" spans="2:7" x14ac:dyDescent="0.25">
      <c r="B23">
        <v>0.85</v>
      </c>
      <c r="C23">
        <f>$C$2/SQRT(1-B23^2)</f>
        <v>1.5756022729491479</v>
      </c>
      <c r="D23">
        <f t="shared" si="0"/>
        <v>-0.17084843923544979</v>
      </c>
      <c r="E23">
        <f>$E$2/SQRT(1-B23^2)</f>
        <v>-0.81627587634714904</v>
      </c>
      <c r="F23">
        <f>(2/1.4*B23^2)*((((2+(1.4-1)*B23^2)/(1.4+1))^(1.4/(1.4+1))-1))</f>
        <v>-2.8120694485160348E-2</v>
      </c>
      <c r="G23">
        <f t="shared" si="1"/>
        <v>-1.0116671919106153</v>
      </c>
    </row>
    <row r="24" spans="2:7" x14ac:dyDescent="0.25">
      <c r="B24">
        <v>0.9</v>
      </c>
      <c r="C24">
        <f>$C$2/SQRT(1-B24^2)</f>
        <v>1.9041505911256629</v>
      </c>
      <c r="D24">
        <f t="shared" si="0"/>
        <v>-0.20647416048350561</v>
      </c>
      <c r="E24">
        <f>$E$2/SQRT(1-B24^2)</f>
        <v>-0.98648765564341578</v>
      </c>
      <c r="F24">
        <f>(2/1.4*B24^2)*((((2+(1.4-1)*B24^2)/(1.4+1))^(1.4/(1.4+1))-1))</f>
        <v>-2.151816556837037E-2</v>
      </c>
      <c r="G24">
        <f t="shared" si="1"/>
        <v>-1.366787973099215</v>
      </c>
    </row>
    <row r="25" spans="2:7" x14ac:dyDescent="0.25">
      <c r="B25">
        <v>0.95</v>
      </c>
      <c r="C25">
        <f>$C$2/SQRT(1-B25^2)</f>
        <v>2.6581273531644456</v>
      </c>
      <c r="D25">
        <f t="shared" si="0"/>
        <v>-0.28823067684915676</v>
      </c>
      <c r="E25">
        <f>$E$2/SQRT(1-B25^2)</f>
        <v>-1.377102122723749</v>
      </c>
      <c r="F25">
        <f>(2/1.4*B25^2)*((((2+(1.4-1)*B25^2)/(1.4+1))^(1.4/(1.4+1))-1))</f>
        <v>-1.2263049185687998E-2</v>
      </c>
      <c r="G25">
        <f t="shared" si="1"/>
        <v>-2.6158322710008388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2024-10-16T15:35:21Z</dcterms:created>
  <dcterms:modified xsi:type="dcterms:W3CDTF">2024-10-16T16:43:19Z</dcterms:modified>
</cp:coreProperties>
</file>