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UPB\6to semestre\Lab Aero\"/>
    </mc:Choice>
  </mc:AlternateContent>
  <xr:revisionPtr revIDLastSave="0" documentId="13_ncr:1_{790ED448-A32C-425D-985F-C226CA620FEC}" xr6:coauthVersionLast="47" xr6:coauthVersionMax="47" xr10:uidLastSave="{00000000-0000-0000-0000-000000000000}"/>
  <bookViews>
    <workbookView xWindow="-108" yWindow="-108" windowWidth="23256" windowHeight="12576" activeTab="1" xr2:uid="{A1F3D3BB-DDCA-4A22-A99C-A14C4B8F1322}"/>
  </bookViews>
  <sheets>
    <sheet name="flap155" sheetId="7" r:id="rId1"/>
    <sheet name="NACA 0012-HLD" sheetId="1" r:id="rId2"/>
    <sheet name="Graph 1" sheetId="4" r:id="rId3"/>
    <sheet name="Graph 2" sheetId="5" r:id="rId4"/>
    <sheet name="Graph 3" sheetId="6" r:id="rId5"/>
  </sheets>
  <definedNames>
    <definedName name="_xlnm._FilterDatabase" localSheetId="1" hidden="1">'NACA 0012-HLD'!$L$77:$N$134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J10" i="1" s="1"/>
  <c r="F11" i="1"/>
  <c r="B10" i="1"/>
  <c r="E20" i="1" l="1"/>
  <c r="J7" i="1"/>
  <c r="N11" i="1" s="1"/>
  <c r="E38" i="1"/>
  <c r="E80" i="1"/>
  <c r="E68" i="1"/>
  <c r="E60" i="1"/>
  <c r="E48" i="1"/>
  <c r="E40" i="1"/>
  <c r="F79" i="1"/>
  <c r="F67" i="1"/>
  <c r="F59" i="1"/>
  <c r="F47" i="1"/>
  <c r="F39" i="1"/>
  <c r="E87" i="1"/>
  <c r="E67" i="1"/>
  <c r="E59" i="1"/>
  <c r="E47" i="1"/>
  <c r="E39" i="1"/>
  <c r="E75" i="1"/>
  <c r="F50" i="1"/>
  <c r="E82" i="1"/>
  <c r="F49" i="1"/>
  <c r="E49" i="1"/>
  <c r="F60" i="1"/>
  <c r="F87" i="1"/>
  <c r="F51" i="1"/>
  <c r="F74" i="1"/>
  <c r="E42" i="1"/>
  <c r="E81" i="1"/>
  <c r="E79" i="1"/>
  <c r="F86" i="1"/>
  <c r="F78" i="1"/>
  <c r="F66" i="1"/>
  <c r="F58" i="1"/>
  <c r="F46" i="1"/>
  <c r="F38" i="1"/>
  <c r="F76" i="1"/>
  <c r="F44" i="1"/>
  <c r="E76" i="1"/>
  <c r="F75" i="1"/>
  <c r="F43" i="1"/>
  <c r="E51" i="1"/>
  <c r="F42" i="1"/>
  <c r="E74" i="1"/>
  <c r="F41" i="1"/>
  <c r="E69" i="1"/>
  <c r="E86" i="1"/>
  <c r="E78" i="1"/>
  <c r="E66" i="1"/>
  <c r="E58" i="1"/>
  <c r="E46" i="1"/>
  <c r="E77" i="1"/>
  <c r="E57" i="1"/>
  <c r="F64" i="1"/>
  <c r="E84" i="1"/>
  <c r="E56" i="1"/>
  <c r="F63" i="1"/>
  <c r="E43" i="1"/>
  <c r="F62" i="1"/>
  <c r="E50" i="1"/>
  <c r="F69" i="1"/>
  <c r="E61" i="1"/>
  <c r="F68" i="1"/>
  <c r="F85" i="1"/>
  <c r="F77" i="1"/>
  <c r="F65" i="1"/>
  <c r="F57" i="1"/>
  <c r="F45" i="1"/>
  <c r="E65" i="1"/>
  <c r="E45" i="1"/>
  <c r="F56" i="1"/>
  <c r="E64" i="1"/>
  <c r="E44" i="1"/>
  <c r="F83" i="1"/>
  <c r="E63" i="1"/>
  <c r="F82" i="1"/>
  <c r="E62" i="1"/>
  <c r="F81" i="1"/>
  <c r="F80" i="1"/>
  <c r="E85" i="1"/>
  <c r="F61" i="1"/>
  <c r="F40" i="1"/>
  <c r="F84" i="1"/>
  <c r="E41" i="1"/>
  <c r="E83" i="1"/>
  <c r="F48" i="1"/>
  <c r="F20" i="1"/>
  <c r="E33" i="1"/>
  <c r="E29" i="1"/>
  <c r="E25" i="1"/>
  <c r="E21" i="1"/>
  <c r="E24" i="1"/>
  <c r="F31" i="1"/>
  <c r="F23" i="1"/>
  <c r="E31" i="1"/>
  <c r="E27" i="1"/>
  <c r="E23" i="1"/>
  <c r="F26" i="1"/>
  <c r="E22" i="1"/>
  <c r="F25" i="1"/>
  <c r="E28" i="1"/>
  <c r="F32" i="1"/>
  <c r="F28" i="1"/>
  <c r="F24" i="1"/>
  <c r="E32" i="1"/>
  <c r="F27" i="1"/>
  <c r="F30" i="1"/>
  <c r="F22" i="1"/>
  <c r="F33" i="1"/>
  <c r="E26" i="1"/>
  <c r="F29" i="1"/>
  <c r="F21" i="1"/>
  <c r="E30" i="1"/>
  <c r="G86" i="1" l="1"/>
  <c r="G78" i="1"/>
  <c r="G50" i="1"/>
  <c r="G64" i="1"/>
  <c r="G43" i="1"/>
  <c r="G49" i="1"/>
  <c r="G85" i="1"/>
  <c r="G42" i="1"/>
  <c r="G46" i="1"/>
  <c r="G76" i="1"/>
  <c r="G58" i="1"/>
  <c r="G87" i="1"/>
  <c r="G67" i="1"/>
  <c r="G74" i="1"/>
  <c r="G84" i="1"/>
  <c r="G44" i="1"/>
  <c r="G39" i="1"/>
  <c r="G62" i="1"/>
  <c r="G47" i="1"/>
  <c r="G69" i="1"/>
  <c r="G51" i="1"/>
  <c r="G79" i="1"/>
  <c r="G59" i="1"/>
  <c r="G63" i="1"/>
  <c r="G66" i="1"/>
  <c r="G57" i="1"/>
  <c r="G56" i="1"/>
  <c r="G40" i="1"/>
  <c r="G61" i="1"/>
  <c r="G81" i="1"/>
  <c r="G48" i="1"/>
  <c r="G45" i="1"/>
  <c r="G60" i="1"/>
  <c r="G83" i="1"/>
  <c r="G65" i="1"/>
  <c r="G82" i="1"/>
  <c r="G68" i="1"/>
  <c r="G80" i="1"/>
  <c r="G41" i="1"/>
  <c r="G77" i="1"/>
  <c r="G75" i="1"/>
  <c r="G38" i="1"/>
  <c r="G23" i="1"/>
  <c r="G25" i="1"/>
  <c r="G30" i="1"/>
  <c r="G28" i="1"/>
  <c r="G26" i="1"/>
  <c r="G33" i="1"/>
  <c r="G22" i="1"/>
  <c r="G29" i="1"/>
  <c r="G27" i="1"/>
  <c r="G20" i="1"/>
  <c r="G31" i="1"/>
  <c r="G32" i="1"/>
  <c r="G24" i="1"/>
  <c r="G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ED001-7077-40E2-AECE-8C8F7B8E33A8}" keepAlive="1" name="Consulta - flap155" description="Conexión a la consulta 'flap155' en el libro." type="5" refreshedVersion="0" background="1">
    <dbPr connection="Provider=Microsoft.Mashup.OleDb.1;Data Source=$Workbook$;Location=flap155;Extended Properties=&quot;&quot;" command="SELECT * FROM [flap155]"/>
  </connection>
</connections>
</file>

<file path=xl/sharedStrings.xml><?xml version="1.0" encoding="utf-8"?>
<sst xmlns="http://schemas.openxmlformats.org/spreadsheetml/2006/main" count="273" uniqueCount="216">
  <si>
    <t>m</t>
  </si>
  <si>
    <t>b</t>
  </si>
  <si>
    <t>c</t>
  </si>
  <si>
    <t>Atmospheric data</t>
  </si>
  <si>
    <t>Geometry data</t>
  </si>
  <si>
    <t>Reynolds number</t>
  </si>
  <si>
    <t>Re</t>
  </si>
  <si>
    <t>Air density</t>
  </si>
  <si>
    <t>Pa</t>
  </si>
  <si>
    <t>K</t>
  </si>
  <si>
    <t>Air velocity</t>
  </si>
  <si>
    <t>V</t>
  </si>
  <si>
    <t>m/s</t>
  </si>
  <si>
    <t>Dynamic pressure</t>
  </si>
  <si>
    <t>Reference area</t>
  </si>
  <si>
    <t>Date (dd/mm/yyyy)</t>
  </si>
  <si>
    <t>Hour</t>
  </si>
  <si>
    <t>Humidity</t>
  </si>
  <si>
    <t>Week day</t>
  </si>
  <si>
    <r>
      <t>R</t>
    </r>
    <r>
      <rPr>
        <vertAlign val="subscript"/>
        <sz val="11"/>
        <color theme="1"/>
        <rFont val="Times New Roman"/>
        <family val="1"/>
      </rPr>
      <t>air</t>
    </r>
  </si>
  <si>
    <r>
      <t>q</t>
    </r>
    <r>
      <rPr>
        <vertAlign val="subscript"/>
        <sz val="11"/>
        <color theme="1"/>
        <rFont val="Times New Roman"/>
        <family val="1"/>
      </rPr>
      <t>∞</t>
    </r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</si>
  <si>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</si>
  <si>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</si>
  <si>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Times New Roman"/>
        <family val="1"/>
      </rPr>
      <t>∞</t>
    </r>
  </si>
  <si>
    <t>L [kg]</t>
  </si>
  <si>
    <t>D [kg]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</si>
  <si>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Times New Roman"/>
        <family val="1"/>
      </rPr>
      <t>∞</t>
    </r>
  </si>
  <si>
    <t>Airfoil:</t>
  </si>
  <si>
    <t>NACA 0012</t>
  </si>
  <si>
    <t>kg/(m*s)</t>
  </si>
  <si>
    <t>N*m/kg*K</t>
  </si>
  <si>
    <r>
      <t>P</t>
    </r>
    <r>
      <rPr>
        <b/>
        <vertAlign val="subscript"/>
        <sz val="11"/>
        <color theme="1"/>
        <rFont val="Times New Roman"/>
        <family val="1"/>
      </rPr>
      <t>∞</t>
    </r>
  </si>
  <si>
    <r>
      <t>T</t>
    </r>
    <r>
      <rPr>
        <b/>
        <vertAlign val="subscript"/>
        <sz val="11"/>
        <color theme="1"/>
        <rFont val="Times New Roman"/>
        <family val="1"/>
      </rPr>
      <t>∞</t>
    </r>
  </si>
  <si>
    <r>
      <rPr>
        <b/>
        <sz val="11"/>
        <color theme="1"/>
        <rFont val="Symbol"/>
        <family val="1"/>
        <charset val="2"/>
      </rPr>
      <t>a</t>
    </r>
    <r>
      <rPr>
        <b/>
        <vertAlign val="subscript"/>
        <sz val="11"/>
        <color theme="1"/>
        <rFont val="Calibri"/>
        <family val="2"/>
        <scheme val="minor"/>
      </rPr>
      <t>geo</t>
    </r>
    <r>
      <rPr>
        <b/>
        <sz val="11"/>
        <color theme="1"/>
        <rFont val="Calibri"/>
        <family val="2"/>
        <scheme val="minor"/>
      </rPr>
      <t xml:space="preserve"> [deg]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</si>
  <si>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l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</si>
  <si>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</si>
  <si>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/c</t>
    </r>
    <r>
      <rPr>
        <b/>
        <vertAlign val="subscript"/>
        <sz val="11"/>
        <color theme="1"/>
        <rFont val="Calibri"/>
        <family val="2"/>
        <scheme val="minor"/>
      </rPr>
      <t>d</t>
    </r>
  </si>
  <si>
    <t>deg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</si>
  <si>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bscript"/>
        <sz val="11"/>
        <color theme="1"/>
        <rFont val="Calibri"/>
        <family val="2"/>
        <scheme val="minor"/>
      </rPr>
      <t>f</t>
    </r>
  </si>
  <si>
    <t>%</t>
  </si>
  <si>
    <t>08/19/2024</t>
  </si>
  <si>
    <t>Tuesday</t>
  </si>
  <si>
    <t>Xfoil</t>
  </si>
  <si>
    <t>alpha</t>
  </si>
  <si>
    <t>CL</t>
  </si>
  <si>
    <t>CD</t>
  </si>
  <si>
    <t>CM</t>
  </si>
  <si>
    <t>0.000</t>
  </si>
  <si>
    <t>1.000</t>
  </si>
  <si>
    <t>2.000</t>
  </si>
  <si>
    <t>3.000</t>
  </si>
  <si>
    <t>4.000</t>
  </si>
  <si>
    <t>5.000</t>
  </si>
  <si>
    <t>6.000</t>
  </si>
  <si>
    <t>7.000</t>
  </si>
  <si>
    <t>8.000</t>
  </si>
  <si>
    <t>9.000</t>
  </si>
  <si>
    <t>10.000</t>
  </si>
  <si>
    <t>12.000</t>
  </si>
  <si>
    <t>13.000</t>
  </si>
  <si>
    <t>14.000</t>
  </si>
  <si>
    <t>Sref,</t>
  </si>
  <si>
    <t>Data No,</t>
  </si>
  <si>
    <t>-0.0628</t>
  </si>
  <si>
    <t>Column1</t>
  </si>
  <si>
    <t>Top_Xtr</t>
  </si>
  <si>
    <t>Bot_Xtr</t>
  </si>
  <si>
    <t>0.7873</t>
  </si>
  <si>
    <t>0.01190</t>
  </si>
  <si>
    <t>-0.1306</t>
  </si>
  <si>
    <t>0.5505</t>
  </si>
  <si>
    <t>0.6918</t>
  </si>
  <si>
    <t>0.500</t>
  </si>
  <si>
    <t>0.8136</t>
  </si>
  <si>
    <t>0.01319</t>
  </si>
  <si>
    <t>-0.1248</t>
  </si>
  <si>
    <t>0.4495</t>
  </si>
  <si>
    <t>0.7026</t>
  </si>
  <si>
    <t>0.8519</t>
  </si>
  <si>
    <t>0.01412</t>
  </si>
  <si>
    <t>-0.1213</t>
  </si>
  <si>
    <t>0.3613</t>
  </si>
  <si>
    <t>0.7120</t>
  </si>
  <si>
    <t>1.500</t>
  </si>
  <si>
    <t>0.8954</t>
  </si>
  <si>
    <t>0.01496</t>
  </si>
  <si>
    <t>-0.1188</t>
  </si>
  <si>
    <t>0.2820</t>
  </si>
  <si>
    <t>0.7203</t>
  </si>
  <si>
    <t>0.9413</t>
  </si>
  <si>
    <t>0.01579</t>
  </si>
  <si>
    <t>-0.1167</t>
  </si>
  <si>
    <t>0.2106</t>
  </si>
  <si>
    <t>0.7278</t>
  </si>
  <si>
    <t>2.500</t>
  </si>
  <si>
    <t>0.9883</t>
  </si>
  <si>
    <t>0.01666</t>
  </si>
  <si>
    <t>-0.1149</t>
  </si>
  <si>
    <t>0.1515</t>
  </si>
  <si>
    <t>0.7351</t>
  </si>
  <si>
    <t>1.0355</t>
  </si>
  <si>
    <t>0.01753</t>
  </si>
  <si>
    <t>-0.1132</t>
  </si>
  <si>
    <t>0.1099</t>
  </si>
  <si>
    <t>0.7423</t>
  </si>
  <si>
    <t>3.500</t>
  </si>
  <si>
    <t>1.0824</t>
  </si>
  <si>
    <t>0.01843</t>
  </si>
  <si>
    <t>-0.1114</t>
  </si>
  <si>
    <t>0.0828</t>
  </si>
  <si>
    <t>0.7494</t>
  </si>
  <si>
    <t>1.1288</t>
  </si>
  <si>
    <t>0.01930</t>
  </si>
  <si>
    <t>-0.1095</t>
  </si>
  <si>
    <t>0.0662</t>
  </si>
  <si>
    <t>0.7563</t>
  </si>
  <si>
    <t>4.500</t>
  </si>
  <si>
    <t>1.1739</t>
  </si>
  <si>
    <t>0.02022</t>
  </si>
  <si>
    <t>-0.1075</t>
  </si>
  <si>
    <t>0.0553</t>
  </si>
  <si>
    <t>0.7630</t>
  </si>
  <si>
    <t>1.2173</t>
  </si>
  <si>
    <t>0.02125</t>
  </si>
  <si>
    <t>-0.1052</t>
  </si>
  <si>
    <t>0.0477</t>
  </si>
  <si>
    <t>0.7697</t>
  </si>
  <si>
    <t>5.500</t>
  </si>
  <si>
    <t>1.2599</t>
  </si>
  <si>
    <t>0.02227</t>
  </si>
  <si>
    <t>-0.1028</t>
  </si>
  <si>
    <t>0.0420</t>
  </si>
  <si>
    <t>0.7768</t>
  </si>
  <si>
    <t>1.3001</t>
  </si>
  <si>
    <t>0.02339</t>
  </si>
  <si>
    <t>-0.1000</t>
  </si>
  <si>
    <t>0.0378</t>
  </si>
  <si>
    <t>0.7833</t>
  </si>
  <si>
    <t>6.500</t>
  </si>
  <si>
    <t>1.3381</t>
  </si>
  <si>
    <t>0.02460</t>
  </si>
  <si>
    <t>-0.0970</t>
  </si>
  <si>
    <t>0.0344</t>
  </si>
  <si>
    <t>0.7901</t>
  </si>
  <si>
    <t>1.3731</t>
  </si>
  <si>
    <t>0.02595</t>
  </si>
  <si>
    <t>-0.0936</t>
  </si>
  <si>
    <t>0.0317</t>
  </si>
  <si>
    <t>0.7961</t>
  </si>
  <si>
    <t>7.500</t>
  </si>
  <si>
    <t>1.4066</t>
  </si>
  <si>
    <t>0.02734</t>
  </si>
  <si>
    <t>-0.0901</t>
  </si>
  <si>
    <t>0.0294</t>
  </si>
  <si>
    <t>0.8020</t>
  </si>
  <si>
    <t>1.4374</t>
  </si>
  <si>
    <t>0.02893</t>
  </si>
  <si>
    <t>-0.0861</t>
  </si>
  <si>
    <t>0.0275</t>
  </si>
  <si>
    <t>0.8077</t>
  </si>
  <si>
    <t>8.500</t>
  </si>
  <si>
    <t>1.4630</t>
  </si>
  <si>
    <t>0.03084</t>
  </si>
  <si>
    <t>-0.0817</t>
  </si>
  <si>
    <t>0.0260</t>
  </si>
  <si>
    <t>0.8130</t>
  </si>
  <si>
    <t>1.4892</t>
  </si>
  <si>
    <t>0.03264</t>
  </si>
  <si>
    <t>-0.0774</t>
  </si>
  <si>
    <t>0.0245</t>
  </si>
  <si>
    <t>0.8184</t>
  </si>
  <si>
    <t>9.500</t>
  </si>
  <si>
    <t>1.5089</t>
  </si>
  <si>
    <t>0.03495</t>
  </si>
  <si>
    <t>-0.0725</t>
  </si>
  <si>
    <t>0.0233</t>
  </si>
  <si>
    <t>0.8235</t>
  </si>
  <si>
    <t>1.5283</t>
  </si>
  <si>
    <t>0.03724</t>
  </si>
  <si>
    <t>-0.0678</t>
  </si>
  <si>
    <t>0.0222</t>
  </si>
  <si>
    <t>0.8291</t>
  </si>
  <si>
    <t>10.500</t>
  </si>
  <si>
    <t>1.5416</t>
  </si>
  <si>
    <t>0.04008</t>
  </si>
  <si>
    <t>0.0213</t>
  </si>
  <si>
    <t>0.8351</t>
  </si>
  <si>
    <t>11.500</t>
  </si>
  <si>
    <t>1.5542</t>
  </si>
  <si>
    <t>0.04641</t>
  </si>
  <si>
    <t>-0.0519</t>
  </si>
  <si>
    <t>0.0199</t>
  </si>
  <si>
    <t>0.9625</t>
  </si>
  <si>
    <t>1.5579</t>
  </si>
  <si>
    <t>0.05039</t>
  </si>
  <si>
    <t>-0.0476</t>
  </si>
  <si>
    <t>0.0193</t>
  </si>
  <si>
    <t>0.9997</t>
  </si>
  <si>
    <t>12.500</t>
  </si>
  <si>
    <t>1.5534</t>
  </si>
  <si>
    <t>0.05556</t>
  </si>
  <si>
    <t>-0.0435</t>
  </si>
  <si>
    <t>0.0188</t>
  </si>
  <si>
    <t>1.5438</t>
  </si>
  <si>
    <t>0.06192</t>
  </si>
  <si>
    <t>-0.0410</t>
  </si>
  <si>
    <t>0.0183</t>
  </si>
  <si>
    <t>13.500</t>
  </si>
  <si>
    <t>1.5331</t>
  </si>
  <si>
    <t>0.06941</t>
  </si>
  <si>
    <t>-0.0406</t>
  </si>
  <si>
    <t>0.0179</t>
  </si>
  <si>
    <t>1.5210</t>
  </si>
  <si>
    <t>0.07797</t>
  </si>
  <si>
    <t>-0.0421</t>
  </si>
  <si>
    <t>0.0175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</si>
</sst>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"/>
    <numFmt numFmtId="166" formatCode="0.0000"/>
    <numFmt numFmtId="167" formatCode="0.0"/>
  </numFmts>
  <fonts count="10">
    <font>
      <sz val="11"/>
      <color theme="1"/>
      <name val="Calibri"/>
      <family val="2"/>
      <scheme val="minor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Times New Roman"/>
      <family val="1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/>
    <xf numFmtId="0" fontId="5" fillId="0" borderId="11" xfId="0" applyFont="1" applyBorder="1" applyAlignment="1">
      <alignment horizontal="center" vertical="center"/>
    </xf>
    <xf numFmtId="0" fontId="0" fillId="0" borderId="12" xfId="0" applyBorder="1"/>
    <xf numFmtId="0" fontId="4" fillId="0" borderId="13" xfId="0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/>
    <xf numFmtId="2" fontId="0" fillId="0" borderId="16" xfId="0" applyNumberFormat="1" applyBorder="1" applyAlignment="1">
      <alignment horizontal="center" vertical="center"/>
    </xf>
    <xf numFmtId="0" fontId="0" fillId="0" borderId="6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4" fillId="0" borderId="5" xfId="0" applyFon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6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2" borderId="29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>
      <alignment horizontal="center" vertical="center"/>
    </xf>
    <xf numFmtId="165" fontId="5" fillId="2" borderId="30" xfId="0" applyNumberFormat="1" applyFont="1" applyFill="1" applyBorder="1" applyAlignment="1">
      <alignment horizontal="center" vertical="center"/>
    </xf>
    <xf numFmtId="165" fontId="5" fillId="2" borderId="27" xfId="0" applyNumberFormat="1" applyFont="1" applyFill="1" applyBorder="1" applyAlignment="1">
      <alignment horizontal="center" vertical="center"/>
    </xf>
    <xf numFmtId="165" fontId="5" fillId="2" borderId="31" xfId="0" applyNumberFormat="1" applyFont="1" applyFill="1" applyBorder="1" applyAlignment="1">
      <alignment horizontal="center" vertical="center"/>
    </xf>
    <xf numFmtId="165" fontId="5" fillId="2" borderId="28" xfId="0" applyNumberFormat="1" applyFont="1" applyFill="1" applyBorder="1" applyAlignment="1">
      <alignment horizontal="center" vertical="center"/>
    </xf>
    <xf numFmtId="2" fontId="5" fillId="2" borderId="26" xfId="0" applyNumberFormat="1" applyFont="1" applyFill="1" applyBorder="1" applyAlignment="1">
      <alignment horizontal="center" vertical="center"/>
    </xf>
    <xf numFmtId="2" fontId="5" fillId="2" borderId="27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8" fontId="5" fillId="2" borderId="1" xfId="0" applyNumberFormat="1" applyFont="1" applyFill="1" applyBorder="1" applyAlignment="1">
      <alignment horizontal="center" vertical="center"/>
    </xf>
    <xf numFmtId="0" fontId="0" fillId="3" borderId="33" xfId="0" applyFill="1" applyBorder="1"/>
    <xf numFmtId="0" fontId="0" fillId="0" borderId="33" xfId="0" applyBorder="1"/>
    <xf numFmtId="0" fontId="0" fillId="3" borderId="0" xfId="0" applyFill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 vs alfa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'NACA 0012-HLD'!$L$18:$L$44</c:f>
              <c:numCache>
                <c:formatCode>General</c:formatCode>
                <c:ptCount val="2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</c:numCache>
            </c:numRef>
          </c:xVal>
          <c:yVal>
            <c:numRef>
              <c:f>'NACA 0012-HLD'!$M$18:$M$44</c:f>
              <c:numCache>
                <c:formatCode>General</c:formatCode>
                <c:ptCount val="27"/>
                <c:pt idx="0">
                  <c:v>0</c:v>
                </c:pt>
                <c:pt idx="1">
                  <c:v>-0.1037</c:v>
                </c:pt>
                <c:pt idx="2">
                  <c:v>-0.20799999999999999</c:v>
                </c:pt>
                <c:pt idx="3">
                  <c:v>-0.32790000000000002</c:v>
                </c:pt>
                <c:pt idx="4">
                  <c:v>-0.4743</c:v>
                </c:pt>
                <c:pt idx="5">
                  <c:v>-0.62239999999999995</c:v>
                </c:pt>
                <c:pt idx="6">
                  <c:v>-0.72299999999999998</c:v>
                </c:pt>
                <c:pt idx="7">
                  <c:v>0.1036</c:v>
                </c:pt>
                <c:pt idx="8">
                  <c:v>0.2079</c:v>
                </c:pt>
                <c:pt idx="9">
                  <c:v>0.32790000000000002</c:v>
                </c:pt>
                <c:pt idx="10">
                  <c:v>0.4743</c:v>
                </c:pt>
                <c:pt idx="11">
                  <c:v>0.62219999999999998</c:v>
                </c:pt>
                <c:pt idx="12">
                  <c:v>0.72299999999999998</c:v>
                </c:pt>
                <c:pt idx="13">
                  <c:v>0.80479999999999996</c:v>
                </c:pt>
                <c:pt idx="14">
                  <c:v>0.88590000000000002</c:v>
                </c:pt>
                <c:pt idx="15">
                  <c:v>0.96630000000000005</c:v>
                </c:pt>
                <c:pt idx="16">
                  <c:v>1.0456000000000001</c:v>
                </c:pt>
                <c:pt idx="17">
                  <c:v>1.1178999999999999</c:v>
                </c:pt>
                <c:pt idx="18">
                  <c:v>1.1796</c:v>
                </c:pt>
                <c:pt idx="19">
                  <c:v>1.2192000000000001</c:v>
                </c:pt>
                <c:pt idx="20">
                  <c:v>1.2479</c:v>
                </c:pt>
                <c:pt idx="21">
                  <c:v>1.1332</c:v>
                </c:pt>
                <c:pt idx="22">
                  <c:v>1.0831</c:v>
                </c:pt>
                <c:pt idx="23">
                  <c:v>1.0218</c:v>
                </c:pt>
                <c:pt idx="24">
                  <c:v>0.87870000000000004</c:v>
                </c:pt>
                <c:pt idx="25">
                  <c:v>0.54730000000000001</c:v>
                </c:pt>
                <c:pt idx="26">
                  <c:v>0.55840000000000001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5-4467-AA34-68E41D69A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69456"/>
        <c:axId val="925470288"/>
      </c:scatterChart>
      <c:valAx>
        <c:axId val="92546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5470288"/>
        <c:crosses val="autoZero"/>
        <c:crossBetween val="midCat"/>
      </c:valAx>
      <c:valAx>
        <c:axId val="9254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546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Cd vs alfa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 vs alfa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'NACA 0012-HLD'!$L$18:$L$44</c:f>
              <c:numCache>
                <c:formatCode>General</c:formatCode>
                <c:ptCount val="2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</c:numCache>
            </c:numRef>
          </c:xVal>
          <c:yVal>
            <c:numRef>
              <c:f>'NACA 0012-HLD'!$N$18:$N$44</c:f>
              <c:numCache>
                <c:formatCode>General</c:formatCode>
                <c:ptCount val="27"/>
                <c:pt idx="0">
                  <c:v>6.11E-3</c:v>
                </c:pt>
                <c:pt idx="1">
                  <c:v>6.3E-3</c:v>
                </c:pt>
                <c:pt idx="2">
                  <c:v>6.8700000000000002E-3</c:v>
                </c:pt>
                <c:pt idx="3">
                  <c:v>7.7499999999999999E-3</c:v>
                </c:pt>
                <c:pt idx="4">
                  <c:v>8.8999999999999999E-3</c:v>
                </c:pt>
                <c:pt idx="5">
                  <c:v>1.0290000000000001E-2</c:v>
                </c:pt>
                <c:pt idx="6">
                  <c:v>1.162E-2</c:v>
                </c:pt>
                <c:pt idx="7">
                  <c:v>6.3E-3</c:v>
                </c:pt>
                <c:pt idx="8">
                  <c:v>6.8799999999999998E-3</c:v>
                </c:pt>
                <c:pt idx="9">
                  <c:v>7.7499999999999999E-3</c:v>
                </c:pt>
                <c:pt idx="10">
                  <c:v>8.9099999999999995E-3</c:v>
                </c:pt>
                <c:pt idx="11">
                  <c:v>1.0279999999999999E-2</c:v>
                </c:pt>
                <c:pt idx="12">
                  <c:v>1.162E-2</c:v>
                </c:pt>
                <c:pt idx="13">
                  <c:v>1.307E-2</c:v>
                </c:pt>
                <c:pt idx="14">
                  <c:v>1.469E-2</c:v>
                </c:pt>
                <c:pt idx="15">
                  <c:v>1.661E-2</c:v>
                </c:pt>
                <c:pt idx="16">
                  <c:v>1.898E-2</c:v>
                </c:pt>
                <c:pt idx="17">
                  <c:v>2.1940000000000001E-2</c:v>
                </c:pt>
                <c:pt idx="18">
                  <c:v>2.5270000000000001E-2</c:v>
                </c:pt>
                <c:pt idx="19">
                  <c:v>2.9600000000000001E-2</c:v>
                </c:pt>
                <c:pt idx="20">
                  <c:v>3.5569999999999997E-2</c:v>
                </c:pt>
                <c:pt idx="21">
                  <c:v>4.1360000000000001E-2</c:v>
                </c:pt>
                <c:pt idx="22">
                  <c:v>6.2370000000000002E-2</c:v>
                </c:pt>
                <c:pt idx="23">
                  <c:v>8.6910000000000001E-2</c:v>
                </c:pt>
                <c:pt idx="24">
                  <c:v>0.12347</c:v>
                </c:pt>
                <c:pt idx="25">
                  <c:v>0.19511000000000001</c:v>
                </c:pt>
                <c:pt idx="26">
                  <c:v>0.20584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0-4E75-A179-8AD77ECE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69456"/>
        <c:axId val="925470288"/>
      </c:scatterChart>
      <c:valAx>
        <c:axId val="92546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5470288"/>
        <c:crosses val="autoZero"/>
        <c:crossBetween val="midCat"/>
      </c:valAx>
      <c:valAx>
        <c:axId val="9254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546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  <a:r>
              <a:rPr lang="en-US" baseline="-25000"/>
              <a:t>l</a:t>
            </a:r>
            <a:r>
              <a:rPr lang="en-US"/>
              <a:t> vs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0 grados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'NACA 0012-HLD'!$Q$34:$Q$48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'NACA 0012-HLD'!$R$34:$R$48</c:f>
              <c:numCache>
                <c:formatCode>General</c:formatCode>
                <c:ptCount val="15"/>
                <c:pt idx="0">
                  <c:v>0</c:v>
                </c:pt>
                <c:pt idx="1">
                  <c:v>0.1036</c:v>
                </c:pt>
                <c:pt idx="2">
                  <c:v>0.2079</c:v>
                </c:pt>
                <c:pt idx="3">
                  <c:v>0.32790000000000002</c:v>
                </c:pt>
                <c:pt idx="4">
                  <c:v>0.4743</c:v>
                </c:pt>
                <c:pt idx="5">
                  <c:v>0.62219999999999998</c:v>
                </c:pt>
                <c:pt idx="6">
                  <c:v>0.72299999999999998</c:v>
                </c:pt>
                <c:pt idx="7">
                  <c:v>0.80479999999999996</c:v>
                </c:pt>
                <c:pt idx="8">
                  <c:v>0.88590000000000002</c:v>
                </c:pt>
                <c:pt idx="9">
                  <c:v>0.96630000000000005</c:v>
                </c:pt>
                <c:pt idx="10">
                  <c:v>1.0456000000000001</c:v>
                </c:pt>
                <c:pt idx="11">
                  <c:v>1.1178999999999999</c:v>
                </c:pt>
                <c:pt idx="12">
                  <c:v>1.1796</c:v>
                </c:pt>
                <c:pt idx="13">
                  <c:v>1.2192000000000001</c:v>
                </c:pt>
                <c:pt idx="14">
                  <c:v>1.2479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BF4-98AD-703515C31EE3}"/>
            </c:ext>
          </c:extLst>
        </c:ser>
        <c:ser>
          <c:idx val="0"/>
          <c:order val="1"/>
          <c:tx>
            <c:v>10 grados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'NACA 0012-HLD'!$U$34:$U$48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'NACA 0012-HLD'!$V$34:$V$48</c:f>
              <c:numCache>
                <c:formatCode>General</c:formatCode>
                <c:ptCount val="15"/>
                <c:pt idx="0">
                  <c:v>0.62490000000000001</c:v>
                </c:pt>
                <c:pt idx="1">
                  <c:v>0.6875</c:v>
                </c:pt>
                <c:pt idx="2">
                  <c:v>0.7732</c:v>
                </c:pt>
                <c:pt idx="3">
                  <c:v>0.86670000000000003</c:v>
                </c:pt>
                <c:pt idx="4">
                  <c:v>0.9617</c:v>
                </c:pt>
                <c:pt idx="5">
                  <c:v>1.0536000000000001</c:v>
                </c:pt>
                <c:pt idx="6">
                  <c:v>1.1399999999999999</c:v>
                </c:pt>
                <c:pt idx="7">
                  <c:v>1.2176</c:v>
                </c:pt>
                <c:pt idx="8">
                  <c:v>1.29</c:v>
                </c:pt>
                <c:pt idx="9">
                  <c:v>1.3535999999999999</c:v>
                </c:pt>
                <c:pt idx="10">
                  <c:v>1.4055</c:v>
                </c:pt>
                <c:pt idx="11">
                  <c:v>1.4442999999999999</c:v>
                </c:pt>
                <c:pt idx="12">
                  <c:v>1.4670000000000001</c:v>
                </c:pt>
                <c:pt idx="13">
                  <c:v>1.4767999999999999</c:v>
                </c:pt>
                <c:pt idx="14">
                  <c:v>1.4594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CF-464C-B666-2752DD11D263}"/>
            </c:ext>
          </c:extLst>
        </c:ser>
        <c:ser>
          <c:idx val="2"/>
          <c:order val="2"/>
          <c:tx>
            <c:v>15 grados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'NACA 0012-HLD'!$Y$34:$Y$47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'NACA 0012-HLD'!$Z$34:$Z$47</c:f>
              <c:numCache>
                <c:formatCode>General</c:formatCode>
                <c:ptCount val="14"/>
                <c:pt idx="0">
                  <c:v>0.7873</c:v>
                </c:pt>
                <c:pt idx="1">
                  <c:v>0.85189999999999999</c:v>
                </c:pt>
                <c:pt idx="2">
                  <c:v>0.94130000000000003</c:v>
                </c:pt>
                <c:pt idx="3">
                  <c:v>1.0355000000000001</c:v>
                </c:pt>
                <c:pt idx="4">
                  <c:v>1.1288</c:v>
                </c:pt>
                <c:pt idx="5">
                  <c:v>1.2173</c:v>
                </c:pt>
                <c:pt idx="6">
                  <c:v>1.3001</c:v>
                </c:pt>
                <c:pt idx="7">
                  <c:v>1.3731</c:v>
                </c:pt>
                <c:pt idx="8">
                  <c:v>1.4374</c:v>
                </c:pt>
                <c:pt idx="9">
                  <c:v>1.4892000000000001</c:v>
                </c:pt>
                <c:pt idx="10">
                  <c:v>1.5283</c:v>
                </c:pt>
                <c:pt idx="11">
                  <c:v>1.5579000000000001</c:v>
                </c:pt>
                <c:pt idx="12">
                  <c:v>1.5438000000000001</c:v>
                </c:pt>
                <c:pt idx="13">
                  <c:v>1.5209999999999999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F9-4BF4-98AD-703515C31EE3}"/>
            </c:ext>
          </c:extLst>
        </c:ser>
        <c:ser>
          <c:idx val="3"/>
          <c:order val="3"/>
          <c:tx>
            <c:v>20 grados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'NACA 0012-HLD'!$AC$34:$AC$48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'NACA 0012-HLD'!$AD$34:$AD$48</c:f>
              <c:numCache>
                <c:formatCode>General</c:formatCode>
                <c:ptCount val="15"/>
                <c:pt idx="0">
                  <c:v>0.90549999999999997</c:v>
                </c:pt>
                <c:pt idx="1">
                  <c:v>0.99139999999999995</c:v>
                </c:pt>
                <c:pt idx="2">
                  <c:v>1.0851</c:v>
                </c:pt>
                <c:pt idx="3">
                  <c:v>1.1787000000000001</c:v>
                </c:pt>
                <c:pt idx="4">
                  <c:v>1.2683</c:v>
                </c:pt>
                <c:pt idx="5">
                  <c:v>1.3524</c:v>
                </c:pt>
                <c:pt idx="6">
                  <c:v>1.4278</c:v>
                </c:pt>
                <c:pt idx="7">
                  <c:v>1.4925999999999999</c:v>
                </c:pt>
                <c:pt idx="8">
                  <c:v>1.5435000000000001</c:v>
                </c:pt>
                <c:pt idx="9">
                  <c:v>1.585</c:v>
                </c:pt>
                <c:pt idx="10">
                  <c:v>1.6123000000000001</c:v>
                </c:pt>
                <c:pt idx="11">
                  <c:v>1.6214</c:v>
                </c:pt>
                <c:pt idx="12">
                  <c:v>1.6186</c:v>
                </c:pt>
                <c:pt idx="13">
                  <c:v>1.5926</c:v>
                </c:pt>
                <c:pt idx="14">
                  <c:v>1.5507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F9-4BF4-98AD-703515C31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808719"/>
        <c:axId val="290808239"/>
      </c:scatterChart>
      <c:valAx>
        <c:axId val="29080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" panose="020F0502020204030204" pitchFamily="34" charset="0"/>
                    <a:cs typeface="Calibri" panose="020F0502020204030204" pitchFamily="34" charset="0"/>
                  </a:rPr>
                  <a:t>α</a:t>
                </a:r>
                <a:r>
                  <a:rPr lang="es-CO">
                    <a:latin typeface="Calibri" panose="020F0502020204030204" pitchFamily="34" charset="0"/>
                    <a:cs typeface="Calibri" panose="020F0502020204030204" pitchFamily="34" charset="0"/>
                  </a:rPr>
                  <a:t> [deg]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0808239"/>
        <c:crosses val="autoZero"/>
        <c:crossBetween val="midCat"/>
      </c:valAx>
      <c:valAx>
        <c:axId val="2908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</a:t>
                </a:r>
                <a:r>
                  <a:rPr lang="es-CO" baseline="-25000"/>
                  <a:t>l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080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</a:t>
            </a:r>
            <a:r>
              <a:rPr lang="es-CO" baseline="-25000"/>
              <a:t>d</a:t>
            </a:r>
            <a:r>
              <a:rPr lang="es-CO"/>
              <a:t> vs </a:t>
            </a:r>
            <a:r>
              <a:rPr lang="el-GR">
                <a:latin typeface="Calibri" panose="020F0502020204030204" pitchFamily="34" charset="0"/>
                <a:cs typeface="Calibri" panose="020F0502020204030204" pitchFamily="34" charset="0"/>
              </a:rPr>
              <a:t>α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0 Grados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'NACA 0012-HLD'!$Q$34:$Q$48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'NACA 0012-HLD'!$S$34:$S$48</c:f>
              <c:numCache>
                <c:formatCode>General</c:formatCode>
                <c:ptCount val="15"/>
                <c:pt idx="0">
                  <c:v>6.11E-3</c:v>
                </c:pt>
                <c:pt idx="1">
                  <c:v>6.3E-3</c:v>
                </c:pt>
                <c:pt idx="2">
                  <c:v>6.8799999999999998E-3</c:v>
                </c:pt>
                <c:pt idx="3">
                  <c:v>7.7499999999999999E-3</c:v>
                </c:pt>
                <c:pt idx="4">
                  <c:v>8.9099999999999995E-3</c:v>
                </c:pt>
                <c:pt idx="5">
                  <c:v>1.0279999999999999E-2</c:v>
                </c:pt>
                <c:pt idx="6">
                  <c:v>1.162E-2</c:v>
                </c:pt>
                <c:pt idx="7">
                  <c:v>1.307E-2</c:v>
                </c:pt>
                <c:pt idx="8">
                  <c:v>1.469E-2</c:v>
                </c:pt>
                <c:pt idx="9">
                  <c:v>1.661E-2</c:v>
                </c:pt>
                <c:pt idx="10">
                  <c:v>1.898E-2</c:v>
                </c:pt>
                <c:pt idx="11">
                  <c:v>2.1940000000000001E-2</c:v>
                </c:pt>
                <c:pt idx="12">
                  <c:v>2.5270000000000001E-2</c:v>
                </c:pt>
                <c:pt idx="13">
                  <c:v>2.9600000000000001E-2</c:v>
                </c:pt>
                <c:pt idx="14">
                  <c:v>3.5569999999999997E-2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4C-4299-B612-A900311B39B5}"/>
            </c:ext>
          </c:extLst>
        </c:ser>
        <c:ser>
          <c:idx val="0"/>
          <c:order val="1"/>
          <c:tx>
            <c:v>10 Grados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'NACA 0012-HLD'!$U$34:$U$48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'NACA 0012-HLD'!$W$34:$W$48</c:f>
              <c:numCache>
                <c:formatCode>General</c:formatCode>
                <c:ptCount val="15"/>
                <c:pt idx="0">
                  <c:v>7.9799999999999992E-3</c:v>
                </c:pt>
                <c:pt idx="1">
                  <c:v>9.7400000000000004E-3</c:v>
                </c:pt>
                <c:pt idx="2">
                  <c:v>1.14E-2</c:v>
                </c:pt>
                <c:pt idx="3">
                  <c:v>1.306E-2</c:v>
                </c:pt>
                <c:pt idx="4">
                  <c:v>1.4590000000000001E-2</c:v>
                </c:pt>
                <c:pt idx="5">
                  <c:v>1.6080000000000001E-2</c:v>
                </c:pt>
                <c:pt idx="6">
                  <c:v>1.7680000000000001E-2</c:v>
                </c:pt>
                <c:pt idx="7">
                  <c:v>1.9369999999999998E-2</c:v>
                </c:pt>
                <c:pt idx="8">
                  <c:v>2.205E-2</c:v>
                </c:pt>
                <c:pt idx="9">
                  <c:v>2.512E-2</c:v>
                </c:pt>
                <c:pt idx="10">
                  <c:v>2.886E-2</c:v>
                </c:pt>
                <c:pt idx="11">
                  <c:v>3.356E-2</c:v>
                </c:pt>
                <c:pt idx="12">
                  <c:v>3.9710000000000002E-2</c:v>
                </c:pt>
                <c:pt idx="13">
                  <c:v>4.743E-2</c:v>
                </c:pt>
                <c:pt idx="14">
                  <c:v>6.0010000000000001E-2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B2-45CF-9BB2-8224B606E2BF}"/>
            </c:ext>
          </c:extLst>
        </c:ser>
        <c:ser>
          <c:idx val="2"/>
          <c:order val="2"/>
          <c:tx>
            <c:v>15 Grados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'NACA 0012-HLD'!$Y$34:$Y$47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'NACA 0012-HLD'!$AA$34:$AA$47</c:f>
              <c:numCache>
                <c:formatCode>General</c:formatCode>
                <c:ptCount val="14"/>
                <c:pt idx="0">
                  <c:v>1.1900000000000001E-2</c:v>
                </c:pt>
                <c:pt idx="1">
                  <c:v>1.4120000000000001E-2</c:v>
                </c:pt>
                <c:pt idx="2">
                  <c:v>1.5789999999999998E-2</c:v>
                </c:pt>
                <c:pt idx="3">
                  <c:v>1.753E-2</c:v>
                </c:pt>
                <c:pt idx="4">
                  <c:v>1.9300000000000001E-2</c:v>
                </c:pt>
                <c:pt idx="5">
                  <c:v>2.1250000000000002E-2</c:v>
                </c:pt>
                <c:pt idx="6">
                  <c:v>2.3390000000000001E-2</c:v>
                </c:pt>
                <c:pt idx="7">
                  <c:v>2.5950000000000001E-2</c:v>
                </c:pt>
                <c:pt idx="8">
                  <c:v>2.8930000000000001E-2</c:v>
                </c:pt>
                <c:pt idx="9">
                  <c:v>3.2640000000000002E-2</c:v>
                </c:pt>
                <c:pt idx="10">
                  <c:v>3.7240000000000002E-2</c:v>
                </c:pt>
                <c:pt idx="11">
                  <c:v>5.0389999999999997E-2</c:v>
                </c:pt>
                <c:pt idx="12">
                  <c:v>6.1920000000000003E-2</c:v>
                </c:pt>
                <c:pt idx="13">
                  <c:v>7.7969999999999998E-2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4C-4299-B612-A900311B39B5}"/>
            </c:ext>
          </c:extLst>
        </c:ser>
        <c:ser>
          <c:idx val="3"/>
          <c:order val="3"/>
          <c:tx>
            <c:v>20 Grados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'NACA 0012-HLD'!$AC$34:$AC$48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'NACA 0012-HLD'!$AE$34:$AE$48</c:f>
              <c:numCache>
                <c:formatCode>General</c:formatCode>
                <c:ptCount val="15"/>
                <c:pt idx="0">
                  <c:v>1.9900000000000001E-2</c:v>
                </c:pt>
                <c:pt idx="1">
                  <c:v>2.094E-2</c:v>
                </c:pt>
                <c:pt idx="2">
                  <c:v>2.2169999999999999E-2</c:v>
                </c:pt>
                <c:pt idx="3">
                  <c:v>2.3689999999999999E-2</c:v>
                </c:pt>
                <c:pt idx="4">
                  <c:v>2.546E-2</c:v>
                </c:pt>
                <c:pt idx="5">
                  <c:v>2.7560000000000001E-2</c:v>
                </c:pt>
                <c:pt idx="6">
                  <c:v>3.0130000000000001E-2</c:v>
                </c:pt>
                <c:pt idx="7">
                  <c:v>3.329E-2</c:v>
                </c:pt>
                <c:pt idx="8">
                  <c:v>3.7310000000000003E-2</c:v>
                </c:pt>
                <c:pt idx="9">
                  <c:v>4.1880000000000001E-2</c:v>
                </c:pt>
                <c:pt idx="10">
                  <c:v>4.7690000000000003E-2</c:v>
                </c:pt>
                <c:pt idx="11">
                  <c:v>5.5460000000000002E-2</c:v>
                </c:pt>
                <c:pt idx="12">
                  <c:v>6.5259999999999999E-2</c:v>
                </c:pt>
                <c:pt idx="13">
                  <c:v>8.0449999999999994E-2</c:v>
                </c:pt>
                <c:pt idx="14">
                  <c:v>0.10169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4C-4299-B612-A900311B3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649071"/>
        <c:axId val="291649551"/>
      </c:scatterChart>
      <c:valAx>
        <c:axId val="29164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α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[deg]</a:t>
                </a:r>
                <a:endParaRPr lang="es-CO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1649551"/>
        <c:crosses val="autoZero"/>
        <c:crossBetween val="midCat"/>
      </c:valAx>
      <c:valAx>
        <c:axId val="2916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</a:t>
                </a:r>
                <a:r>
                  <a:rPr lang="es-CO" baseline="-25000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164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881530759325091"/>
          <c:y val="0.11242242782851911"/>
          <c:w val="0.69224020805811526"/>
          <c:h val="0.760261682470668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'NACA 0012-HLD'!$A$18:$C$18</c:f>
              <c:strCache>
                <c:ptCount val="1"/>
                <c:pt idx="0">
                  <c:v>df 0,0 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0012-HLD'!$B$20:$B$33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0012-HLD'!$E$20:$E$33</c:f>
              <c:numCache>
                <c:formatCode>0.000</c:formatCode>
                <c:ptCount val="14"/>
                <c:pt idx="0">
                  <c:v>1.648230956971207E-3</c:v>
                </c:pt>
                <c:pt idx="1">
                  <c:v>4.4751387029392659E-2</c:v>
                </c:pt>
                <c:pt idx="2">
                  <c:v>0.22231952442867439</c:v>
                </c:pt>
                <c:pt idx="3">
                  <c:v>0.30185625084065709</c:v>
                </c:pt>
                <c:pt idx="4">
                  <c:v>0.41493256067937939</c:v>
                </c:pt>
                <c:pt idx="5">
                  <c:v>0.49255273946697692</c:v>
                </c:pt>
                <c:pt idx="6">
                  <c:v>0.61808660886420264</c:v>
                </c:pt>
                <c:pt idx="7">
                  <c:v>0.68899887096645218</c:v>
                </c:pt>
                <c:pt idx="8">
                  <c:v>0.72732982345415476</c:v>
                </c:pt>
                <c:pt idx="9">
                  <c:v>0.81644928798806282</c:v>
                </c:pt>
                <c:pt idx="10">
                  <c:v>0.89023637152689017</c:v>
                </c:pt>
                <c:pt idx="11">
                  <c:v>0.88831982390250508</c:v>
                </c:pt>
                <c:pt idx="12">
                  <c:v>0.89790256202443064</c:v>
                </c:pt>
                <c:pt idx="13">
                  <c:v>0.90173565727320093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B4-40CF-9C5D-2589F306EAF3}"/>
            </c:ext>
          </c:extLst>
        </c:ser>
        <c:ser>
          <c:idx val="1"/>
          <c:order val="1"/>
          <c:tx>
            <c:strRef>
              <c:f>'NACA 0012-HLD'!$A$36:$C$36</c:f>
              <c:strCache>
                <c:ptCount val="1"/>
                <c:pt idx="0">
                  <c:v>df -10,0 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0012-HLD'!$B$38:$B$51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0012-HLD'!$E$38:$E$51</c:f>
              <c:numCache>
                <c:formatCode>0.000</c:formatCode>
                <c:ptCount val="14"/>
                <c:pt idx="0">
                  <c:v>8.2315720467341091E-3</c:v>
                </c:pt>
                <c:pt idx="1">
                  <c:v>0.18303029812877938</c:v>
                </c:pt>
                <c:pt idx="2">
                  <c:v>0.34402029857712979</c:v>
                </c:pt>
                <c:pt idx="3">
                  <c:v>0.34402029857712979</c:v>
                </c:pt>
                <c:pt idx="4">
                  <c:v>0.38714262012579514</c:v>
                </c:pt>
                <c:pt idx="5">
                  <c:v>0.68133268046891182</c:v>
                </c:pt>
                <c:pt idx="6">
                  <c:v>0.76086940688089433</c:v>
                </c:pt>
                <c:pt idx="7">
                  <c:v>0.80878309749052246</c:v>
                </c:pt>
                <c:pt idx="8">
                  <c:v>0.86148815716111338</c:v>
                </c:pt>
                <c:pt idx="9">
                  <c:v>0.89311119296346797</c:v>
                </c:pt>
                <c:pt idx="10">
                  <c:v>0.90940184777074151</c:v>
                </c:pt>
                <c:pt idx="11">
                  <c:v>0.91036012158293411</c:v>
                </c:pt>
                <c:pt idx="12">
                  <c:v>0.90748530014635642</c:v>
                </c:pt>
                <c:pt idx="13">
                  <c:v>0.91036012158293411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97-4EE4-819B-6B87FF78841F}"/>
            </c:ext>
          </c:extLst>
        </c:ser>
        <c:ser>
          <c:idx val="2"/>
          <c:order val="2"/>
          <c:tx>
            <c:strRef>
              <c:f>'NACA 0012-HLD'!$A$54:$C$54</c:f>
              <c:strCache>
                <c:ptCount val="1"/>
                <c:pt idx="0">
                  <c:v>df -15,0 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0012-HLD'!$B$56:$B$69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0012-HLD'!$E$56:$E$69</c:f>
              <c:numCache>
                <c:formatCode>0.000</c:formatCode>
                <c:ptCount val="14"/>
                <c:pt idx="0">
                  <c:v>9.5060762169502155E-2</c:v>
                </c:pt>
                <c:pt idx="1">
                  <c:v>0.22231952442867439</c:v>
                </c:pt>
                <c:pt idx="2">
                  <c:v>0.37851815581606207</c:v>
                </c:pt>
                <c:pt idx="3">
                  <c:v>0.48201172753285876</c:v>
                </c:pt>
                <c:pt idx="4">
                  <c:v>0.51555131095959839</c:v>
                </c:pt>
                <c:pt idx="5">
                  <c:v>0.59508803737158111</c:v>
                </c:pt>
                <c:pt idx="6">
                  <c:v>0.78099315693693816</c:v>
                </c:pt>
                <c:pt idx="7">
                  <c:v>0.81261619273929275</c:v>
                </c:pt>
                <c:pt idx="8">
                  <c:v>0.8586133357245358</c:v>
                </c:pt>
                <c:pt idx="9">
                  <c:v>0.88736155009031259</c:v>
                </c:pt>
                <c:pt idx="10">
                  <c:v>0.90844357395854891</c:v>
                </c:pt>
                <c:pt idx="11">
                  <c:v>0.90748530014635642</c:v>
                </c:pt>
                <c:pt idx="12">
                  <c:v>0.90173565727320093</c:v>
                </c:pt>
                <c:pt idx="13">
                  <c:v>0.89790256202443064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97-4EE4-819B-6B87FF78841F}"/>
            </c:ext>
          </c:extLst>
        </c:ser>
        <c:ser>
          <c:idx val="3"/>
          <c:order val="3"/>
          <c:tx>
            <c:strRef>
              <c:f>'NACA 0012-HLD'!$A$72:$C$72</c:f>
              <c:strCache>
                <c:ptCount val="1"/>
                <c:pt idx="0">
                  <c:v>df -20,0 deg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0012-HLD'!$B$74:$B$87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0012-HLD'!$E$74:$E$87</c:f>
              <c:numCache>
                <c:formatCode>0.000</c:formatCode>
                <c:ptCount val="14"/>
                <c:pt idx="0">
                  <c:v>0.15236553613861739</c:v>
                </c:pt>
                <c:pt idx="1">
                  <c:v>0.3258130961454711</c:v>
                </c:pt>
                <c:pt idx="2">
                  <c:v>0.52800887051810175</c:v>
                </c:pt>
                <c:pt idx="3">
                  <c:v>0.60179595405692909</c:v>
                </c:pt>
                <c:pt idx="4">
                  <c:v>0.65833410897629019</c:v>
                </c:pt>
                <c:pt idx="5">
                  <c:v>0.69858160908837774</c:v>
                </c:pt>
                <c:pt idx="6">
                  <c:v>0.78099315693693816</c:v>
                </c:pt>
                <c:pt idx="7">
                  <c:v>0.84807232379041741</c:v>
                </c:pt>
                <c:pt idx="8">
                  <c:v>0.87873708578057952</c:v>
                </c:pt>
                <c:pt idx="9">
                  <c:v>0.90269393108539353</c:v>
                </c:pt>
                <c:pt idx="10">
                  <c:v>0.91036012158293411</c:v>
                </c:pt>
                <c:pt idx="11">
                  <c:v>0.91036012158293411</c:v>
                </c:pt>
                <c:pt idx="12">
                  <c:v>0.90748530014635642</c:v>
                </c:pt>
                <c:pt idx="13">
                  <c:v>0.90652702633416382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97-4EE4-819B-6B87FF788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748832"/>
        <c:axId val="1037070128"/>
      </c:scatterChart>
      <c:valAx>
        <c:axId val="8287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latin typeface="Symbol" panose="05050102010706020507" pitchFamily="18" charset="2"/>
                  </a:rPr>
                  <a:t>a</a:t>
                </a:r>
                <a:r>
                  <a:rPr lang="en-US" sz="1800" b="1"/>
                  <a:t>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70128"/>
        <c:crosses val="autoZero"/>
        <c:crossBetween val="midCat"/>
      </c:valAx>
      <c:valAx>
        <c:axId val="1037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7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62154998138492"/>
          <c:y val="0.42555680527341799"/>
          <c:w val="0.17891773033566616"/>
          <c:h val="0.18182319478913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 vs. c</a:t>
            </a:r>
            <a:r>
              <a:rPr lang="en-US" sz="2800" b="1" baseline="-25000"/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00844739156432"/>
          <c:y val="0.11452854901171972"/>
          <c:w val="0.70684360130503698"/>
          <c:h val="0.770196912042815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'NACA 0012-HLD'!$A$18:$C$18</c:f>
              <c:strCache>
                <c:ptCount val="1"/>
                <c:pt idx="0">
                  <c:v>df 0,0 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0012-HLD'!$F$20:$F$33</c:f>
              <c:numCache>
                <c:formatCode>0.0000</c:formatCode>
                <c:ptCount val="14"/>
                <c:pt idx="0">
                  <c:v>2.7406631028707277E-2</c:v>
                </c:pt>
                <c:pt idx="1">
                  <c:v>2.6544184597733972E-2</c:v>
                </c:pt>
                <c:pt idx="2">
                  <c:v>2.4723464354568101E-2</c:v>
                </c:pt>
                <c:pt idx="3">
                  <c:v>2.2806916730182977E-2</c:v>
                </c:pt>
                <c:pt idx="4">
                  <c:v>2.0027922674824547E-2</c:v>
                </c:pt>
                <c:pt idx="5">
                  <c:v>1.9932095293605293E-2</c:v>
                </c:pt>
                <c:pt idx="6">
                  <c:v>2.108202386823637E-2</c:v>
                </c:pt>
                <c:pt idx="7">
                  <c:v>2.2806916730182977E-2</c:v>
                </c:pt>
                <c:pt idx="8">
                  <c:v>2.2040297680428932E-2</c:v>
                </c:pt>
                <c:pt idx="9">
                  <c:v>2.3956845304814053E-2</c:v>
                </c:pt>
                <c:pt idx="10">
                  <c:v>2.9227351271873144E-2</c:v>
                </c:pt>
                <c:pt idx="11">
                  <c:v>2.8939869128215379E-2</c:v>
                </c:pt>
                <c:pt idx="12">
                  <c:v>2.9706488177969427E-2</c:v>
                </c:pt>
                <c:pt idx="13">
                  <c:v>3.1239726277477526E-2</c:v>
                </c:pt>
              </c:numCache>
            </c:numRef>
          </c:xVal>
          <c:yVal>
            <c:numRef>
              <c:f>'NACA 0012-HLD'!$E$20:$E$33</c:f>
              <c:numCache>
                <c:formatCode>0.000</c:formatCode>
                <c:ptCount val="14"/>
                <c:pt idx="0">
                  <c:v>1.648230956971207E-3</c:v>
                </c:pt>
                <c:pt idx="1">
                  <c:v>4.4751387029392659E-2</c:v>
                </c:pt>
                <c:pt idx="2">
                  <c:v>0.22231952442867439</c:v>
                </c:pt>
                <c:pt idx="3">
                  <c:v>0.30185625084065709</c:v>
                </c:pt>
                <c:pt idx="4">
                  <c:v>0.41493256067937939</c:v>
                </c:pt>
                <c:pt idx="5">
                  <c:v>0.49255273946697692</c:v>
                </c:pt>
                <c:pt idx="6">
                  <c:v>0.61808660886420264</c:v>
                </c:pt>
                <c:pt idx="7">
                  <c:v>0.68899887096645218</c:v>
                </c:pt>
                <c:pt idx="8">
                  <c:v>0.72732982345415476</c:v>
                </c:pt>
                <c:pt idx="9">
                  <c:v>0.81644928798806282</c:v>
                </c:pt>
                <c:pt idx="10">
                  <c:v>0.89023637152689017</c:v>
                </c:pt>
                <c:pt idx="11">
                  <c:v>0.88831982390250508</c:v>
                </c:pt>
                <c:pt idx="12">
                  <c:v>0.89790256202443064</c:v>
                </c:pt>
                <c:pt idx="13">
                  <c:v>0.90173565727320093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3B-4293-AEF5-F7247EB89C67}"/>
            </c:ext>
          </c:extLst>
        </c:ser>
        <c:ser>
          <c:idx val="1"/>
          <c:order val="1"/>
          <c:tx>
            <c:strRef>
              <c:f>'NACA 0012-HLD'!$A$36:$C$36</c:f>
              <c:strCache>
                <c:ptCount val="1"/>
                <c:pt idx="0">
                  <c:v>df -10,0 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0012-HLD'!$F$38:$F$51</c:f>
              <c:numCache>
                <c:formatCode>0.0000</c:formatCode>
                <c:ptCount val="14"/>
                <c:pt idx="0">
                  <c:v>2.6352529835295464E-2</c:v>
                </c:pt>
                <c:pt idx="1">
                  <c:v>2.3477708398717771E-2</c:v>
                </c:pt>
                <c:pt idx="2">
                  <c:v>2.1752815536771164E-2</c:v>
                </c:pt>
                <c:pt idx="3">
                  <c:v>2.2136125061648186E-2</c:v>
                </c:pt>
                <c:pt idx="4">
                  <c:v>2.1656988155551903E-2</c:v>
                </c:pt>
                <c:pt idx="5">
                  <c:v>2.108202386823637E-2</c:v>
                </c:pt>
                <c:pt idx="6">
                  <c:v>2.2327779824086697E-2</c:v>
                </c:pt>
                <c:pt idx="7">
                  <c:v>2.3956845304814053E-2</c:v>
                </c:pt>
                <c:pt idx="8">
                  <c:v>2.4531809592129594E-2</c:v>
                </c:pt>
                <c:pt idx="9">
                  <c:v>2.7214976266268762E-2</c:v>
                </c:pt>
                <c:pt idx="10">
                  <c:v>2.9035696509434633E-2</c:v>
                </c:pt>
                <c:pt idx="11">
                  <c:v>3.4018720332835956E-2</c:v>
                </c:pt>
                <c:pt idx="12">
                  <c:v>3.3347928664301162E-2</c:v>
                </c:pt>
                <c:pt idx="13">
                  <c:v>3.3347928664301162E-2</c:v>
                </c:pt>
              </c:numCache>
            </c:numRef>
          </c:xVal>
          <c:yVal>
            <c:numRef>
              <c:f>'NACA 0012-HLD'!$E$38:$E$51</c:f>
              <c:numCache>
                <c:formatCode>0.000</c:formatCode>
                <c:ptCount val="14"/>
                <c:pt idx="0">
                  <c:v>8.2315720467341091E-3</c:v>
                </c:pt>
                <c:pt idx="1">
                  <c:v>0.18303029812877938</c:v>
                </c:pt>
                <c:pt idx="2">
                  <c:v>0.34402029857712979</c:v>
                </c:pt>
                <c:pt idx="3">
                  <c:v>0.34402029857712979</c:v>
                </c:pt>
                <c:pt idx="4">
                  <c:v>0.38714262012579514</c:v>
                </c:pt>
                <c:pt idx="5">
                  <c:v>0.68133268046891182</c:v>
                </c:pt>
                <c:pt idx="6">
                  <c:v>0.76086940688089433</c:v>
                </c:pt>
                <c:pt idx="7">
                  <c:v>0.80878309749052246</c:v>
                </c:pt>
                <c:pt idx="8">
                  <c:v>0.86148815716111338</c:v>
                </c:pt>
                <c:pt idx="9">
                  <c:v>0.89311119296346797</c:v>
                </c:pt>
                <c:pt idx="10">
                  <c:v>0.90940184777074151</c:v>
                </c:pt>
                <c:pt idx="11">
                  <c:v>0.91036012158293411</c:v>
                </c:pt>
                <c:pt idx="12">
                  <c:v>0.90748530014635642</c:v>
                </c:pt>
                <c:pt idx="13">
                  <c:v>0.91036012158293411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4-4991-8DC6-7B403384B1E5}"/>
            </c:ext>
          </c:extLst>
        </c:ser>
        <c:ser>
          <c:idx val="2"/>
          <c:order val="2"/>
          <c:tx>
            <c:strRef>
              <c:f>'NACA 0012-HLD'!$A$54:$C$54</c:f>
              <c:strCache>
                <c:ptCount val="1"/>
                <c:pt idx="0">
                  <c:v>df -15,0 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0012-HLD'!$F$56:$F$69</c:f>
              <c:numCache>
                <c:formatCode>0.0000</c:formatCode>
                <c:ptCount val="14"/>
                <c:pt idx="0">
                  <c:v>2.3573535779937028E-2</c:v>
                </c:pt>
                <c:pt idx="1">
                  <c:v>2.3286053636279259E-2</c:v>
                </c:pt>
                <c:pt idx="2">
                  <c:v>2.1752815536771164E-2</c:v>
                </c:pt>
                <c:pt idx="3">
                  <c:v>2.0602886962140087E-2</c:v>
                </c:pt>
                <c:pt idx="4">
                  <c:v>2.1752815536771164E-2</c:v>
                </c:pt>
                <c:pt idx="5">
                  <c:v>1.9548785768728268E-2</c:v>
                </c:pt>
                <c:pt idx="6">
                  <c:v>2.510677387944513E-2</c:v>
                </c:pt>
                <c:pt idx="7">
                  <c:v>2.4244327448471822E-2</c:v>
                </c:pt>
                <c:pt idx="8">
                  <c:v>2.4915119117006616E-2</c:v>
                </c:pt>
                <c:pt idx="9">
                  <c:v>2.616087507285695E-2</c:v>
                </c:pt>
                <c:pt idx="10">
                  <c:v>3.0856416752600504E-2</c:v>
                </c:pt>
                <c:pt idx="11">
                  <c:v>3.2677136995766368E-2</c:v>
                </c:pt>
                <c:pt idx="12">
                  <c:v>3.5743613194782566E-2</c:v>
                </c:pt>
                <c:pt idx="13">
                  <c:v>3.881008939379877E-2</c:v>
                </c:pt>
              </c:numCache>
            </c:numRef>
          </c:xVal>
          <c:yVal>
            <c:numRef>
              <c:f>'NACA 0012-HLD'!$E$56:$E$69</c:f>
              <c:numCache>
                <c:formatCode>0.000</c:formatCode>
                <c:ptCount val="14"/>
                <c:pt idx="0">
                  <c:v>9.5060762169502155E-2</c:v>
                </c:pt>
                <c:pt idx="1">
                  <c:v>0.22231952442867439</c:v>
                </c:pt>
                <c:pt idx="2">
                  <c:v>0.37851815581606207</c:v>
                </c:pt>
                <c:pt idx="3">
                  <c:v>0.48201172753285876</c:v>
                </c:pt>
                <c:pt idx="4">
                  <c:v>0.51555131095959839</c:v>
                </c:pt>
                <c:pt idx="5">
                  <c:v>0.59508803737158111</c:v>
                </c:pt>
                <c:pt idx="6">
                  <c:v>0.78099315693693816</c:v>
                </c:pt>
                <c:pt idx="7">
                  <c:v>0.81261619273929275</c:v>
                </c:pt>
                <c:pt idx="8">
                  <c:v>0.8586133357245358</c:v>
                </c:pt>
                <c:pt idx="9">
                  <c:v>0.88736155009031259</c:v>
                </c:pt>
                <c:pt idx="10">
                  <c:v>0.90844357395854891</c:v>
                </c:pt>
                <c:pt idx="11">
                  <c:v>0.90748530014635642</c:v>
                </c:pt>
                <c:pt idx="12">
                  <c:v>0.90173565727320093</c:v>
                </c:pt>
                <c:pt idx="13">
                  <c:v>0.89790256202443064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D4-4991-8DC6-7B403384B1E5}"/>
            </c:ext>
          </c:extLst>
        </c:ser>
        <c:ser>
          <c:idx val="3"/>
          <c:order val="3"/>
          <c:tx>
            <c:strRef>
              <c:f>'NACA 0012-HLD'!$A$72:$C$72</c:f>
              <c:strCache>
                <c:ptCount val="1"/>
                <c:pt idx="0">
                  <c:v>df -20,0 deg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0012-HLD'!$F$74:$F$87</c:f>
              <c:numCache>
                <c:formatCode>0.0000</c:formatCode>
                <c:ptCount val="14"/>
                <c:pt idx="0">
                  <c:v>2.3477708398717771E-2</c:v>
                </c:pt>
                <c:pt idx="1">
                  <c:v>1.9548785768728268E-2</c:v>
                </c:pt>
                <c:pt idx="2">
                  <c:v>2.0315404818482315E-2</c:v>
                </c:pt>
                <c:pt idx="3">
                  <c:v>1.7919720288000911E-2</c:v>
                </c:pt>
                <c:pt idx="4">
                  <c:v>1.9932095293605293E-2</c:v>
                </c:pt>
                <c:pt idx="5">
                  <c:v>1.9932095293605293E-2</c:v>
                </c:pt>
                <c:pt idx="6">
                  <c:v>1.9357131006289757E-2</c:v>
                </c:pt>
                <c:pt idx="7">
                  <c:v>2.1848642917990418E-2</c:v>
                </c:pt>
                <c:pt idx="8">
                  <c:v>2.2519434586525208E-2</c:v>
                </c:pt>
                <c:pt idx="9">
                  <c:v>2.5777565547979924E-2</c:v>
                </c:pt>
                <c:pt idx="10">
                  <c:v>3.0473107227723475E-2</c:v>
                </c:pt>
                <c:pt idx="11">
                  <c:v>3.1143898896258272E-2</c:v>
                </c:pt>
                <c:pt idx="12">
                  <c:v>4.0630809636964631E-2</c:v>
                </c:pt>
                <c:pt idx="13">
                  <c:v>4.2451529880130505E-2</c:v>
                </c:pt>
              </c:numCache>
            </c:numRef>
          </c:xVal>
          <c:yVal>
            <c:numRef>
              <c:f>'NACA 0012-HLD'!$E$74:$E$87</c:f>
              <c:numCache>
                <c:formatCode>0.000</c:formatCode>
                <c:ptCount val="14"/>
                <c:pt idx="0">
                  <c:v>0.15236553613861739</c:v>
                </c:pt>
                <c:pt idx="1">
                  <c:v>0.3258130961454711</c:v>
                </c:pt>
                <c:pt idx="2">
                  <c:v>0.52800887051810175</c:v>
                </c:pt>
                <c:pt idx="3">
                  <c:v>0.60179595405692909</c:v>
                </c:pt>
                <c:pt idx="4">
                  <c:v>0.65833410897629019</c:v>
                </c:pt>
                <c:pt idx="5">
                  <c:v>0.69858160908837774</c:v>
                </c:pt>
                <c:pt idx="6">
                  <c:v>0.78099315693693816</c:v>
                </c:pt>
                <c:pt idx="7">
                  <c:v>0.84807232379041741</c:v>
                </c:pt>
                <c:pt idx="8">
                  <c:v>0.87873708578057952</c:v>
                </c:pt>
                <c:pt idx="9">
                  <c:v>0.90269393108539353</c:v>
                </c:pt>
                <c:pt idx="10">
                  <c:v>0.91036012158293411</c:v>
                </c:pt>
                <c:pt idx="11">
                  <c:v>0.91036012158293411</c:v>
                </c:pt>
                <c:pt idx="12">
                  <c:v>0.90748530014635642</c:v>
                </c:pt>
                <c:pt idx="13">
                  <c:v>0.90652702633416382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D4-4991-8DC6-7B403384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576224"/>
        <c:axId val="1037060208"/>
      </c:scatterChart>
      <c:valAx>
        <c:axId val="8385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060208"/>
        <c:crosses val="autoZero"/>
        <c:crossBetween val="midCat"/>
      </c:valAx>
      <c:valAx>
        <c:axId val="10370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857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801170407482"/>
          <c:y val="0.3911298307251394"/>
          <c:w val="0.18438102871866008"/>
          <c:h val="0.16509932513589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</a:t>
            </a:r>
            <a:r>
              <a:rPr lang="en-US" sz="2800" b="1" baseline="-25000"/>
              <a:t>l</a:t>
            </a:r>
            <a:r>
              <a:rPr lang="en-US" sz="2800" b="1"/>
              <a:t>/c</a:t>
            </a:r>
            <a:r>
              <a:rPr lang="en-US" sz="2800" b="1" baseline="-25000"/>
              <a:t>d</a:t>
            </a:r>
            <a:r>
              <a:rPr lang="en-US" sz="2800" b="1"/>
              <a:t> vs. </a:t>
            </a:r>
            <a:r>
              <a:rPr lang="en-US" sz="2800" b="1">
                <a:latin typeface="Symbol" panose="05050102010706020507" pitchFamily="18" charset="2"/>
              </a:rPr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500560061416041"/>
          <c:y val="0.12705581377510247"/>
          <c:w val="0.67966764854252415"/>
          <c:h val="0.733085394284156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'NACA 0012-HLD'!$A$18:$C$18</c:f>
              <c:strCache>
                <c:ptCount val="1"/>
                <c:pt idx="0">
                  <c:v>df 0,0 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0012-HLD'!$B$20:$B$33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0012-HLD'!$G$20:$G$33</c:f>
              <c:numCache>
                <c:formatCode>0.00</c:formatCode>
                <c:ptCount val="14"/>
                <c:pt idx="0">
                  <c:v>6.0139860139860148E-2</c:v>
                </c:pt>
                <c:pt idx="1">
                  <c:v>1.6859205776173287</c:v>
                </c:pt>
                <c:pt idx="2">
                  <c:v>8.9922480620155039</c:v>
                </c:pt>
                <c:pt idx="3">
                  <c:v>13.235294117647062</c:v>
                </c:pt>
                <c:pt idx="4">
                  <c:v>20.717703349282299</c:v>
                </c:pt>
                <c:pt idx="5">
                  <c:v>24.71153846153846</c:v>
                </c:pt>
                <c:pt idx="6">
                  <c:v>29.318181818181817</c:v>
                </c:pt>
                <c:pt idx="7">
                  <c:v>30.210084033613448</c:v>
                </c:pt>
                <c:pt idx="8">
                  <c:v>33</c:v>
                </c:pt>
                <c:pt idx="9">
                  <c:v>34.08</c:v>
                </c:pt>
                <c:pt idx="10">
                  <c:v>30.459016393442621</c:v>
                </c:pt>
                <c:pt idx="11">
                  <c:v>30.695364238410594</c:v>
                </c:pt>
                <c:pt idx="12">
                  <c:v>30.2258064516129</c:v>
                </c:pt>
                <c:pt idx="13">
                  <c:v>28.865030674846626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E-4CC3-AC27-811EDAFFBC1B}"/>
            </c:ext>
          </c:extLst>
        </c:ser>
        <c:ser>
          <c:idx val="1"/>
          <c:order val="1"/>
          <c:tx>
            <c:strRef>
              <c:f>'NACA 0012-HLD'!$A$36:$C$36</c:f>
              <c:strCache>
                <c:ptCount val="1"/>
                <c:pt idx="0">
                  <c:v>df -10,0 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0012-HLD'!$B$38:$B$51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0012-HLD'!$G$38:$G$51</c:f>
              <c:numCache>
                <c:formatCode>0.00</c:formatCode>
                <c:ptCount val="14"/>
                <c:pt idx="0">
                  <c:v>0.31236363636363629</c:v>
                </c:pt>
                <c:pt idx="1">
                  <c:v>7.7959183673469399</c:v>
                </c:pt>
                <c:pt idx="2">
                  <c:v>15.814977973568279</c:v>
                </c:pt>
                <c:pt idx="3">
                  <c:v>15.54112554112554</c:v>
                </c:pt>
                <c:pt idx="4">
                  <c:v>17.876106194690269</c:v>
                </c:pt>
                <c:pt idx="5">
                  <c:v>32.31818181818182</c:v>
                </c:pt>
                <c:pt idx="6">
                  <c:v>34.077253218884124</c:v>
                </c:pt>
                <c:pt idx="7">
                  <c:v>33.76</c:v>
                </c:pt>
                <c:pt idx="8">
                  <c:v>35.1171875</c:v>
                </c:pt>
                <c:pt idx="9">
                  <c:v>32.816901408450711</c:v>
                </c:pt>
                <c:pt idx="10">
                  <c:v>31.32013201320132</c:v>
                </c:pt>
                <c:pt idx="11">
                  <c:v>26.760563380281692</c:v>
                </c:pt>
                <c:pt idx="12">
                  <c:v>27.212643678160923</c:v>
                </c:pt>
                <c:pt idx="13">
                  <c:v>27.298850574712645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B-422F-B799-B9875A9349FC}"/>
            </c:ext>
          </c:extLst>
        </c:ser>
        <c:ser>
          <c:idx val="2"/>
          <c:order val="2"/>
          <c:tx>
            <c:strRef>
              <c:f>'NACA 0012-HLD'!$A$54:$C$54</c:f>
              <c:strCache>
                <c:ptCount val="1"/>
                <c:pt idx="0">
                  <c:v>df -15,0 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0012-HLD'!$B$56:$B$69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0012-HLD'!$G$56:$G$69</c:f>
              <c:numCache>
                <c:formatCode>0.00</c:formatCode>
                <c:ptCount val="14"/>
                <c:pt idx="0">
                  <c:v>4.0325203252032518</c:v>
                </c:pt>
                <c:pt idx="1">
                  <c:v>9.5473251028806576</c:v>
                </c:pt>
                <c:pt idx="2">
                  <c:v>17.40088105726872</c:v>
                </c:pt>
                <c:pt idx="3">
                  <c:v>23.395348837209301</c:v>
                </c:pt>
                <c:pt idx="4">
                  <c:v>23.700440528634356</c:v>
                </c:pt>
                <c:pt idx="5">
                  <c:v>30.441176470588236</c:v>
                </c:pt>
                <c:pt idx="6">
                  <c:v>31.106870229007633</c:v>
                </c:pt>
                <c:pt idx="7">
                  <c:v>33.517786561264828</c:v>
                </c:pt>
                <c:pt idx="8">
                  <c:v>34.461538461538467</c:v>
                </c:pt>
                <c:pt idx="9">
                  <c:v>33.91941391941392</c:v>
                </c:pt>
                <c:pt idx="10">
                  <c:v>29.440993788819874</c:v>
                </c:pt>
                <c:pt idx="11">
                  <c:v>27.771260997067451</c:v>
                </c:pt>
                <c:pt idx="12">
                  <c:v>25.227882037533512</c:v>
                </c:pt>
                <c:pt idx="13">
                  <c:v>23.135802469135797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0B-422F-B799-B9875A9349FC}"/>
            </c:ext>
          </c:extLst>
        </c:ser>
        <c:ser>
          <c:idx val="3"/>
          <c:order val="3"/>
          <c:tx>
            <c:strRef>
              <c:f>'NACA 0012-HLD'!$A$72:$C$72</c:f>
              <c:strCache>
                <c:ptCount val="1"/>
                <c:pt idx="0">
                  <c:v>df -20,0 deg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'NACA 0012-HLD'!$B$74:$B$87</c:f>
              <c:numCache>
                <c:formatCode>0.00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'NACA 0012-HLD'!$G$74:$G$87</c:f>
              <c:numCache>
                <c:formatCode>0.00</c:formatCode>
                <c:ptCount val="14"/>
                <c:pt idx="0">
                  <c:v>6.4897959183673484</c:v>
                </c:pt>
                <c:pt idx="1">
                  <c:v>16.666666666666664</c:v>
                </c:pt>
                <c:pt idx="2">
                  <c:v>25.990566037735853</c:v>
                </c:pt>
                <c:pt idx="3">
                  <c:v>33.582887700534762</c:v>
                </c:pt>
                <c:pt idx="4">
                  <c:v>33.028846153846153</c:v>
                </c:pt>
                <c:pt idx="5">
                  <c:v>35.04807692307692</c:v>
                </c:pt>
                <c:pt idx="6">
                  <c:v>40.346534653465348</c:v>
                </c:pt>
                <c:pt idx="7">
                  <c:v>38.815789473684205</c:v>
                </c:pt>
                <c:pt idx="8">
                  <c:v>39.021276595744688</c:v>
                </c:pt>
                <c:pt idx="9">
                  <c:v>35.018587360594793</c:v>
                </c:pt>
                <c:pt idx="10">
                  <c:v>29.874213836477992</c:v>
                </c:pt>
                <c:pt idx="11">
                  <c:v>29.23076923076923</c:v>
                </c:pt>
                <c:pt idx="12">
                  <c:v>22.334905660377363</c:v>
                </c:pt>
                <c:pt idx="13">
                  <c:v>21.354401805869074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0B-422F-B799-B9875A934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511744"/>
        <c:axId val="934714960"/>
      </c:scatterChart>
      <c:valAx>
        <c:axId val="10365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>
                    <a:latin typeface="Symbol" panose="05050102010706020507" pitchFamily="18" charset="2"/>
                  </a:rPr>
                  <a:t>a</a:t>
                </a:r>
                <a:r>
                  <a:rPr lang="en-US" sz="1800" b="1" i="0"/>
                  <a:t>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4714960"/>
        <c:crosses val="autoZero"/>
        <c:crossBetween val="midCat"/>
      </c:valAx>
      <c:valAx>
        <c:axId val="9347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c</a:t>
                </a:r>
                <a:r>
                  <a:rPr lang="en-US" sz="2400" b="1" baseline="-25000"/>
                  <a:t>l</a:t>
                </a:r>
                <a:r>
                  <a:rPr lang="en-US" sz="2400" b="1"/>
                  <a:t>/c</a:t>
                </a:r>
                <a:r>
                  <a:rPr lang="en-US" sz="2400" b="1" baseline="-25000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651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26448272464236"/>
          <c:y val="0.3785286420113973"/>
          <c:w val="0.16071269248340544"/>
          <c:h val="0.202728031855679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AF9625-50DA-4149-8C5D-A0C143266973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FE32B6-D5D8-4C80-9EF5-2EC9C53A3ECC}">
  <sheetPr/>
  <sheetViews>
    <sheetView zoomScale="8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93A33B-2524-4EAD-8C86-D8DD6ECE4F25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172182</xdr:colOff>
      <xdr:row>16</xdr:row>
      <xdr:rowOff>75468</xdr:rowOff>
    </xdr:from>
    <xdr:to>
      <xdr:col>21</xdr:col>
      <xdr:colOff>172182</xdr:colOff>
      <xdr:row>30</xdr:row>
      <xdr:rowOff>49091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895B76-5D4C-437F-97BC-E3C2CCEDA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647700</xdr:colOff>
      <xdr:row>16</xdr:row>
      <xdr:rowOff>72464</xdr:rowOff>
    </xdr:from>
    <xdr:to>
      <xdr:col>27</xdr:col>
      <xdr:colOff>647700</xdr:colOff>
      <xdr:row>30</xdr:row>
      <xdr:rowOff>46087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EAAC5A-E645-430D-AE3E-4AAE37D8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705827</xdr:colOff>
      <xdr:row>58</xdr:row>
      <xdr:rowOff>44939</xdr:rowOff>
    </xdr:from>
    <xdr:to>
      <xdr:col>20</xdr:col>
      <xdr:colOff>735135</xdr:colOff>
      <xdr:row>72</xdr:row>
      <xdr:rowOff>162658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688063-9E40-647E-503B-3744F6D21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534865</xdr:colOff>
      <xdr:row>58</xdr:row>
      <xdr:rowOff>69361</xdr:rowOff>
    </xdr:from>
    <xdr:to>
      <xdr:col>27</xdr:col>
      <xdr:colOff>564173</xdr:colOff>
      <xdr:row>72</xdr:row>
      <xdr:rowOff>187080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33A4536-2F97-ECC3-532A-5E7CD657D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5C4C82-04E6-F346-20E6-16ED3AFFCE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E2332D-1C20-D2C7-32EA-2BD6A7DC91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3189C3-B790-A522-5200-C452569839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DB4B-0A0F-499A-B800-019CC876E8CD}">
  <dimension ref="A1:G31"/>
  <sheetViews>
    <sheetView workbookViewId="0">
      <selection activeCell="B3" sqref="B3:D31"/>
    </sheetView>
  </sheetViews>
  <sheetFormatPr baseColWidth="10" defaultRowHeight="14.4"/>
  <cols>
    <col min="1" max="1" width="51.77734375" bestFit="1" customWidth="1"/>
  </cols>
  <sheetData>
    <row r="1" spans="1:7">
      <c r="A1" t="s">
        <v>64</v>
      </c>
    </row>
    <row r="3" spans="1:7">
      <c r="B3" t="s">
        <v>43</v>
      </c>
      <c r="C3" t="s">
        <v>44</v>
      </c>
      <c r="D3" t="s">
        <v>45</v>
      </c>
      <c r="E3" t="s">
        <v>46</v>
      </c>
      <c r="F3" t="s">
        <v>65</v>
      </c>
      <c r="G3" t="s">
        <v>66</v>
      </c>
    </row>
    <row r="4" spans="1:7">
      <c r="B4" t="s">
        <v>47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</row>
    <row r="5" spans="1:7"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</row>
    <row r="6" spans="1:7">
      <c r="B6" t="s">
        <v>48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</row>
    <row r="7" spans="1:7"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</row>
    <row r="8" spans="1:7">
      <c r="B8" t="s">
        <v>49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</row>
    <row r="9" spans="1:7"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</row>
    <row r="10" spans="1:7">
      <c r="B10" t="s">
        <v>50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</row>
    <row r="11" spans="1:7"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</row>
    <row r="12" spans="1:7">
      <c r="B12" t="s">
        <v>51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</row>
    <row r="13" spans="1:7"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</row>
    <row r="14" spans="1:7">
      <c r="B14" t="s">
        <v>52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</row>
    <row r="15" spans="1:7"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</row>
    <row r="16" spans="1:7">
      <c r="B16" t="s">
        <v>53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</row>
    <row r="17" spans="2:7"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</row>
    <row r="18" spans="2:7">
      <c r="B18" t="s">
        <v>54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</row>
    <row r="19" spans="2:7"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</row>
    <row r="20" spans="2:7">
      <c r="B20" t="s">
        <v>55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</row>
    <row r="21" spans="2:7"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</row>
    <row r="22" spans="2:7">
      <c r="B22" t="s">
        <v>56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</row>
    <row r="23" spans="2:7"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176</v>
      </c>
    </row>
    <row r="24" spans="2:7">
      <c r="B24" t="s">
        <v>57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</row>
    <row r="25" spans="2:7">
      <c r="B25" t="s">
        <v>182</v>
      </c>
      <c r="C25" t="s">
        <v>183</v>
      </c>
      <c r="D25" t="s">
        <v>184</v>
      </c>
      <c r="E25" t="s">
        <v>63</v>
      </c>
      <c r="F25" t="s">
        <v>185</v>
      </c>
      <c r="G25" t="s">
        <v>186</v>
      </c>
    </row>
    <row r="26" spans="2:7"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</row>
    <row r="27" spans="2:7">
      <c r="B27" t="s">
        <v>58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</row>
    <row r="28" spans="2:7"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197</v>
      </c>
    </row>
    <row r="29" spans="2:7">
      <c r="B29" t="s">
        <v>59</v>
      </c>
      <c r="C29" t="s">
        <v>203</v>
      </c>
      <c r="D29" t="s">
        <v>204</v>
      </c>
      <c r="E29" t="s">
        <v>205</v>
      </c>
      <c r="F29" t="s">
        <v>206</v>
      </c>
      <c r="G29" t="s">
        <v>197</v>
      </c>
    </row>
    <row r="30" spans="2:7"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197</v>
      </c>
    </row>
    <row r="31" spans="2:7">
      <c r="B31" t="s">
        <v>60</v>
      </c>
      <c r="C31" t="s">
        <v>212</v>
      </c>
      <c r="D31" t="s">
        <v>213</v>
      </c>
      <c r="E31" t="s">
        <v>214</v>
      </c>
      <c r="F31" t="s">
        <v>215</v>
      </c>
      <c r="G3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7B6A-A3F0-4273-82A3-23DC2FDEC1DB}">
  <dimension ref="A1:AE151"/>
  <sheetViews>
    <sheetView tabSelected="1" topLeftCell="A13" zoomScale="53" zoomScaleNormal="115" workbookViewId="0">
      <selection activeCell="D87" sqref="D87"/>
    </sheetView>
  </sheetViews>
  <sheetFormatPr baseColWidth="10" defaultRowHeight="14.4"/>
  <cols>
    <col min="2" max="2" width="12.5546875" bestFit="1" customWidth="1"/>
    <col min="3" max="3" width="13.5546875" bestFit="1" customWidth="1"/>
    <col min="10" max="10" width="11.21875" bestFit="1" customWidth="1"/>
  </cols>
  <sheetData>
    <row r="1" spans="1:14" ht="15" thickBot="1">
      <c r="A1" s="1" t="s">
        <v>15</v>
      </c>
      <c r="C1" s="2" t="s">
        <v>40</v>
      </c>
    </row>
    <row r="2" spans="1:14" ht="15" thickBot="1">
      <c r="A2" s="1" t="s">
        <v>18</v>
      </c>
      <c r="C2" s="2" t="s">
        <v>41</v>
      </c>
    </row>
    <row r="3" spans="1:14" ht="15" thickBot="1">
      <c r="A3" s="1" t="s">
        <v>16</v>
      </c>
      <c r="C3" s="55">
        <v>0.33333333333333331</v>
      </c>
    </row>
    <row r="4" spans="1:14">
      <c r="A4" s="1" t="s">
        <v>27</v>
      </c>
      <c r="C4" s="51" t="s">
        <v>28</v>
      </c>
    </row>
    <row r="5" spans="1:14" ht="15" thickBot="1"/>
    <row r="6" spans="1:14" ht="15" thickBot="1">
      <c r="A6" s="59" t="s">
        <v>3</v>
      </c>
      <c r="B6" s="60"/>
      <c r="C6" s="61"/>
      <c r="E6" s="59" t="s">
        <v>4</v>
      </c>
      <c r="F6" s="60"/>
      <c r="G6" s="61"/>
      <c r="I6" s="62" t="s">
        <v>5</v>
      </c>
      <c r="J6" s="63"/>
    </row>
    <row r="7" spans="1:14" ht="15" thickBot="1">
      <c r="A7" s="3" t="s">
        <v>17</v>
      </c>
      <c r="B7" s="2">
        <v>0</v>
      </c>
      <c r="C7" s="4" t="s">
        <v>39</v>
      </c>
      <c r="E7" s="3" t="s">
        <v>1</v>
      </c>
      <c r="F7" s="2">
        <v>0.61</v>
      </c>
      <c r="G7" s="4" t="s">
        <v>0</v>
      </c>
      <c r="I7" s="5" t="s">
        <v>6</v>
      </c>
      <c r="J7" s="6">
        <f>(B14*F14*F8)/B10</f>
        <v>469833.95853918785</v>
      </c>
    </row>
    <row r="8" spans="1:14" ht="16.8" thickBot="1">
      <c r="A8" s="7" t="s">
        <v>31</v>
      </c>
      <c r="B8" s="2">
        <v>101727</v>
      </c>
      <c r="C8" s="8" t="s">
        <v>8</v>
      </c>
      <c r="E8" s="9" t="s">
        <v>2</v>
      </c>
      <c r="F8" s="2">
        <v>0.185</v>
      </c>
      <c r="G8" s="10" t="s">
        <v>0</v>
      </c>
    </row>
    <row r="9" spans="1:14" ht="16.8" thickBot="1">
      <c r="A9" s="7" t="s">
        <v>32</v>
      </c>
      <c r="B9" s="2">
        <v>297.14999999999998</v>
      </c>
      <c r="C9" s="8" t="s">
        <v>9</v>
      </c>
      <c r="I9" s="59" t="s">
        <v>13</v>
      </c>
      <c r="J9" s="60"/>
      <c r="K9" s="61"/>
    </row>
    <row r="10" spans="1:14" ht="16.8" thickBot="1">
      <c r="A10" s="11" t="s">
        <v>23</v>
      </c>
      <c r="B10" s="12">
        <f>0.000001456*(SQRT(B9))/(1+(110/B9))</f>
        <v>1.8317682947464631E-5</v>
      </c>
      <c r="C10" s="13" t="s">
        <v>29</v>
      </c>
      <c r="E10" s="59" t="s">
        <v>14</v>
      </c>
      <c r="F10" s="60"/>
      <c r="G10" s="61"/>
      <c r="I10" s="5" t="s">
        <v>20</v>
      </c>
      <c r="J10" s="14">
        <f>0.5*B14*F14^2</f>
        <v>907.14732467148735</v>
      </c>
      <c r="K10" s="15" t="s">
        <v>8</v>
      </c>
    </row>
    <row r="11" spans="1:14" ht="16.8" thickBot="1">
      <c r="A11" s="16" t="s">
        <v>19</v>
      </c>
      <c r="B11" s="17">
        <v>287</v>
      </c>
      <c r="C11" s="18" t="s">
        <v>30</v>
      </c>
      <c r="E11" s="5" t="s">
        <v>61</v>
      </c>
      <c r="F11" s="24">
        <f>F7*F8</f>
        <v>0.11284999999999999</v>
      </c>
      <c r="G11" s="15" t="s">
        <v>22</v>
      </c>
      <c r="N11">
        <f>J7/0.185</f>
        <v>2539643.019130745</v>
      </c>
    </row>
    <row r="12" spans="1:14" ht="15" thickBot="1"/>
    <row r="13" spans="1:14" ht="15" thickBot="1">
      <c r="A13" s="59" t="s">
        <v>7</v>
      </c>
      <c r="B13" s="60"/>
      <c r="C13" s="61"/>
      <c r="E13" s="59" t="s">
        <v>10</v>
      </c>
      <c r="F13" s="60"/>
      <c r="G13" s="61"/>
    </row>
    <row r="14" spans="1:14" ht="16.8" thickBot="1">
      <c r="A14" s="19" t="s">
        <v>26</v>
      </c>
      <c r="B14" s="20">
        <f>B8/(B9*B11)</f>
        <v>1.1928301442097138</v>
      </c>
      <c r="C14" s="15" t="s">
        <v>21</v>
      </c>
      <c r="E14" s="21" t="s">
        <v>11</v>
      </c>
      <c r="F14" s="22">
        <v>39</v>
      </c>
      <c r="G14" s="23" t="s">
        <v>12</v>
      </c>
    </row>
    <row r="15" spans="1:14">
      <c r="J15" t="s">
        <v>42</v>
      </c>
    </row>
    <row r="16" spans="1:14">
      <c r="E16" s="54"/>
      <c r="F16" s="54"/>
    </row>
    <row r="17" spans="1:29" ht="15" thickBot="1">
      <c r="K17">
        <v>0</v>
      </c>
      <c r="L17" s="56" t="s">
        <v>43</v>
      </c>
      <c r="M17" s="56" t="s">
        <v>44</v>
      </c>
      <c r="N17" s="56" t="s">
        <v>45</v>
      </c>
    </row>
    <row r="18" spans="1:29" ht="16.2" thickBot="1">
      <c r="A18" s="52" t="s">
        <v>38</v>
      </c>
      <c r="B18" s="53">
        <v>0</v>
      </c>
      <c r="C18" t="s">
        <v>37</v>
      </c>
      <c r="L18" s="57">
        <v>0</v>
      </c>
      <c r="M18" s="57">
        <v>0</v>
      </c>
      <c r="N18" s="57">
        <v>6.11E-3</v>
      </c>
    </row>
    <row r="19" spans="1:29" ht="16.2" thickBot="1">
      <c r="A19" s="21" t="s">
        <v>62</v>
      </c>
      <c r="B19" s="40" t="s">
        <v>33</v>
      </c>
      <c r="C19" s="41" t="s">
        <v>24</v>
      </c>
      <c r="D19" s="42" t="s">
        <v>25</v>
      </c>
      <c r="E19" s="39" t="s">
        <v>34</v>
      </c>
      <c r="F19" s="25" t="s">
        <v>35</v>
      </c>
      <c r="G19" s="26" t="s">
        <v>36</v>
      </c>
      <c r="L19" s="56">
        <v>-1</v>
      </c>
      <c r="M19" s="56">
        <v>-0.1037</v>
      </c>
      <c r="N19" s="56">
        <v>6.3E-3</v>
      </c>
    </row>
    <row r="20" spans="1:29">
      <c r="A20" s="33">
        <v>1</v>
      </c>
      <c r="B20" s="49">
        <v>0</v>
      </c>
      <c r="C20" s="43">
        <v>1.72E-2</v>
      </c>
      <c r="D20" s="44">
        <v>0.28599999999999998</v>
      </c>
      <c r="E20" s="36">
        <f>(C20*9.81)/($J$10*$F$11)</f>
        <v>1.648230956971207E-3</v>
      </c>
      <c r="F20" s="27">
        <f>(D20*9.81)/($J$10*$F$11)</f>
        <v>2.7406631028707277E-2</v>
      </c>
      <c r="G20" s="30">
        <f>E20/F20</f>
        <v>6.0139860139860148E-2</v>
      </c>
      <c r="L20" s="57">
        <v>-2</v>
      </c>
      <c r="M20" s="57">
        <v>-0.20799999999999999</v>
      </c>
      <c r="N20" s="57">
        <v>6.8700000000000002E-3</v>
      </c>
    </row>
    <row r="21" spans="1:29" ht="15" thickBot="1">
      <c r="A21" s="34">
        <v>2</v>
      </c>
      <c r="B21" s="50">
        <v>1</v>
      </c>
      <c r="C21" s="45">
        <v>0.46700000000000003</v>
      </c>
      <c r="D21" s="46">
        <v>0.27700000000000002</v>
      </c>
      <c r="E21" s="37">
        <f t="shared" ref="E21:E33" si="0">(C21*9.81)/($J$10*$F$11)</f>
        <v>4.4751387029392659E-2</v>
      </c>
      <c r="F21" s="28">
        <f t="shared" ref="F21:F33" si="1">(D21*9.81)/($J$10*$F$11)</f>
        <v>2.6544184597733972E-2</v>
      </c>
      <c r="G21" s="31">
        <f t="shared" ref="G21:G33" si="2">E21/F21</f>
        <v>1.6859205776173287</v>
      </c>
      <c r="L21" s="56">
        <v>-3</v>
      </c>
      <c r="M21" s="56">
        <v>-0.32790000000000002</v>
      </c>
      <c r="N21" s="56">
        <v>7.7499999999999999E-3</v>
      </c>
    </row>
    <row r="22" spans="1:29">
      <c r="A22" s="34">
        <v>3</v>
      </c>
      <c r="B22" s="49">
        <v>2</v>
      </c>
      <c r="C22" s="45">
        <v>2.3199999999999998</v>
      </c>
      <c r="D22" s="46">
        <v>0.25800000000000001</v>
      </c>
      <c r="E22" s="37">
        <f t="shared" si="0"/>
        <v>0.22231952442867439</v>
      </c>
      <c r="F22" s="28">
        <f t="shared" si="1"/>
        <v>2.4723464354568101E-2</v>
      </c>
      <c r="G22" s="31">
        <f t="shared" si="2"/>
        <v>8.9922480620155039</v>
      </c>
      <c r="L22" s="57">
        <v>-4</v>
      </c>
      <c r="M22" s="57">
        <v>-0.4743</v>
      </c>
      <c r="N22" s="57">
        <v>8.8999999999999999E-3</v>
      </c>
    </row>
    <row r="23" spans="1:29" ht="15" thickBot="1">
      <c r="A23" s="34">
        <v>4</v>
      </c>
      <c r="B23" s="50">
        <v>3</v>
      </c>
      <c r="C23" s="45">
        <v>3.15</v>
      </c>
      <c r="D23" s="46">
        <v>0.23799999999999999</v>
      </c>
      <c r="E23" s="37">
        <f t="shared" si="0"/>
        <v>0.30185625084065709</v>
      </c>
      <c r="F23" s="28">
        <f t="shared" si="1"/>
        <v>2.2806916730182977E-2</v>
      </c>
      <c r="G23" s="31">
        <f t="shared" si="2"/>
        <v>13.235294117647062</v>
      </c>
      <c r="L23" s="56">
        <v>-5</v>
      </c>
      <c r="M23" s="56">
        <v>-0.62239999999999995</v>
      </c>
      <c r="N23" s="56">
        <v>1.0290000000000001E-2</v>
      </c>
    </row>
    <row r="24" spans="1:29">
      <c r="A24" s="34">
        <v>5</v>
      </c>
      <c r="B24" s="49">
        <v>4</v>
      </c>
      <c r="C24" s="45">
        <v>4.33</v>
      </c>
      <c r="D24" s="46">
        <v>0.20899999999999999</v>
      </c>
      <c r="E24" s="37">
        <f t="shared" si="0"/>
        <v>0.41493256067937939</v>
      </c>
      <c r="F24" s="28">
        <f t="shared" si="1"/>
        <v>2.0027922674824547E-2</v>
      </c>
      <c r="G24" s="31">
        <f t="shared" si="2"/>
        <v>20.717703349282299</v>
      </c>
      <c r="L24" s="57">
        <v>-6</v>
      </c>
      <c r="M24" s="57">
        <v>-0.72299999999999998</v>
      </c>
      <c r="N24" s="57">
        <v>1.162E-2</v>
      </c>
    </row>
    <row r="25" spans="1:29" ht="15" thickBot="1">
      <c r="A25" s="34">
        <v>6</v>
      </c>
      <c r="B25" s="50">
        <v>5</v>
      </c>
      <c r="C25" s="45">
        <v>5.14</v>
      </c>
      <c r="D25" s="46">
        <v>0.20799999999999999</v>
      </c>
      <c r="E25" s="37">
        <f t="shared" si="0"/>
        <v>0.49255273946697692</v>
      </c>
      <c r="F25" s="28">
        <f t="shared" si="1"/>
        <v>1.9932095293605293E-2</v>
      </c>
      <c r="G25" s="31">
        <f t="shared" si="2"/>
        <v>24.71153846153846</v>
      </c>
      <c r="L25" s="57">
        <v>1</v>
      </c>
      <c r="M25" s="57">
        <v>0.1036</v>
      </c>
      <c r="N25" s="57">
        <v>6.3E-3</v>
      </c>
    </row>
    <row r="26" spans="1:29">
      <c r="A26" s="34">
        <v>7</v>
      </c>
      <c r="B26" s="49">
        <v>6</v>
      </c>
      <c r="C26" s="45">
        <v>6.45</v>
      </c>
      <c r="D26" s="46">
        <v>0.22</v>
      </c>
      <c r="E26" s="37">
        <f t="shared" si="0"/>
        <v>0.61808660886420264</v>
      </c>
      <c r="F26" s="28">
        <f t="shared" si="1"/>
        <v>2.108202386823637E-2</v>
      </c>
      <c r="G26" s="31">
        <f t="shared" si="2"/>
        <v>29.318181818181817</v>
      </c>
      <c r="L26" s="56">
        <v>2</v>
      </c>
      <c r="M26" s="56">
        <v>0.2079</v>
      </c>
      <c r="N26" s="56">
        <v>6.8799999999999998E-3</v>
      </c>
    </row>
    <row r="27" spans="1:29" ht="15" thickBot="1">
      <c r="A27" s="34">
        <v>8</v>
      </c>
      <c r="B27" s="50">
        <v>7</v>
      </c>
      <c r="C27" s="45">
        <v>7.19</v>
      </c>
      <c r="D27" s="46">
        <v>0.23799999999999999</v>
      </c>
      <c r="E27" s="37">
        <f t="shared" si="0"/>
        <v>0.68899887096645218</v>
      </c>
      <c r="F27" s="28">
        <f t="shared" si="1"/>
        <v>2.2806916730182977E-2</v>
      </c>
      <c r="G27" s="31">
        <f t="shared" si="2"/>
        <v>30.210084033613448</v>
      </c>
      <c r="L27" s="57">
        <v>3</v>
      </c>
      <c r="M27" s="57">
        <v>0.32790000000000002</v>
      </c>
      <c r="N27" s="57">
        <v>7.7499999999999999E-3</v>
      </c>
    </row>
    <row r="28" spans="1:29">
      <c r="A28" s="34">
        <v>9</v>
      </c>
      <c r="B28" s="49">
        <v>8</v>
      </c>
      <c r="C28" s="45">
        <v>7.59</v>
      </c>
      <c r="D28" s="46">
        <v>0.23</v>
      </c>
      <c r="E28" s="37">
        <f t="shared" si="0"/>
        <v>0.72732982345415476</v>
      </c>
      <c r="F28" s="28">
        <f t="shared" si="1"/>
        <v>2.2040297680428932E-2</v>
      </c>
      <c r="G28" s="31">
        <f t="shared" si="2"/>
        <v>33</v>
      </c>
      <c r="L28" s="56">
        <v>4</v>
      </c>
      <c r="M28" s="56">
        <v>0.4743</v>
      </c>
      <c r="N28" s="56">
        <v>8.9099999999999995E-3</v>
      </c>
    </row>
    <row r="29" spans="1:29" ht="15" thickBot="1">
      <c r="A29" s="34">
        <v>10</v>
      </c>
      <c r="B29" s="50">
        <v>9</v>
      </c>
      <c r="C29" s="45">
        <v>8.52</v>
      </c>
      <c r="D29" s="46">
        <v>0.25</v>
      </c>
      <c r="E29" s="37">
        <f t="shared" si="0"/>
        <v>0.81644928798806282</v>
      </c>
      <c r="F29" s="28">
        <f t="shared" si="1"/>
        <v>2.3956845304814053E-2</v>
      </c>
      <c r="G29" s="31">
        <f t="shared" si="2"/>
        <v>34.08</v>
      </c>
      <c r="L29" s="57">
        <v>5</v>
      </c>
      <c r="M29" s="57">
        <v>0.62219999999999998</v>
      </c>
      <c r="N29" s="57">
        <v>1.0279999999999999E-2</v>
      </c>
    </row>
    <row r="30" spans="1:29">
      <c r="A30" s="34">
        <v>11</v>
      </c>
      <c r="B30" s="49">
        <v>10</v>
      </c>
      <c r="C30" s="45">
        <v>9.2899999999999991</v>
      </c>
      <c r="D30" s="46">
        <v>0.30499999999999999</v>
      </c>
      <c r="E30" s="37">
        <f t="shared" si="0"/>
        <v>0.89023637152689017</v>
      </c>
      <c r="F30" s="28">
        <f t="shared" si="1"/>
        <v>2.9227351271873144E-2</v>
      </c>
      <c r="G30" s="31">
        <f t="shared" si="2"/>
        <v>30.459016393442621</v>
      </c>
      <c r="L30" s="56">
        <v>6</v>
      </c>
      <c r="M30" s="56">
        <v>0.72299999999999998</v>
      </c>
      <c r="N30" s="56">
        <v>1.162E-2</v>
      </c>
    </row>
    <row r="31" spans="1:29" ht="15" thickBot="1">
      <c r="A31" s="34">
        <v>12</v>
      </c>
      <c r="B31" s="50">
        <v>11</v>
      </c>
      <c r="C31" s="45">
        <v>9.27</v>
      </c>
      <c r="D31" s="46">
        <v>0.30199999999999999</v>
      </c>
      <c r="E31" s="37">
        <f t="shared" si="0"/>
        <v>0.88831982390250508</v>
      </c>
      <c r="F31" s="28">
        <f t="shared" si="1"/>
        <v>2.8939869128215379E-2</v>
      </c>
      <c r="G31" s="31">
        <f t="shared" si="2"/>
        <v>30.695364238410594</v>
      </c>
      <c r="L31" s="57">
        <v>7</v>
      </c>
      <c r="M31" s="57">
        <v>0.80479999999999996</v>
      </c>
      <c r="N31" s="57">
        <v>1.307E-2</v>
      </c>
    </row>
    <row r="32" spans="1:29">
      <c r="A32" s="34">
        <v>13</v>
      </c>
      <c r="B32" s="49">
        <v>12</v>
      </c>
      <c r="C32" s="45">
        <v>9.3699999999999992</v>
      </c>
      <c r="D32" s="46">
        <v>0.31</v>
      </c>
      <c r="E32" s="37">
        <f t="shared" si="0"/>
        <v>0.89790256202443064</v>
      </c>
      <c r="F32" s="28">
        <f t="shared" si="1"/>
        <v>2.9706488177969427E-2</v>
      </c>
      <c r="G32" s="31">
        <f t="shared" si="2"/>
        <v>30.2258064516129</v>
      </c>
      <c r="L32" s="56">
        <v>8</v>
      </c>
      <c r="M32" s="56">
        <v>0.88590000000000002</v>
      </c>
      <c r="N32" s="56">
        <v>1.469E-2</v>
      </c>
      <c r="Q32" s="58">
        <v>0</v>
      </c>
      <c r="U32">
        <v>10</v>
      </c>
      <c r="Y32">
        <v>15</v>
      </c>
      <c r="AC32">
        <v>20</v>
      </c>
    </row>
    <row r="33" spans="1:31" ht="15" thickBot="1">
      <c r="A33" s="35">
        <v>14</v>
      </c>
      <c r="B33" s="50">
        <v>13</v>
      </c>
      <c r="C33" s="47">
        <v>9.41</v>
      </c>
      <c r="D33" s="48">
        <v>0.32600000000000001</v>
      </c>
      <c r="E33" s="38">
        <f t="shared" si="0"/>
        <v>0.90173565727320093</v>
      </c>
      <c r="F33" s="29">
        <f t="shared" si="1"/>
        <v>3.1239726277477526E-2</v>
      </c>
      <c r="G33" s="32">
        <f t="shared" si="2"/>
        <v>28.865030674846626</v>
      </c>
      <c r="L33" s="57">
        <v>9</v>
      </c>
      <c r="M33" s="57">
        <v>0.96630000000000005</v>
      </c>
      <c r="N33" s="57">
        <v>1.661E-2</v>
      </c>
      <c r="Q33" s="56" t="s">
        <v>43</v>
      </c>
      <c r="R33" s="56" t="s">
        <v>44</v>
      </c>
      <c r="S33" s="56" t="s">
        <v>45</v>
      </c>
      <c r="U33" t="s">
        <v>43</v>
      </c>
      <c r="V33" t="s">
        <v>44</v>
      </c>
      <c r="W33" t="s">
        <v>45</v>
      </c>
      <c r="Y33" s="56" t="s">
        <v>43</v>
      </c>
      <c r="Z33" s="56" t="s">
        <v>44</v>
      </c>
      <c r="AA33" s="56" t="s">
        <v>45</v>
      </c>
      <c r="AC33" s="56" t="s">
        <v>43</v>
      </c>
      <c r="AD33" s="56" t="s">
        <v>44</v>
      </c>
      <c r="AE33" s="56" t="s">
        <v>45</v>
      </c>
    </row>
    <row r="34" spans="1:31">
      <c r="L34" s="56">
        <v>10</v>
      </c>
      <c r="M34" s="56">
        <v>1.0456000000000001</v>
      </c>
      <c r="N34" s="56">
        <v>1.898E-2</v>
      </c>
      <c r="Q34" s="57">
        <v>0</v>
      </c>
      <c r="R34" s="57">
        <v>0</v>
      </c>
      <c r="S34" s="57">
        <v>6.11E-3</v>
      </c>
      <c r="U34">
        <v>0</v>
      </c>
      <c r="V34">
        <v>0.62490000000000001</v>
      </c>
      <c r="W34">
        <v>7.9799999999999992E-3</v>
      </c>
      <c r="Y34">
        <v>0</v>
      </c>
      <c r="Z34">
        <v>0.7873</v>
      </c>
      <c r="AA34">
        <v>1.1900000000000001E-2</v>
      </c>
      <c r="AC34">
        <v>0</v>
      </c>
      <c r="AD34">
        <v>0.90549999999999997</v>
      </c>
      <c r="AE34">
        <v>1.9900000000000001E-2</v>
      </c>
    </row>
    <row r="35" spans="1:31" ht="15" thickBot="1">
      <c r="L35" s="57">
        <v>11</v>
      </c>
      <c r="M35" s="57">
        <v>1.1178999999999999</v>
      </c>
      <c r="N35" s="57">
        <v>2.1940000000000001E-2</v>
      </c>
      <c r="Q35" s="57">
        <v>1</v>
      </c>
      <c r="R35" s="57">
        <v>0.1036</v>
      </c>
      <c r="S35" s="57">
        <v>6.3E-3</v>
      </c>
      <c r="U35">
        <v>1</v>
      </c>
      <c r="V35">
        <v>0.6875</v>
      </c>
      <c r="W35">
        <v>9.7400000000000004E-3</v>
      </c>
      <c r="Y35">
        <v>1</v>
      </c>
      <c r="Z35">
        <v>0.85189999999999999</v>
      </c>
      <c r="AA35">
        <v>1.4120000000000001E-2</v>
      </c>
      <c r="AC35">
        <v>1</v>
      </c>
      <c r="AD35">
        <v>0.99139999999999995</v>
      </c>
      <c r="AE35">
        <v>2.094E-2</v>
      </c>
    </row>
    <row r="36" spans="1:31" ht="16.2" thickBot="1">
      <c r="A36" s="52" t="s">
        <v>38</v>
      </c>
      <c r="B36" s="53">
        <v>-10</v>
      </c>
      <c r="C36" t="s">
        <v>37</v>
      </c>
      <c r="L36" s="56">
        <v>12</v>
      </c>
      <c r="M36" s="56">
        <v>1.1796</v>
      </c>
      <c r="N36" s="56">
        <v>2.5270000000000001E-2</v>
      </c>
      <c r="Q36" s="56">
        <v>2</v>
      </c>
      <c r="R36" s="56">
        <v>0.2079</v>
      </c>
      <c r="S36" s="56">
        <v>6.8799999999999998E-3</v>
      </c>
      <c r="U36">
        <v>2</v>
      </c>
      <c r="V36">
        <v>0.7732</v>
      </c>
      <c r="W36">
        <v>1.14E-2</v>
      </c>
      <c r="Y36">
        <v>2</v>
      </c>
      <c r="Z36">
        <v>0.94130000000000003</v>
      </c>
      <c r="AA36">
        <v>1.5789999999999998E-2</v>
      </c>
      <c r="AC36">
        <v>2</v>
      </c>
      <c r="AD36">
        <v>1.0851</v>
      </c>
      <c r="AE36">
        <v>2.2169999999999999E-2</v>
      </c>
    </row>
    <row r="37" spans="1:31" ht="16.2" thickBot="1">
      <c r="A37" s="21" t="s">
        <v>62</v>
      </c>
      <c r="B37" s="40" t="s">
        <v>33</v>
      </c>
      <c r="C37" s="41" t="s">
        <v>24</v>
      </c>
      <c r="D37" s="42" t="s">
        <v>25</v>
      </c>
      <c r="E37" s="39" t="s">
        <v>34</v>
      </c>
      <c r="F37" s="25" t="s">
        <v>35</v>
      </c>
      <c r="G37" s="26" t="s">
        <v>36</v>
      </c>
      <c r="L37" s="57">
        <v>13</v>
      </c>
      <c r="M37" s="57">
        <v>1.2192000000000001</v>
      </c>
      <c r="N37" s="57">
        <v>2.9600000000000001E-2</v>
      </c>
      <c r="Q37" s="57">
        <v>3</v>
      </c>
      <c r="R37" s="57">
        <v>0.32790000000000002</v>
      </c>
      <c r="S37" s="57">
        <v>7.7499999999999999E-3</v>
      </c>
      <c r="U37">
        <v>3</v>
      </c>
      <c r="V37">
        <v>0.86670000000000003</v>
      </c>
      <c r="W37">
        <v>1.306E-2</v>
      </c>
      <c r="Y37">
        <v>3</v>
      </c>
      <c r="Z37">
        <v>1.0355000000000001</v>
      </c>
      <c r="AA37">
        <v>1.753E-2</v>
      </c>
      <c r="AC37">
        <v>3</v>
      </c>
      <c r="AD37">
        <v>1.1787000000000001</v>
      </c>
      <c r="AE37">
        <v>2.3689999999999999E-2</v>
      </c>
    </row>
    <row r="38" spans="1:31">
      <c r="A38" s="33">
        <v>1</v>
      </c>
      <c r="B38" s="49">
        <v>0</v>
      </c>
      <c r="C38" s="43">
        <v>8.5900000000000004E-2</v>
      </c>
      <c r="D38" s="44">
        <v>0.27500000000000002</v>
      </c>
      <c r="E38" s="36">
        <f>(C38*9.81)/($J$10*$F$11)</f>
        <v>8.2315720467341091E-3</v>
      </c>
      <c r="F38" s="27">
        <f>(D38*9.81)/($J$10*$F$11)</f>
        <v>2.6352529835295464E-2</v>
      </c>
      <c r="G38" s="30">
        <f>E38/F38</f>
        <v>0.31236363636363629</v>
      </c>
      <c r="L38" s="56">
        <v>14</v>
      </c>
      <c r="M38" s="56">
        <v>1.2479</v>
      </c>
      <c r="N38" s="56">
        <v>3.5569999999999997E-2</v>
      </c>
      <c r="Q38" s="56">
        <v>4</v>
      </c>
      <c r="R38" s="56">
        <v>0.4743</v>
      </c>
      <c r="S38" s="56">
        <v>8.9099999999999995E-3</v>
      </c>
      <c r="U38">
        <v>4</v>
      </c>
      <c r="V38">
        <v>0.9617</v>
      </c>
      <c r="W38">
        <v>1.4590000000000001E-2</v>
      </c>
      <c r="Y38">
        <v>4</v>
      </c>
      <c r="Z38">
        <v>1.1288</v>
      </c>
      <c r="AA38">
        <v>1.9300000000000001E-2</v>
      </c>
      <c r="AC38">
        <v>4</v>
      </c>
      <c r="AD38">
        <v>1.2683</v>
      </c>
      <c r="AE38">
        <v>2.546E-2</v>
      </c>
    </row>
    <row r="39" spans="1:31" ht="15" thickBot="1">
      <c r="A39" s="34">
        <v>2</v>
      </c>
      <c r="B39" s="50">
        <v>1</v>
      </c>
      <c r="C39" s="45">
        <v>1.91</v>
      </c>
      <c r="D39" s="46">
        <v>0.245</v>
      </c>
      <c r="E39" s="37">
        <f t="shared" ref="E39:E51" si="3">(C39*9.81)/($J$10*$F$11)</f>
        <v>0.18303029812877938</v>
      </c>
      <c r="F39" s="28">
        <f t="shared" ref="F39:F51" si="4">(D39*9.81)/($J$10*$F$11)</f>
        <v>2.3477708398717771E-2</v>
      </c>
      <c r="G39" s="31">
        <f t="shared" ref="G39:G51" si="5">E39/F39</f>
        <v>7.7959183673469399</v>
      </c>
      <c r="L39" s="57">
        <v>15</v>
      </c>
      <c r="M39" s="57">
        <v>1.1332</v>
      </c>
      <c r="N39" s="57">
        <v>4.1360000000000001E-2</v>
      </c>
      <c r="Q39" s="57">
        <v>5</v>
      </c>
      <c r="R39" s="57">
        <v>0.62219999999999998</v>
      </c>
      <c r="S39" s="57">
        <v>1.0279999999999999E-2</v>
      </c>
      <c r="U39">
        <v>5</v>
      </c>
      <c r="V39">
        <v>1.0536000000000001</v>
      </c>
      <c r="W39">
        <v>1.6080000000000001E-2</v>
      </c>
      <c r="Y39">
        <v>5</v>
      </c>
      <c r="Z39">
        <v>1.2173</v>
      </c>
      <c r="AA39">
        <v>2.1250000000000002E-2</v>
      </c>
      <c r="AC39">
        <v>5</v>
      </c>
      <c r="AD39">
        <v>1.3524</v>
      </c>
      <c r="AE39">
        <v>2.7560000000000001E-2</v>
      </c>
    </row>
    <row r="40" spans="1:31">
      <c r="A40" s="34">
        <v>3</v>
      </c>
      <c r="B40" s="49">
        <v>2</v>
      </c>
      <c r="C40" s="45">
        <v>3.59</v>
      </c>
      <c r="D40" s="46">
        <v>0.22700000000000001</v>
      </c>
      <c r="E40" s="37">
        <f t="shared" si="3"/>
        <v>0.34402029857712979</v>
      </c>
      <c r="F40" s="28">
        <f t="shared" si="4"/>
        <v>2.1752815536771164E-2</v>
      </c>
      <c r="G40" s="31">
        <f t="shared" si="5"/>
        <v>15.814977973568279</v>
      </c>
      <c r="L40" s="56">
        <v>16</v>
      </c>
      <c r="M40" s="56">
        <v>1.0831</v>
      </c>
      <c r="N40" s="56">
        <v>6.2370000000000002E-2</v>
      </c>
      <c r="Q40" s="56">
        <v>6</v>
      </c>
      <c r="R40" s="56">
        <v>0.72299999999999998</v>
      </c>
      <c r="S40" s="56">
        <v>1.162E-2</v>
      </c>
      <c r="U40">
        <v>6</v>
      </c>
      <c r="V40">
        <v>1.1399999999999999</v>
      </c>
      <c r="W40">
        <v>1.7680000000000001E-2</v>
      </c>
      <c r="Y40">
        <v>6</v>
      </c>
      <c r="Z40">
        <v>1.3001</v>
      </c>
      <c r="AA40">
        <v>2.3390000000000001E-2</v>
      </c>
      <c r="AC40">
        <v>6</v>
      </c>
      <c r="AD40">
        <v>1.4278</v>
      </c>
      <c r="AE40">
        <v>3.0130000000000001E-2</v>
      </c>
    </row>
    <row r="41" spans="1:31" ht="15" thickBot="1">
      <c r="A41" s="34">
        <v>4</v>
      </c>
      <c r="B41" s="50">
        <v>3</v>
      </c>
      <c r="C41" s="45">
        <v>3.59</v>
      </c>
      <c r="D41" s="46">
        <v>0.23100000000000001</v>
      </c>
      <c r="E41" s="37">
        <f t="shared" si="3"/>
        <v>0.34402029857712979</v>
      </c>
      <c r="F41" s="28">
        <f t="shared" si="4"/>
        <v>2.2136125061648186E-2</v>
      </c>
      <c r="G41" s="31">
        <f t="shared" si="5"/>
        <v>15.54112554112554</v>
      </c>
      <c r="L41" s="57">
        <v>17</v>
      </c>
      <c r="M41" s="57">
        <v>1.0218</v>
      </c>
      <c r="N41" s="57">
        <v>8.6910000000000001E-2</v>
      </c>
      <c r="Q41" s="57">
        <v>7</v>
      </c>
      <c r="R41" s="57">
        <v>0.80479999999999996</v>
      </c>
      <c r="S41" s="57">
        <v>1.307E-2</v>
      </c>
      <c r="U41">
        <v>7</v>
      </c>
      <c r="V41">
        <v>1.2176</v>
      </c>
      <c r="W41">
        <v>1.9369999999999998E-2</v>
      </c>
      <c r="Y41">
        <v>7</v>
      </c>
      <c r="Z41">
        <v>1.3731</v>
      </c>
      <c r="AA41">
        <v>2.5950000000000001E-2</v>
      </c>
      <c r="AC41">
        <v>7</v>
      </c>
      <c r="AD41">
        <v>1.4925999999999999</v>
      </c>
      <c r="AE41">
        <v>3.329E-2</v>
      </c>
    </row>
    <row r="42" spans="1:31">
      <c r="A42" s="34">
        <v>5</v>
      </c>
      <c r="B42" s="49">
        <v>4</v>
      </c>
      <c r="C42" s="45">
        <v>4.04</v>
      </c>
      <c r="D42" s="46">
        <v>0.22600000000000001</v>
      </c>
      <c r="E42" s="37">
        <f t="shared" si="3"/>
        <v>0.38714262012579514</v>
      </c>
      <c r="F42" s="28">
        <f t="shared" si="4"/>
        <v>2.1656988155551903E-2</v>
      </c>
      <c r="G42" s="31">
        <f t="shared" si="5"/>
        <v>17.876106194690269</v>
      </c>
      <c r="L42" s="56">
        <v>18</v>
      </c>
      <c r="M42" s="56">
        <v>0.87870000000000004</v>
      </c>
      <c r="N42" s="56">
        <v>0.12347</v>
      </c>
      <c r="Q42" s="56">
        <v>8</v>
      </c>
      <c r="R42" s="56">
        <v>0.88590000000000002</v>
      </c>
      <c r="S42" s="56">
        <v>1.469E-2</v>
      </c>
      <c r="U42">
        <v>8</v>
      </c>
      <c r="V42">
        <v>1.29</v>
      </c>
      <c r="W42">
        <v>2.205E-2</v>
      </c>
      <c r="Y42">
        <v>8</v>
      </c>
      <c r="Z42">
        <v>1.4374</v>
      </c>
      <c r="AA42">
        <v>2.8930000000000001E-2</v>
      </c>
      <c r="AC42">
        <v>8</v>
      </c>
      <c r="AD42">
        <v>1.5435000000000001</v>
      </c>
      <c r="AE42">
        <v>3.7310000000000003E-2</v>
      </c>
    </row>
    <row r="43" spans="1:31" ht="15" thickBot="1">
      <c r="A43" s="34">
        <v>6</v>
      </c>
      <c r="B43" s="50">
        <v>5</v>
      </c>
      <c r="C43" s="45">
        <v>7.11</v>
      </c>
      <c r="D43" s="46">
        <v>0.22</v>
      </c>
      <c r="E43" s="37">
        <f t="shared" si="3"/>
        <v>0.68133268046891182</v>
      </c>
      <c r="F43" s="28">
        <f t="shared" si="4"/>
        <v>2.108202386823637E-2</v>
      </c>
      <c r="G43" s="31">
        <f t="shared" si="5"/>
        <v>32.31818181818182</v>
      </c>
      <c r="L43" s="57">
        <v>19</v>
      </c>
      <c r="M43" s="57">
        <v>0.54730000000000001</v>
      </c>
      <c r="N43" s="57">
        <v>0.19511000000000001</v>
      </c>
      <c r="Q43" s="57">
        <v>9</v>
      </c>
      <c r="R43" s="57">
        <v>0.96630000000000005</v>
      </c>
      <c r="S43" s="57">
        <v>1.661E-2</v>
      </c>
      <c r="U43">
        <v>9</v>
      </c>
      <c r="V43">
        <v>1.3535999999999999</v>
      </c>
      <c r="W43">
        <v>2.512E-2</v>
      </c>
      <c r="Y43">
        <v>9</v>
      </c>
      <c r="Z43">
        <v>1.4892000000000001</v>
      </c>
      <c r="AA43">
        <v>3.2640000000000002E-2</v>
      </c>
      <c r="AC43">
        <v>9</v>
      </c>
      <c r="AD43">
        <v>1.585</v>
      </c>
      <c r="AE43">
        <v>4.1880000000000001E-2</v>
      </c>
    </row>
    <row r="44" spans="1:31">
      <c r="A44" s="34">
        <v>7</v>
      </c>
      <c r="B44" s="49">
        <v>6</v>
      </c>
      <c r="C44" s="45">
        <v>7.94</v>
      </c>
      <c r="D44" s="46">
        <v>0.23300000000000001</v>
      </c>
      <c r="E44" s="37">
        <f t="shared" si="3"/>
        <v>0.76086940688089433</v>
      </c>
      <c r="F44" s="28">
        <f t="shared" si="4"/>
        <v>2.2327779824086697E-2</v>
      </c>
      <c r="G44" s="31">
        <f t="shared" si="5"/>
        <v>34.077253218884124</v>
      </c>
      <c r="L44" s="56">
        <v>20</v>
      </c>
      <c r="M44" s="56">
        <v>0.55840000000000001</v>
      </c>
      <c r="N44" s="56">
        <v>0.20584</v>
      </c>
      <c r="Q44" s="56">
        <v>10</v>
      </c>
      <c r="R44" s="56">
        <v>1.0456000000000001</v>
      </c>
      <c r="S44" s="56">
        <v>1.898E-2</v>
      </c>
      <c r="U44">
        <v>10</v>
      </c>
      <c r="V44">
        <v>1.4055</v>
      </c>
      <c r="W44">
        <v>2.886E-2</v>
      </c>
      <c r="Y44">
        <v>10</v>
      </c>
      <c r="Z44">
        <v>1.5283</v>
      </c>
      <c r="AA44">
        <v>3.7240000000000002E-2</v>
      </c>
      <c r="AC44">
        <v>10</v>
      </c>
      <c r="AD44">
        <v>1.6123000000000001</v>
      </c>
      <c r="AE44">
        <v>4.7690000000000003E-2</v>
      </c>
    </row>
    <row r="45" spans="1:31" ht="15" thickBot="1">
      <c r="A45" s="34">
        <v>8</v>
      </c>
      <c r="B45" s="50">
        <v>7</v>
      </c>
      <c r="C45" s="45">
        <v>8.44</v>
      </c>
      <c r="D45" s="46">
        <v>0.25</v>
      </c>
      <c r="E45" s="37">
        <f t="shared" si="3"/>
        <v>0.80878309749052246</v>
      </c>
      <c r="F45" s="28">
        <f t="shared" si="4"/>
        <v>2.3956845304814053E-2</v>
      </c>
      <c r="G45" s="31">
        <f t="shared" si="5"/>
        <v>33.76</v>
      </c>
      <c r="Q45" s="57">
        <v>11</v>
      </c>
      <c r="R45" s="57">
        <v>1.1178999999999999</v>
      </c>
      <c r="S45" s="57">
        <v>2.1940000000000001E-2</v>
      </c>
      <c r="U45">
        <v>11</v>
      </c>
      <c r="V45">
        <v>1.4442999999999999</v>
      </c>
      <c r="W45">
        <v>3.356E-2</v>
      </c>
      <c r="Y45">
        <v>12</v>
      </c>
      <c r="Z45">
        <v>1.5579000000000001</v>
      </c>
      <c r="AA45">
        <v>5.0389999999999997E-2</v>
      </c>
      <c r="AC45">
        <v>11</v>
      </c>
      <c r="AD45">
        <v>1.6214</v>
      </c>
      <c r="AE45">
        <v>5.5460000000000002E-2</v>
      </c>
    </row>
    <row r="46" spans="1:31">
      <c r="A46" s="34">
        <v>9</v>
      </c>
      <c r="B46" s="49">
        <v>8</v>
      </c>
      <c r="C46" s="45">
        <v>8.99</v>
      </c>
      <c r="D46" s="46">
        <v>0.25600000000000001</v>
      </c>
      <c r="E46" s="37">
        <f t="shared" si="3"/>
        <v>0.86148815716111338</v>
      </c>
      <c r="F46" s="28">
        <f t="shared" si="4"/>
        <v>2.4531809592129594E-2</v>
      </c>
      <c r="G46" s="31">
        <f t="shared" si="5"/>
        <v>35.1171875</v>
      </c>
      <c r="K46">
        <v>15</v>
      </c>
      <c r="L46" t="s">
        <v>43</v>
      </c>
      <c r="M46" t="s">
        <v>44</v>
      </c>
      <c r="N46" t="s">
        <v>45</v>
      </c>
      <c r="Q46" s="56">
        <v>12</v>
      </c>
      <c r="R46" s="56">
        <v>1.1796</v>
      </c>
      <c r="S46" s="56">
        <v>2.5270000000000001E-2</v>
      </c>
      <c r="U46">
        <v>12</v>
      </c>
      <c r="V46">
        <v>1.4670000000000001</v>
      </c>
      <c r="W46">
        <v>3.9710000000000002E-2</v>
      </c>
      <c r="Y46">
        <v>13</v>
      </c>
      <c r="Z46">
        <v>1.5438000000000001</v>
      </c>
      <c r="AA46">
        <v>6.1920000000000003E-2</v>
      </c>
      <c r="AC46">
        <v>12</v>
      </c>
      <c r="AD46">
        <v>1.6186</v>
      </c>
      <c r="AE46">
        <v>6.5259999999999999E-2</v>
      </c>
    </row>
    <row r="47" spans="1:31" ht="15" thickBot="1">
      <c r="A47" s="34">
        <v>10</v>
      </c>
      <c r="B47" s="50">
        <v>9</v>
      </c>
      <c r="C47" s="45">
        <v>9.32</v>
      </c>
      <c r="D47" s="46">
        <v>0.28399999999999997</v>
      </c>
      <c r="E47" s="37">
        <f t="shared" si="3"/>
        <v>0.89311119296346797</v>
      </c>
      <c r="F47" s="28">
        <f t="shared" si="4"/>
        <v>2.7214976266268762E-2</v>
      </c>
      <c r="G47" s="31">
        <f t="shared" si="5"/>
        <v>32.816901408450711</v>
      </c>
      <c r="L47">
        <v>0</v>
      </c>
      <c r="M47">
        <v>0.7873</v>
      </c>
      <c r="N47">
        <v>1.1900000000000001E-2</v>
      </c>
      <c r="Q47" s="57">
        <v>13</v>
      </c>
      <c r="R47" s="57">
        <v>1.2192000000000001</v>
      </c>
      <c r="S47" s="57">
        <v>2.9600000000000001E-2</v>
      </c>
      <c r="U47">
        <v>13</v>
      </c>
      <c r="V47">
        <v>1.4767999999999999</v>
      </c>
      <c r="W47">
        <v>4.743E-2</v>
      </c>
      <c r="Y47">
        <v>14</v>
      </c>
      <c r="Z47">
        <v>1.5209999999999999</v>
      </c>
      <c r="AA47">
        <v>7.7969999999999998E-2</v>
      </c>
      <c r="AC47">
        <v>13</v>
      </c>
      <c r="AD47">
        <v>1.5926</v>
      </c>
      <c r="AE47">
        <v>8.0449999999999994E-2</v>
      </c>
    </row>
    <row r="48" spans="1:31">
      <c r="A48" s="34">
        <v>11</v>
      </c>
      <c r="B48" s="49">
        <v>10</v>
      </c>
      <c r="C48" s="45">
        <v>9.49</v>
      </c>
      <c r="D48" s="46">
        <v>0.30299999999999999</v>
      </c>
      <c r="E48" s="37">
        <f t="shared" si="3"/>
        <v>0.90940184777074151</v>
      </c>
      <c r="F48" s="28">
        <f t="shared" si="4"/>
        <v>2.9035696509434633E-2</v>
      </c>
      <c r="G48" s="31">
        <f t="shared" si="5"/>
        <v>31.32013201320132</v>
      </c>
      <c r="L48">
        <v>0.5</v>
      </c>
      <c r="M48">
        <v>0.81359999999999999</v>
      </c>
      <c r="N48">
        <v>1.319E-2</v>
      </c>
      <c r="Q48" s="56">
        <v>14</v>
      </c>
      <c r="R48" s="56">
        <v>1.2479</v>
      </c>
      <c r="S48" s="56">
        <v>3.5569999999999997E-2</v>
      </c>
      <c r="U48">
        <v>14</v>
      </c>
      <c r="V48">
        <v>1.4594</v>
      </c>
      <c r="W48">
        <v>6.0010000000000001E-2</v>
      </c>
      <c r="AC48">
        <v>14</v>
      </c>
      <c r="AD48">
        <v>1.5507</v>
      </c>
      <c r="AE48">
        <v>0.10169</v>
      </c>
    </row>
    <row r="49" spans="1:14" ht="15" thickBot="1">
      <c r="A49" s="34">
        <v>12</v>
      </c>
      <c r="B49" s="50">
        <v>11</v>
      </c>
      <c r="C49" s="45">
        <v>9.5</v>
      </c>
      <c r="D49" s="46">
        <v>0.35499999999999998</v>
      </c>
      <c r="E49" s="37">
        <f t="shared" si="3"/>
        <v>0.91036012158293411</v>
      </c>
      <c r="F49" s="28">
        <f t="shared" si="4"/>
        <v>3.4018720332835956E-2</v>
      </c>
      <c r="G49" s="31">
        <f t="shared" si="5"/>
        <v>26.760563380281692</v>
      </c>
      <c r="L49">
        <v>1</v>
      </c>
      <c r="M49">
        <v>0.85189999999999999</v>
      </c>
      <c r="N49">
        <v>1.4120000000000001E-2</v>
      </c>
    </row>
    <row r="50" spans="1:14">
      <c r="A50" s="34">
        <v>13</v>
      </c>
      <c r="B50" s="49">
        <v>12</v>
      </c>
      <c r="C50" s="45">
        <v>9.4700000000000006</v>
      </c>
      <c r="D50" s="46">
        <v>0.34799999999999998</v>
      </c>
      <c r="E50" s="37">
        <f t="shared" si="3"/>
        <v>0.90748530014635642</v>
      </c>
      <c r="F50" s="28">
        <f t="shared" si="4"/>
        <v>3.3347928664301162E-2</v>
      </c>
      <c r="G50" s="31">
        <f t="shared" si="5"/>
        <v>27.212643678160923</v>
      </c>
      <c r="L50">
        <v>1.5</v>
      </c>
      <c r="M50">
        <v>0.89539999999999997</v>
      </c>
      <c r="N50">
        <v>1.4959999999999999E-2</v>
      </c>
    </row>
    <row r="51" spans="1:14" ht="15" thickBot="1">
      <c r="A51" s="35">
        <v>14</v>
      </c>
      <c r="B51" s="50">
        <v>13</v>
      </c>
      <c r="C51" s="45">
        <v>9.5</v>
      </c>
      <c r="D51" s="46">
        <v>0.34799999999999998</v>
      </c>
      <c r="E51" s="38">
        <f t="shared" si="3"/>
        <v>0.91036012158293411</v>
      </c>
      <c r="F51" s="29">
        <f t="shared" si="4"/>
        <v>3.3347928664301162E-2</v>
      </c>
      <c r="G51" s="32">
        <f t="shared" si="5"/>
        <v>27.298850574712645</v>
      </c>
      <c r="L51">
        <v>2</v>
      </c>
      <c r="M51">
        <v>0.94130000000000003</v>
      </c>
      <c r="N51">
        <v>1.5789999999999998E-2</v>
      </c>
    </row>
    <row r="52" spans="1:14">
      <c r="L52">
        <v>2.5</v>
      </c>
      <c r="M52">
        <v>0.98829999999999996</v>
      </c>
      <c r="N52">
        <v>1.6660000000000001E-2</v>
      </c>
    </row>
    <row r="53" spans="1:14" ht="15" thickBot="1">
      <c r="L53">
        <v>3</v>
      </c>
      <c r="M53">
        <v>1.0355000000000001</v>
      </c>
      <c r="N53">
        <v>1.753E-2</v>
      </c>
    </row>
    <row r="54" spans="1:14" ht="16.2" thickBot="1">
      <c r="A54" s="52" t="s">
        <v>38</v>
      </c>
      <c r="B54" s="53">
        <v>-15</v>
      </c>
      <c r="C54" t="s">
        <v>37</v>
      </c>
      <c r="L54">
        <v>3.5</v>
      </c>
      <c r="M54">
        <v>1.0824</v>
      </c>
      <c r="N54">
        <v>1.8429999999999998E-2</v>
      </c>
    </row>
    <row r="55" spans="1:14" ht="16.2" thickBot="1">
      <c r="A55" s="21" t="s">
        <v>62</v>
      </c>
      <c r="B55" s="40" t="s">
        <v>33</v>
      </c>
      <c r="C55" s="41" t="s">
        <v>24</v>
      </c>
      <c r="D55" s="42" t="s">
        <v>25</v>
      </c>
      <c r="E55" s="39" t="s">
        <v>34</v>
      </c>
      <c r="F55" s="25" t="s">
        <v>35</v>
      </c>
      <c r="G55" s="26" t="s">
        <v>36</v>
      </c>
      <c r="L55">
        <v>4</v>
      </c>
      <c r="M55">
        <v>1.1288</v>
      </c>
      <c r="N55">
        <v>1.9300000000000001E-2</v>
      </c>
    </row>
    <row r="56" spans="1:14">
      <c r="A56" s="33">
        <v>1</v>
      </c>
      <c r="B56" s="49">
        <v>0</v>
      </c>
      <c r="C56" s="43">
        <v>0.99199999999999999</v>
      </c>
      <c r="D56" s="44">
        <v>0.246</v>
      </c>
      <c r="E56" s="36">
        <f>(C56*9.81)/($J$10*$F$11)</f>
        <v>9.5060762169502155E-2</v>
      </c>
      <c r="F56" s="27">
        <f>(D56*9.81)/($J$10*$F$11)</f>
        <v>2.3573535779937028E-2</v>
      </c>
      <c r="G56" s="30">
        <f>E56/F56</f>
        <v>4.0325203252032518</v>
      </c>
      <c r="L56">
        <v>4.5</v>
      </c>
      <c r="M56">
        <v>1.1738999999999999</v>
      </c>
      <c r="N56">
        <v>2.0219999999999998E-2</v>
      </c>
    </row>
    <row r="57" spans="1:14" ht="15" thickBot="1">
      <c r="A57" s="34">
        <v>2</v>
      </c>
      <c r="B57" s="50">
        <v>1</v>
      </c>
      <c r="C57" s="45">
        <v>2.3199999999999998</v>
      </c>
      <c r="D57" s="46">
        <v>0.24299999999999999</v>
      </c>
      <c r="E57" s="37">
        <f t="shared" ref="E57:E69" si="6">(C57*9.81)/($J$10*$F$11)</f>
        <v>0.22231952442867439</v>
      </c>
      <c r="F57" s="28">
        <f t="shared" ref="F57:F69" si="7">(D57*9.81)/($J$10*$F$11)</f>
        <v>2.3286053636279259E-2</v>
      </c>
      <c r="G57" s="31">
        <f t="shared" ref="G57:G69" si="8">E57/F57</f>
        <v>9.5473251028806576</v>
      </c>
      <c r="L57">
        <v>5</v>
      </c>
      <c r="M57">
        <v>1.2173</v>
      </c>
      <c r="N57">
        <v>2.1250000000000002E-2</v>
      </c>
    </row>
    <row r="58" spans="1:14">
      <c r="A58" s="34">
        <v>3</v>
      </c>
      <c r="B58" s="49">
        <v>2</v>
      </c>
      <c r="C58" s="45">
        <v>3.95</v>
      </c>
      <c r="D58" s="46">
        <v>0.22700000000000001</v>
      </c>
      <c r="E58" s="37">
        <f t="shared" si="6"/>
        <v>0.37851815581606207</v>
      </c>
      <c r="F58" s="28">
        <f t="shared" si="7"/>
        <v>2.1752815536771164E-2</v>
      </c>
      <c r="G58" s="31">
        <f t="shared" si="8"/>
        <v>17.40088105726872</v>
      </c>
      <c r="L58">
        <v>5.5</v>
      </c>
      <c r="M58">
        <v>1.2599</v>
      </c>
      <c r="N58">
        <v>2.2270000000000002E-2</v>
      </c>
    </row>
    <row r="59" spans="1:14" ht="15" thickBot="1">
      <c r="A59" s="34">
        <v>4</v>
      </c>
      <c r="B59" s="50">
        <v>3</v>
      </c>
      <c r="C59" s="45">
        <v>5.03</v>
      </c>
      <c r="D59" s="46">
        <v>0.215</v>
      </c>
      <c r="E59" s="37">
        <f t="shared" si="6"/>
        <v>0.48201172753285876</v>
      </c>
      <c r="F59" s="28">
        <f t="shared" si="7"/>
        <v>2.0602886962140087E-2</v>
      </c>
      <c r="G59" s="31">
        <f t="shared" si="8"/>
        <v>23.395348837209301</v>
      </c>
      <c r="L59">
        <v>6</v>
      </c>
      <c r="M59">
        <v>1.3001</v>
      </c>
      <c r="N59">
        <v>2.3390000000000001E-2</v>
      </c>
    </row>
    <row r="60" spans="1:14">
      <c r="A60" s="34">
        <v>5</v>
      </c>
      <c r="B60" s="49">
        <v>4</v>
      </c>
      <c r="C60" s="45">
        <v>5.38</v>
      </c>
      <c r="D60" s="46">
        <v>0.22700000000000001</v>
      </c>
      <c r="E60" s="37">
        <f t="shared" si="6"/>
        <v>0.51555131095959839</v>
      </c>
      <c r="F60" s="28">
        <f t="shared" si="7"/>
        <v>2.1752815536771164E-2</v>
      </c>
      <c r="G60" s="31">
        <f t="shared" si="8"/>
        <v>23.700440528634356</v>
      </c>
      <c r="L60">
        <v>6.5</v>
      </c>
      <c r="M60">
        <v>1.3381000000000001</v>
      </c>
      <c r="N60">
        <v>2.46E-2</v>
      </c>
    </row>
    <row r="61" spans="1:14" ht="15" thickBot="1">
      <c r="A61" s="34">
        <v>6</v>
      </c>
      <c r="B61" s="50">
        <v>5</v>
      </c>
      <c r="C61" s="45">
        <v>6.21</v>
      </c>
      <c r="D61" s="46">
        <v>0.20399999999999999</v>
      </c>
      <c r="E61" s="37">
        <f t="shared" si="6"/>
        <v>0.59508803737158111</v>
      </c>
      <c r="F61" s="28">
        <f t="shared" si="7"/>
        <v>1.9548785768728268E-2</v>
      </c>
      <c r="G61" s="31">
        <f t="shared" si="8"/>
        <v>30.441176470588236</v>
      </c>
      <c r="L61">
        <v>7</v>
      </c>
      <c r="M61">
        <v>1.3731</v>
      </c>
      <c r="N61">
        <v>2.5950000000000001E-2</v>
      </c>
    </row>
    <row r="62" spans="1:14">
      <c r="A62" s="34">
        <v>7</v>
      </c>
      <c r="B62" s="49">
        <v>6</v>
      </c>
      <c r="C62" s="45">
        <v>8.15</v>
      </c>
      <c r="D62" s="46">
        <v>0.26200000000000001</v>
      </c>
      <c r="E62" s="37">
        <f t="shared" si="6"/>
        <v>0.78099315693693816</v>
      </c>
      <c r="F62" s="28">
        <f t="shared" si="7"/>
        <v>2.510677387944513E-2</v>
      </c>
      <c r="G62" s="31">
        <f t="shared" si="8"/>
        <v>31.106870229007633</v>
      </c>
      <c r="L62">
        <v>7.5</v>
      </c>
      <c r="M62">
        <v>1.4066000000000001</v>
      </c>
      <c r="N62">
        <v>2.734E-2</v>
      </c>
    </row>
    <row r="63" spans="1:14" ht="15" thickBot="1">
      <c r="A63" s="34">
        <v>8</v>
      </c>
      <c r="B63" s="50">
        <v>7</v>
      </c>
      <c r="C63" s="45">
        <v>8.48</v>
      </c>
      <c r="D63" s="46">
        <v>0.253</v>
      </c>
      <c r="E63" s="37">
        <f t="shared" si="6"/>
        <v>0.81261619273929275</v>
      </c>
      <c r="F63" s="28">
        <f t="shared" si="7"/>
        <v>2.4244327448471822E-2</v>
      </c>
      <c r="G63" s="31">
        <f t="shared" si="8"/>
        <v>33.517786561264828</v>
      </c>
      <c r="L63">
        <v>8</v>
      </c>
      <c r="M63">
        <v>1.4374</v>
      </c>
      <c r="N63">
        <v>2.8930000000000001E-2</v>
      </c>
    </row>
    <row r="64" spans="1:14">
      <c r="A64" s="34">
        <v>9</v>
      </c>
      <c r="B64" s="49">
        <v>8</v>
      </c>
      <c r="C64" s="45">
        <v>8.9600000000000009</v>
      </c>
      <c r="D64" s="46">
        <v>0.26</v>
      </c>
      <c r="E64" s="37">
        <f t="shared" si="6"/>
        <v>0.8586133357245358</v>
      </c>
      <c r="F64" s="28">
        <f t="shared" si="7"/>
        <v>2.4915119117006616E-2</v>
      </c>
      <c r="G64" s="31">
        <f t="shared" si="8"/>
        <v>34.461538461538467</v>
      </c>
      <c r="L64">
        <v>8.5</v>
      </c>
      <c r="M64">
        <v>1.4630000000000001</v>
      </c>
      <c r="N64">
        <v>3.0839999999999999E-2</v>
      </c>
    </row>
    <row r="65" spans="1:15" ht="15" thickBot="1">
      <c r="A65" s="34">
        <v>10</v>
      </c>
      <c r="B65" s="50">
        <v>9</v>
      </c>
      <c r="C65" s="45">
        <v>9.26</v>
      </c>
      <c r="D65" s="46">
        <v>0.27300000000000002</v>
      </c>
      <c r="E65" s="37">
        <f t="shared" si="6"/>
        <v>0.88736155009031259</v>
      </c>
      <c r="F65" s="28">
        <f t="shared" si="7"/>
        <v>2.616087507285695E-2</v>
      </c>
      <c r="G65" s="31">
        <f t="shared" si="8"/>
        <v>33.91941391941392</v>
      </c>
      <c r="L65">
        <v>9</v>
      </c>
      <c r="M65">
        <v>1.4892000000000001</v>
      </c>
      <c r="N65">
        <v>3.2640000000000002E-2</v>
      </c>
    </row>
    <row r="66" spans="1:15">
      <c r="A66" s="34">
        <v>11</v>
      </c>
      <c r="B66" s="49">
        <v>10</v>
      </c>
      <c r="C66" s="45">
        <v>9.48</v>
      </c>
      <c r="D66" s="46">
        <v>0.32200000000000001</v>
      </c>
      <c r="E66" s="37">
        <f t="shared" si="6"/>
        <v>0.90844357395854891</v>
      </c>
      <c r="F66" s="28">
        <f t="shared" si="7"/>
        <v>3.0856416752600504E-2</v>
      </c>
      <c r="G66" s="31">
        <f t="shared" si="8"/>
        <v>29.440993788819874</v>
      </c>
      <c r="L66">
        <v>9.5</v>
      </c>
      <c r="M66">
        <v>1.5088999999999999</v>
      </c>
      <c r="N66">
        <v>3.4950000000000002E-2</v>
      </c>
    </row>
    <row r="67" spans="1:15" ht="15" thickBot="1">
      <c r="A67" s="34">
        <v>12</v>
      </c>
      <c r="B67" s="50">
        <v>11</v>
      </c>
      <c r="C67" s="45">
        <v>9.4700000000000006</v>
      </c>
      <c r="D67" s="46">
        <v>0.34100000000000003</v>
      </c>
      <c r="E67" s="37">
        <f t="shared" si="6"/>
        <v>0.90748530014635642</v>
      </c>
      <c r="F67" s="28">
        <f t="shared" si="7"/>
        <v>3.2677136995766368E-2</v>
      </c>
      <c r="G67" s="31">
        <f t="shared" si="8"/>
        <v>27.771260997067451</v>
      </c>
      <c r="L67">
        <v>10</v>
      </c>
      <c r="M67">
        <v>1.5283</v>
      </c>
      <c r="N67">
        <v>3.7240000000000002E-2</v>
      </c>
    </row>
    <row r="68" spans="1:15">
      <c r="A68" s="34">
        <v>13</v>
      </c>
      <c r="B68" s="49">
        <v>12</v>
      </c>
      <c r="C68" s="45">
        <v>9.41</v>
      </c>
      <c r="D68" s="46">
        <v>0.373</v>
      </c>
      <c r="E68" s="37">
        <f t="shared" si="6"/>
        <v>0.90173565727320093</v>
      </c>
      <c r="F68" s="28">
        <f t="shared" si="7"/>
        <v>3.5743613194782566E-2</v>
      </c>
      <c r="G68" s="31">
        <f t="shared" si="8"/>
        <v>25.227882037533512</v>
      </c>
      <c r="L68">
        <v>10.5</v>
      </c>
      <c r="M68">
        <v>1.5416000000000001</v>
      </c>
      <c r="N68">
        <v>4.0079999999999998E-2</v>
      </c>
    </row>
    <row r="69" spans="1:15" ht="15" thickBot="1">
      <c r="A69" s="35">
        <v>14</v>
      </c>
      <c r="B69" s="50">
        <v>13</v>
      </c>
      <c r="C69" s="47">
        <v>9.3699999999999992</v>
      </c>
      <c r="D69" s="48">
        <v>0.40500000000000003</v>
      </c>
      <c r="E69" s="38">
        <f t="shared" si="6"/>
        <v>0.89790256202443064</v>
      </c>
      <c r="F69" s="29">
        <f t="shared" si="7"/>
        <v>3.881008939379877E-2</v>
      </c>
      <c r="G69" s="32">
        <f t="shared" si="8"/>
        <v>23.135802469135797</v>
      </c>
      <c r="L69">
        <v>11.5</v>
      </c>
      <c r="M69">
        <v>1.5542</v>
      </c>
      <c r="N69">
        <v>4.641E-2</v>
      </c>
    </row>
    <row r="70" spans="1:15">
      <c r="L70">
        <v>12</v>
      </c>
      <c r="M70">
        <v>1.5579000000000001</v>
      </c>
      <c r="N70">
        <v>5.0389999999999997E-2</v>
      </c>
    </row>
    <row r="71" spans="1:15" ht="15" thickBot="1">
      <c r="L71">
        <v>12.5</v>
      </c>
      <c r="M71">
        <v>1.5533999999999999</v>
      </c>
      <c r="N71">
        <v>5.5559999999999998E-2</v>
      </c>
    </row>
    <row r="72" spans="1:15" ht="16.2" thickBot="1">
      <c r="A72" s="52" t="s">
        <v>38</v>
      </c>
      <c r="B72" s="53">
        <v>-20</v>
      </c>
      <c r="C72" t="s">
        <v>37</v>
      </c>
      <c r="L72">
        <v>13</v>
      </c>
      <c r="M72">
        <v>1.5438000000000001</v>
      </c>
      <c r="N72">
        <v>6.1920000000000003E-2</v>
      </c>
    </row>
    <row r="73" spans="1:15" ht="16.2" thickBot="1">
      <c r="A73" s="21" t="s">
        <v>62</v>
      </c>
      <c r="B73" s="40" t="s">
        <v>33</v>
      </c>
      <c r="C73" s="41" t="s">
        <v>24</v>
      </c>
      <c r="D73" s="42" t="s">
        <v>25</v>
      </c>
      <c r="E73" s="39" t="s">
        <v>34</v>
      </c>
      <c r="F73" s="25" t="s">
        <v>35</v>
      </c>
      <c r="G73" s="26" t="s">
        <v>36</v>
      </c>
      <c r="L73">
        <v>13.5</v>
      </c>
      <c r="M73">
        <v>1.5330999999999999</v>
      </c>
      <c r="N73">
        <v>6.9409999999999999E-2</v>
      </c>
      <c r="O73" s="57"/>
    </row>
    <row r="74" spans="1:15">
      <c r="A74" s="33">
        <v>1</v>
      </c>
      <c r="B74" s="49">
        <v>0</v>
      </c>
      <c r="C74" s="43">
        <v>1.59</v>
      </c>
      <c r="D74" s="44">
        <v>0.245</v>
      </c>
      <c r="E74" s="36">
        <f>(C74*9.81)/($J$10*$F$11)</f>
        <v>0.15236553613861739</v>
      </c>
      <c r="F74" s="27">
        <f>(D74*9.81)/($J$10*$F$11)</f>
        <v>2.3477708398717771E-2</v>
      </c>
      <c r="G74" s="30">
        <f>E74/F74</f>
        <v>6.4897959183673484</v>
      </c>
      <c r="L74">
        <v>14</v>
      </c>
      <c r="M74">
        <v>1.5209999999999999</v>
      </c>
      <c r="N74">
        <v>7.7969999999999998E-2</v>
      </c>
    </row>
    <row r="75" spans="1:15" ht="15" thickBot="1">
      <c r="A75" s="34">
        <v>2</v>
      </c>
      <c r="B75" s="50">
        <v>1</v>
      </c>
      <c r="C75" s="45">
        <v>3.4</v>
      </c>
      <c r="D75" s="46">
        <v>0.20399999999999999</v>
      </c>
      <c r="E75" s="37">
        <f t="shared" ref="E75:E87" si="9">(C75*9.81)/($J$10*$F$11)</f>
        <v>0.3258130961454711</v>
      </c>
      <c r="F75" s="28">
        <f t="shared" ref="F75:F87" si="10">(D75*9.81)/($J$10*$F$11)</f>
        <v>1.9548785768728268E-2</v>
      </c>
      <c r="G75" s="31">
        <f t="shared" ref="G75:G87" si="11">E75/F75</f>
        <v>16.666666666666664</v>
      </c>
    </row>
    <row r="76" spans="1:15">
      <c r="A76" s="34">
        <v>3</v>
      </c>
      <c r="B76" s="49">
        <v>2</v>
      </c>
      <c r="C76" s="45">
        <v>5.51</v>
      </c>
      <c r="D76" s="46">
        <v>0.21199999999999999</v>
      </c>
      <c r="E76" s="37">
        <f t="shared" si="9"/>
        <v>0.52800887051810175</v>
      </c>
      <c r="F76" s="28">
        <f t="shared" si="10"/>
        <v>2.0315404818482315E-2</v>
      </c>
      <c r="G76" s="31">
        <f t="shared" si="11"/>
        <v>25.990566037735853</v>
      </c>
    </row>
    <row r="77" spans="1:15" ht="15" thickBot="1">
      <c r="A77" s="34">
        <v>4</v>
      </c>
      <c r="B77" s="50">
        <v>3</v>
      </c>
      <c r="C77" s="45">
        <v>6.28</v>
      </c>
      <c r="D77" s="46">
        <v>0.187</v>
      </c>
      <c r="E77" s="37">
        <f t="shared" si="9"/>
        <v>0.60179595405692909</v>
      </c>
      <c r="F77" s="28">
        <f t="shared" si="10"/>
        <v>1.7919720288000911E-2</v>
      </c>
      <c r="G77" s="31">
        <f t="shared" si="11"/>
        <v>33.582887700534762</v>
      </c>
      <c r="K77">
        <v>20</v>
      </c>
      <c r="L77" t="s">
        <v>43</v>
      </c>
      <c r="M77" t="s">
        <v>44</v>
      </c>
      <c r="N77" t="s">
        <v>45</v>
      </c>
    </row>
    <row r="78" spans="1:15">
      <c r="A78" s="34">
        <v>5</v>
      </c>
      <c r="B78" s="49">
        <v>4</v>
      </c>
      <c r="C78" s="45">
        <v>6.87</v>
      </c>
      <c r="D78" s="46">
        <v>0.20799999999999999</v>
      </c>
      <c r="E78" s="37">
        <f t="shared" si="9"/>
        <v>0.65833410897629019</v>
      </c>
      <c r="F78" s="28">
        <f t="shared" si="10"/>
        <v>1.9932095293605293E-2</v>
      </c>
      <c r="G78" s="31">
        <f t="shared" si="11"/>
        <v>33.028846153846153</v>
      </c>
      <c r="L78">
        <v>0</v>
      </c>
      <c r="M78">
        <v>0.90549999999999997</v>
      </c>
      <c r="N78">
        <v>1.9900000000000001E-2</v>
      </c>
    </row>
    <row r="79" spans="1:15" ht="15" thickBot="1">
      <c r="A79" s="34">
        <v>6</v>
      </c>
      <c r="B79" s="50">
        <v>5</v>
      </c>
      <c r="C79" s="45">
        <v>7.29</v>
      </c>
      <c r="D79" s="46">
        <v>0.20799999999999999</v>
      </c>
      <c r="E79" s="37">
        <f t="shared" si="9"/>
        <v>0.69858160908837774</v>
      </c>
      <c r="F79" s="28">
        <f t="shared" si="10"/>
        <v>1.9932095293605293E-2</v>
      </c>
      <c r="G79" s="31">
        <f t="shared" si="11"/>
        <v>35.04807692307692</v>
      </c>
      <c r="L79">
        <v>0.25</v>
      </c>
      <c r="M79">
        <v>0.92559999999999998</v>
      </c>
      <c r="N79">
        <v>2.017E-2</v>
      </c>
    </row>
    <row r="80" spans="1:15">
      <c r="A80" s="34">
        <v>7</v>
      </c>
      <c r="B80" s="49">
        <v>6</v>
      </c>
      <c r="C80" s="45">
        <v>8.15</v>
      </c>
      <c r="D80" s="46">
        <v>0.20200000000000001</v>
      </c>
      <c r="E80" s="37">
        <f t="shared" si="9"/>
        <v>0.78099315693693816</v>
      </c>
      <c r="F80" s="28">
        <f t="shared" si="10"/>
        <v>1.9357131006289757E-2</v>
      </c>
      <c r="G80" s="31">
        <f t="shared" si="11"/>
        <v>40.346534653465348</v>
      </c>
      <c r="L80">
        <v>0.5</v>
      </c>
      <c r="M80">
        <v>0.9466</v>
      </c>
      <c r="N80">
        <v>2.0420000000000001E-2</v>
      </c>
    </row>
    <row r="81" spans="1:14" ht="15" thickBot="1">
      <c r="A81" s="34">
        <v>8</v>
      </c>
      <c r="B81" s="50">
        <v>7</v>
      </c>
      <c r="C81" s="45">
        <v>8.85</v>
      </c>
      <c r="D81" s="46">
        <v>0.22800000000000001</v>
      </c>
      <c r="E81" s="37">
        <f t="shared" si="9"/>
        <v>0.84807232379041741</v>
      </c>
      <c r="F81" s="28">
        <f t="shared" si="10"/>
        <v>2.1848642917990418E-2</v>
      </c>
      <c r="G81" s="31">
        <f t="shared" si="11"/>
        <v>38.815789473684205</v>
      </c>
      <c r="L81">
        <v>0.75</v>
      </c>
      <c r="M81">
        <v>0.96909999999999996</v>
      </c>
      <c r="N81">
        <v>2.0660000000000001E-2</v>
      </c>
    </row>
    <row r="82" spans="1:14">
      <c r="A82" s="34">
        <v>9</v>
      </c>
      <c r="B82" s="49">
        <v>8</v>
      </c>
      <c r="C82" s="45">
        <v>9.17</v>
      </c>
      <c r="D82" s="46">
        <v>0.23499999999999999</v>
      </c>
      <c r="E82" s="37">
        <f t="shared" si="9"/>
        <v>0.87873708578057952</v>
      </c>
      <c r="F82" s="28">
        <f t="shared" si="10"/>
        <v>2.2519434586525208E-2</v>
      </c>
      <c r="G82" s="31">
        <f t="shared" si="11"/>
        <v>39.021276595744688</v>
      </c>
      <c r="L82">
        <v>1</v>
      </c>
      <c r="M82">
        <v>0.99139999999999995</v>
      </c>
      <c r="N82">
        <v>2.094E-2</v>
      </c>
    </row>
    <row r="83" spans="1:14" ht="15" thickBot="1">
      <c r="A83" s="34">
        <v>10</v>
      </c>
      <c r="B83" s="50">
        <v>9</v>
      </c>
      <c r="C83" s="45">
        <v>9.42</v>
      </c>
      <c r="D83" s="46">
        <v>0.26900000000000002</v>
      </c>
      <c r="E83" s="37">
        <f t="shared" si="9"/>
        <v>0.90269393108539353</v>
      </c>
      <c r="F83" s="28">
        <f t="shared" si="10"/>
        <v>2.5777565547979924E-2</v>
      </c>
      <c r="G83" s="31">
        <f t="shared" si="11"/>
        <v>35.018587360594793</v>
      </c>
      <c r="L83">
        <v>1.25</v>
      </c>
      <c r="M83">
        <v>1.0145</v>
      </c>
      <c r="N83">
        <v>2.1219999999999999E-2</v>
      </c>
    </row>
    <row r="84" spans="1:14">
      <c r="A84" s="34">
        <v>11</v>
      </c>
      <c r="B84" s="49">
        <v>10</v>
      </c>
      <c r="C84" s="45">
        <v>9.5</v>
      </c>
      <c r="D84" s="46">
        <v>0.318</v>
      </c>
      <c r="E84" s="37">
        <f t="shared" si="9"/>
        <v>0.91036012158293411</v>
      </c>
      <c r="F84" s="28">
        <f t="shared" si="10"/>
        <v>3.0473107227723475E-2</v>
      </c>
      <c r="G84" s="31">
        <f t="shared" si="11"/>
        <v>29.874213836477992</v>
      </c>
      <c r="L84">
        <v>1.5</v>
      </c>
      <c r="M84">
        <v>1.0381</v>
      </c>
      <c r="N84">
        <v>2.1510000000000001E-2</v>
      </c>
    </row>
    <row r="85" spans="1:14" ht="15" thickBot="1">
      <c r="A85" s="34">
        <v>12</v>
      </c>
      <c r="B85" s="50">
        <v>11</v>
      </c>
      <c r="C85" s="45">
        <v>9.5</v>
      </c>
      <c r="D85" s="46">
        <v>0.32500000000000001</v>
      </c>
      <c r="E85" s="37">
        <f t="shared" si="9"/>
        <v>0.91036012158293411</v>
      </c>
      <c r="F85" s="28">
        <f t="shared" si="10"/>
        <v>3.1143898896258272E-2</v>
      </c>
      <c r="G85" s="31">
        <f t="shared" si="11"/>
        <v>29.23076923076923</v>
      </c>
      <c r="L85">
        <v>1.75</v>
      </c>
      <c r="M85">
        <v>1.0612999999999999</v>
      </c>
      <c r="N85">
        <v>2.1829999999999999E-2</v>
      </c>
    </row>
    <row r="86" spans="1:14">
      <c r="A86" s="34">
        <v>13</v>
      </c>
      <c r="B86" s="49">
        <v>12</v>
      </c>
      <c r="C86" s="45">
        <v>9.4700000000000006</v>
      </c>
      <c r="D86" s="46">
        <v>0.42399999999999999</v>
      </c>
      <c r="E86" s="37">
        <f t="shared" si="9"/>
        <v>0.90748530014635642</v>
      </c>
      <c r="F86" s="28">
        <f t="shared" si="10"/>
        <v>4.0630809636964631E-2</v>
      </c>
      <c r="G86" s="31">
        <f t="shared" si="11"/>
        <v>22.334905660377363</v>
      </c>
      <c r="L86">
        <v>2</v>
      </c>
      <c r="M86">
        <v>1.0851</v>
      </c>
      <c r="N86">
        <v>2.2169999999999999E-2</v>
      </c>
    </row>
    <row r="87" spans="1:14" ht="15" thickBot="1">
      <c r="A87" s="35">
        <v>14</v>
      </c>
      <c r="B87" s="50">
        <v>13</v>
      </c>
      <c r="C87" s="47">
        <v>9.4600000000000009</v>
      </c>
      <c r="D87" s="48">
        <v>0.443</v>
      </c>
      <c r="E87" s="38">
        <f t="shared" si="9"/>
        <v>0.90652702633416382</v>
      </c>
      <c r="F87" s="29">
        <f t="shared" si="10"/>
        <v>4.2451529880130505E-2</v>
      </c>
      <c r="G87" s="32">
        <f t="shared" si="11"/>
        <v>21.354401805869074</v>
      </c>
      <c r="L87">
        <v>2.25</v>
      </c>
      <c r="M87">
        <v>1.1086</v>
      </c>
      <c r="N87">
        <v>2.2530000000000001E-2</v>
      </c>
    </row>
    <row r="88" spans="1:14">
      <c r="L88">
        <v>2.5</v>
      </c>
      <c r="M88">
        <v>1.1317999999999999</v>
      </c>
      <c r="N88">
        <v>2.291E-2</v>
      </c>
    </row>
    <row r="89" spans="1:14">
      <c r="L89">
        <v>2.75</v>
      </c>
      <c r="M89">
        <v>1.1553</v>
      </c>
      <c r="N89">
        <v>2.3279999999999999E-2</v>
      </c>
    </row>
    <row r="90" spans="1:14">
      <c r="L90">
        <v>3</v>
      </c>
      <c r="M90">
        <v>1.1787000000000001</v>
      </c>
      <c r="N90">
        <v>2.3689999999999999E-2</v>
      </c>
    </row>
    <row r="91" spans="1:14">
      <c r="L91">
        <v>3.25</v>
      </c>
      <c r="M91">
        <v>1.2014</v>
      </c>
      <c r="N91">
        <v>2.41E-2</v>
      </c>
    </row>
    <row r="92" spans="1:14">
      <c r="L92">
        <v>3.5</v>
      </c>
      <c r="M92">
        <v>1.2239</v>
      </c>
      <c r="N92">
        <v>2.4539999999999999E-2</v>
      </c>
    </row>
    <row r="93" spans="1:14">
      <c r="L93">
        <v>3.75</v>
      </c>
      <c r="M93">
        <v>1.2465999999999999</v>
      </c>
      <c r="N93">
        <v>2.5010000000000001E-2</v>
      </c>
    </row>
    <row r="94" spans="1:14">
      <c r="L94">
        <v>4</v>
      </c>
      <c r="M94">
        <v>1.2683</v>
      </c>
      <c r="N94">
        <v>2.546E-2</v>
      </c>
    </row>
    <row r="95" spans="1:14">
      <c r="L95">
        <v>4.25</v>
      </c>
      <c r="M95">
        <v>1.2901</v>
      </c>
      <c r="N95">
        <v>2.5930000000000002E-2</v>
      </c>
    </row>
    <row r="96" spans="1:14">
      <c r="L96">
        <v>4.5</v>
      </c>
      <c r="M96">
        <v>1.3115000000000001</v>
      </c>
      <c r="N96">
        <v>2.6460000000000001E-2</v>
      </c>
    </row>
    <row r="97" spans="12:14">
      <c r="L97">
        <v>4.75</v>
      </c>
      <c r="M97">
        <v>1.3319000000000001</v>
      </c>
      <c r="N97">
        <v>2.7009999999999999E-2</v>
      </c>
    </row>
    <row r="98" spans="12:14">
      <c r="L98">
        <v>5</v>
      </c>
      <c r="M98">
        <v>1.3524</v>
      </c>
      <c r="N98">
        <v>2.7560000000000001E-2</v>
      </c>
    </row>
    <row r="99" spans="12:14">
      <c r="L99">
        <v>5.25</v>
      </c>
      <c r="M99">
        <v>1.3714999999999999</v>
      </c>
      <c r="N99">
        <v>2.8240000000000001E-2</v>
      </c>
    </row>
    <row r="100" spans="12:14">
      <c r="L100">
        <v>5.5</v>
      </c>
      <c r="M100">
        <v>1.3913</v>
      </c>
      <c r="N100">
        <v>2.877E-2</v>
      </c>
    </row>
    <row r="101" spans="12:14">
      <c r="L101">
        <v>5.75</v>
      </c>
      <c r="M101">
        <v>1.4092</v>
      </c>
      <c r="N101">
        <v>2.9499999999999998E-2</v>
      </c>
    </row>
    <row r="102" spans="12:14">
      <c r="L102">
        <v>6</v>
      </c>
      <c r="M102">
        <v>1.4278</v>
      </c>
      <c r="N102">
        <v>3.0130000000000001E-2</v>
      </c>
    </row>
    <row r="103" spans="12:14">
      <c r="L103">
        <v>6.25</v>
      </c>
      <c r="M103">
        <v>1.4453</v>
      </c>
      <c r="N103">
        <v>3.0810000000000001E-2</v>
      </c>
    </row>
    <row r="104" spans="12:14">
      <c r="L104">
        <v>6.5</v>
      </c>
      <c r="M104">
        <v>1.4609000000000001</v>
      </c>
      <c r="N104">
        <v>3.1699999999999999E-2</v>
      </c>
    </row>
    <row r="105" spans="12:14">
      <c r="L105">
        <v>6.75</v>
      </c>
      <c r="M105">
        <v>1.4774</v>
      </c>
      <c r="N105">
        <v>3.2419999999999997E-2</v>
      </c>
    </row>
    <row r="106" spans="12:14">
      <c r="L106">
        <v>7</v>
      </c>
      <c r="M106">
        <v>1.4925999999999999</v>
      </c>
      <c r="N106">
        <v>3.329E-2</v>
      </c>
    </row>
    <row r="107" spans="12:14">
      <c r="L107">
        <v>7.25</v>
      </c>
      <c r="M107">
        <v>1.5057</v>
      </c>
      <c r="N107">
        <v>3.4279999999999998E-2</v>
      </c>
    </row>
    <row r="108" spans="12:14">
      <c r="L108">
        <v>7.5</v>
      </c>
      <c r="M108">
        <v>1.5205</v>
      </c>
      <c r="N108">
        <v>3.5139999999999998E-2</v>
      </c>
    </row>
    <row r="109" spans="12:14">
      <c r="L109">
        <v>7.75</v>
      </c>
      <c r="M109">
        <v>1.5337000000000001</v>
      </c>
      <c r="N109">
        <v>3.6060000000000002E-2</v>
      </c>
    </row>
    <row r="110" spans="12:14">
      <c r="L110">
        <v>8</v>
      </c>
      <c r="M110">
        <v>1.5435000000000001</v>
      </c>
      <c r="N110">
        <v>3.7310000000000003E-2</v>
      </c>
    </row>
    <row r="111" spans="12:14">
      <c r="L111">
        <v>8.25</v>
      </c>
      <c r="M111">
        <v>1.5562</v>
      </c>
      <c r="N111">
        <v>3.8280000000000002E-2</v>
      </c>
    </row>
    <row r="112" spans="12:14">
      <c r="L112">
        <v>8.5</v>
      </c>
      <c r="M112">
        <v>1.5672999999999999</v>
      </c>
      <c r="N112">
        <v>3.9370000000000002E-2</v>
      </c>
    </row>
    <row r="113" spans="12:14">
      <c r="L113">
        <v>8.75</v>
      </c>
      <c r="M113">
        <v>1.5774999999999999</v>
      </c>
      <c r="N113">
        <v>4.0489999999999998E-2</v>
      </c>
    </row>
    <row r="114" spans="12:14">
      <c r="L114">
        <v>9</v>
      </c>
      <c r="M114">
        <v>1.585</v>
      </c>
      <c r="N114">
        <v>4.1880000000000001E-2</v>
      </c>
    </row>
    <row r="115" spans="12:14">
      <c r="L115">
        <v>9.25</v>
      </c>
      <c r="M115">
        <v>1.5925</v>
      </c>
      <c r="N115">
        <v>4.3279999999999999E-2</v>
      </c>
    </row>
    <row r="116" spans="12:14">
      <c r="L116">
        <v>9.5</v>
      </c>
      <c r="M116">
        <v>1.6001000000000001</v>
      </c>
      <c r="N116">
        <v>4.4679999999999997E-2</v>
      </c>
    </row>
    <row r="117" spans="12:14">
      <c r="L117">
        <v>9.75</v>
      </c>
      <c r="M117">
        <v>1.6065</v>
      </c>
      <c r="N117">
        <v>4.616E-2</v>
      </c>
    </row>
    <row r="118" spans="12:14">
      <c r="L118">
        <v>10</v>
      </c>
      <c r="M118">
        <v>1.6123000000000001</v>
      </c>
      <c r="N118">
        <v>4.7690000000000003E-2</v>
      </c>
    </row>
    <row r="119" spans="12:14">
      <c r="L119">
        <v>10.25</v>
      </c>
      <c r="M119">
        <v>1.6167</v>
      </c>
      <c r="N119">
        <v>4.938E-2</v>
      </c>
    </row>
    <row r="120" spans="12:14">
      <c r="L120">
        <v>10.5</v>
      </c>
      <c r="M120">
        <v>1.6189</v>
      </c>
      <c r="N120">
        <v>5.135E-2</v>
      </c>
    </row>
    <row r="121" spans="12:14">
      <c r="L121">
        <v>10.75</v>
      </c>
      <c r="M121">
        <v>1.6206</v>
      </c>
      <c r="N121">
        <v>5.3350000000000002E-2</v>
      </c>
    </row>
    <row r="122" spans="12:14">
      <c r="L122">
        <v>11</v>
      </c>
      <c r="M122">
        <v>1.6214</v>
      </c>
      <c r="N122">
        <v>5.5460000000000002E-2</v>
      </c>
    </row>
    <row r="123" spans="12:14">
      <c r="L123">
        <v>11.25</v>
      </c>
      <c r="M123">
        <v>1.6213</v>
      </c>
      <c r="N123">
        <v>5.7729999999999997E-2</v>
      </c>
    </row>
    <row r="124" spans="12:14">
      <c r="L124">
        <v>11.5</v>
      </c>
      <c r="M124">
        <v>1.6207</v>
      </c>
      <c r="N124">
        <v>6.0109999999999997E-2</v>
      </c>
    </row>
    <row r="125" spans="12:14">
      <c r="L125">
        <v>11.75</v>
      </c>
      <c r="M125">
        <v>1.62</v>
      </c>
      <c r="N125">
        <v>6.2590000000000007E-2</v>
      </c>
    </row>
    <row r="126" spans="12:14">
      <c r="L126">
        <v>12</v>
      </c>
      <c r="M126">
        <v>1.6186</v>
      </c>
      <c r="N126">
        <v>6.5259999999999999E-2</v>
      </c>
    </row>
    <row r="127" spans="12:14">
      <c r="L127">
        <v>12.25</v>
      </c>
      <c r="M127">
        <v>1.6164000000000001</v>
      </c>
      <c r="N127">
        <v>6.8140000000000006E-2</v>
      </c>
    </row>
    <row r="128" spans="12:14">
      <c r="L128">
        <v>12.5</v>
      </c>
      <c r="M128">
        <v>1.6102000000000001</v>
      </c>
      <c r="N128">
        <v>7.1720000000000006E-2</v>
      </c>
    </row>
    <row r="129" spans="11:14">
      <c r="L129">
        <v>12.75</v>
      </c>
      <c r="M129">
        <v>1.6017999999999999</v>
      </c>
      <c r="N129">
        <v>7.5889999999999999E-2</v>
      </c>
    </row>
    <row r="130" spans="11:14">
      <c r="L130">
        <v>13</v>
      </c>
      <c r="M130">
        <v>1.5926</v>
      </c>
      <c r="N130">
        <v>8.0449999999999994E-2</v>
      </c>
    </row>
    <row r="131" spans="11:14">
      <c r="L131">
        <v>13.25</v>
      </c>
      <c r="M131">
        <v>1.5829</v>
      </c>
      <c r="N131">
        <v>8.5360000000000005E-2</v>
      </c>
    </row>
    <row r="132" spans="11:14">
      <c r="L132">
        <v>13.5</v>
      </c>
      <c r="M132">
        <v>1.5726</v>
      </c>
      <c r="N132">
        <v>9.0539999999999995E-2</v>
      </c>
    </row>
    <row r="133" spans="11:14">
      <c r="L133">
        <v>13.75</v>
      </c>
      <c r="M133">
        <v>1.5618000000000001</v>
      </c>
      <c r="N133">
        <v>9.6009999999999998E-2</v>
      </c>
    </row>
    <row r="134" spans="11:14">
      <c r="L134">
        <v>14</v>
      </c>
      <c r="M134">
        <v>1.5507</v>
      </c>
      <c r="N134">
        <v>0.10169</v>
      </c>
    </row>
    <row r="136" spans="11:14">
      <c r="K136">
        <v>10</v>
      </c>
      <c r="L136" t="s">
        <v>43</v>
      </c>
      <c r="M136" t="s">
        <v>44</v>
      </c>
      <c r="N136" t="s">
        <v>45</v>
      </c>
    </row>
    <row r="137" spans="11:14">
      <c r="L137">
        <v>0</v>
      </c>
      <c r="M137">
        <v>0.62490000000000001</v>
      </c>
      <c r="N137">
        <v>7.9799999999999992E-3</v>
      </c>
    </row>
    <row r="138" spans="11:14">
      <c r="L138">
        <v>1</v>
      </c>
      <c r="M138">
        <v>0.6875</v>
      </c>
      <c r="N138">
        <v>9.7400000000000004E-3</v>
      </c>
    </row>
    <row r="139" spans="11:14">
      <c r="L139">
        <v>2</v>
      </c>
      <c r="M139">
        <v>0.7732</v>
      </c>
      <c r="N139">
        <v>1.14E-2</v>
      </c>
    </row>
    <row r="140" spans="11:14">
      <c r="L140">
        <v>3</v>
      </c>
      <c r="M140">
        <v>0.86670000000000003</v>
      </c>
      <c r="N140">
        <v>1.306E-2</v>
      </c>
    </row>
    <row r="141" spans="11:14">
      <c r="L141">
        <v>4</v>
      </c>
      <c r="M141">
        <v>0.9617</v>
      </c>
      <c r="N141">
        <v>1.4590000000000001E-2</v>
      </c>
    </row>
    <row r="142" spans="11:14">
      <c r="L142">
        <v>5</v>
      </c>
      <c r="M142">
        <v>1.0536000000000001</v>
      </c>
      <c r="N142">
        <v>1.6080000000000001E-2</v>
      </c>
    </row>
    <row r="143" spans="11:14">
      <c r="L143">
        <v>6</v>
      </c>
      <c r="M143">
        <v>1.1399999999999999</v>
      </c>
      <c r="N143">
        <v>1.7680000000000001E-2</v>
      </c>
    </row>
    <row r="144" spans="11:14">
      <c r="L144">
        <v>7</v>
      </c>
      <c r="M144">
        <v>1.2176</v>
      </c>
      <c r="N144">
        <v>1.9369999999999998E-2</v>
      </c>
    </row>
    <row r="145" spans="12:14">
      <c r="L145">
        <v>8</v>
      </c>
      <c r="M145">
        <v>1.29</v>
      </c>
      <c r="N145">
        <v>2.205E-2</v>
      </c>
    </row>
    <row r="146" spans="12:14">
      <c r="L146">
        <v>9</v>
      </c>
      <c r="M146">
        <v>1.3535999999999999</v>
      </c>
      <c r="N146">
        <v>2.512E-2</v>
      </c>
    </row>
    <row r="147" spans="12:14">
      <c r="L147">
        <v>10</v>
      </c>
      <c r="M147">
        <v>1.4055</v>
      </c>
      <c r="N147">
        <v>2.886E-2</v>
      </c>
    </row>
    <row r="148" spans="12:14">
      <c r="L148">
        <v>11</v>
      </c>
      <c r="M148">
        <v>1.4442999999999999</v>
      </c>
      <c r="N148">
        <v>3.356E-2</v>
      </c>
    </row>
    <row r="149" spans="12:14">
      <c r="L149">
        <v>12</v>
      </c>
      <c r="M149">
        <v>1.4670000000000001</v>
      </c>
      <c r="N149">
        <v>3.9710000000000002E-2</v>
      </c>
    </row>
    <row r="150" spans="12:14">
      <c r="L150">
        <v>13</v>
      </c>
      <c r="M150">
        <v>1.4767999999999999</v>
      </c>
      <c r="N150">
        <v>4.743E-2</v>
      </c>
    </row>
    <row r="151" spans="12:14">
      <c r="L151">
        <v>14</v>
      </c>
      <c r="M151">
        <v>1.4594</v>
      </c>
      <c r="N151">
        <v>6.0010000000000001E-2</v>
      </c>
    </row>
  </sheetData>
  <autoFilter ref="L77:N135" xr:uid="{C7E87B6A-A3F0-4273-82A3-23DC2FDEC1DB}"/>
  <mergeCells count="7">
    <mergeCell ref="E13:G13"/>
    <mergeCell ref="A6:C6"/>
    <mergeCell ref="E6:G6"/>
    <mergeCell ref="I6:J6"/>
    <mergeCell ref="I9:K9"/>
    <mergeCell ref="E10:G10"/>
    <mergeCell ref="A13:C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08E8EA-7F7C-4F2A-91B3-3659CD61B0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3</vt:i4>
      </vt:variant>
    </vt:vector>
  </HeadingPairs>
  <TitlesOfParts>
    <vt:vector size="5" baseType="lpstr">
      <vt:lpstr>flap155</vt:lpstr>
      <vt:lpstr>NACA 0012-HLD</vt:lpstr>
      <vt:lpstr>Graph 1</vt:lpstr>
      <vt:lpstr>Graph 2</vt:lpstr>
      <vt:lpstr>Graph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Alvarado Perilla</dc:creator>
  <cp:lastModifiedBy>Miguel Angel Rendon Hoyos</cp:lastModifiedBy>
  <dcterms:created xsi:type="dcterms:W3CDTF">2023-12-18T15:01:22Z</dcterms:created>
  <dcterms:modified xsi:type="dcterms:W3CDTF">2024-08-20T15:01:41Z</dcterms:modified>
</cp:coreProperties>
</file>