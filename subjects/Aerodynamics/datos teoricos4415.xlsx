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os\UPB\6to semestre\Lab Aero\Planeador\Reporte 1ra prueba modelo ala\"/>
    </mc:Choice>
  </mc:AlternateContent>
  <xr:revisionPtr revIDLastSave="0" documentId="13_ncr:1_{279772B8-E4D6-4DFB-911A-87826C722569}" xr6:coauthVersionLast="47" xr6:coauthVersionMax="47" xr10:uidLastSave="{00000000-0000-0000-0000-000000000000}"/>
  <bookViews>
    <workbookView xWindow="-108" yWindow="-108" windowWidth="23256" windowHeight="12576" activeTab="2" xr2:uid="{A1F3D3BB-DDCA-4A22-A99C-A14C4B8F1322}"/>
  </bookViews>
  <sheets>
    <sheet name="Hoja1" sheetId="7" r:id="rId1"/>
    <sheet name="Airfoil aerodynamic data" sheetId="1" r:id="rId2"/>
    <sheet name="Prueba Modelo completo" sheetId="9" r:id="rId3"/>
    <sheet name="Prueba Modelo" sheetId="8" r:id="rId4"/>
    <sheet name="Graph 1" sheetId="4" r:id="rId5"/>
    <sheet name="Graph 2" sheetId="5" r:id="rId6"/>
    <sheet name="Graph 3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9" l="1"/>
  <c r="G11" i="9" s="1"/>
  <c r="M26" i="9"/>
  <c r="R27" i="9" s="1"/>
  <c r="N26" i="9" s="1"/>
  <c r="M25" i="9"/>
  <c r="R26" i="9" s="1"/>
  <c r="N25" i="9" s="1"/>
  <c r="O25" i="9" s="1"/>
  <c r="M24" i="9"/>
  <c r="R25" i="9" s="1"/>
  <c r="N24" i="9" s="1"/>
  <c r="O24" i="9" s="1"/>
  <c r="M23" i="9"/>
  <c r="R24" i="9" s="1"/>
  <c r="N23" i="9" s="1"/>
  <c r="M22" i="9"/>
  <c r="M21" i="9"/>
  <c r="R22" i="9" s="1"/>
  <c r="N21" i="9" s="1"/>
  <c r="M20" i="9"/>
  <c r="R21" i="9" s="1"/>
  <c r="N20" i="9" s="1"/>
  <c r="M19" i="9"/>
  <c r="R20" i="9" s="1"/>
  <c r="N19" i="9" s="1"/>
  <c r="R19" i="9"/>
  <c r="R18" i="9"/>
  <c r="S17" i="9"/>
  <c r="S16" i="9"/>
  <c r="S15" i="9"/>
  <c r="S14" i="9"/>
  <c r="Q17" i="9"/>
  <c r="B14" i="9"/>
  <c r="B10" i="9"/>
  <c r="N19" i="8"/>
  <c r="S14" i="8" s="1"/>
  <c r="O19" i="8" s="1"/>
  <c r="N25" i="8"/>
  <c r="S20" i="8" s="1"/>
  <c r="O25" i="8" s="1"/>
  <c r="P25" i="8" s="1"/>
  <c r="B14" i="1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Q17" i="8"/>
  <c r="Q18" i="8" s="1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19" i="8"/>
  <c r="J9" i="7"/>
  <c r="N20" i="8"/>
  <c r="S15" i="8" s="1"/>
  <c r="O20" i="8" s="1"/>
  <c r="P20" i="8" s="1"/>
  <c r="N21" i="8"/>
  <c r="S16" i="8" s="1"/>
  <c r="O21" i="8" s="1"/>
  <c r="P21" i="8" s="1"/>
  <c r="N22" i="8"/>
  <c r="S17" i="8" s="1"/>
  <c r="O22" i="8" s="1"/>
  <c r="P22" i="8" s="1"/>
  <c r="N23" i="8"/>
  <c r="S18" i="8" s="1"/>
  <c r="O23" i="8" s="1"/>
  <c r="P23" i="8" s="1"/>
  <c r="N24" i="8"/>
  <c r="S19" i="8" s="1"/>
  <c r="O24" i="8" s="1"/>
  <c r="N26" i="8"/>
  <c r="S21" i="8" s="1"/>
  <c r="O26" i="8" s="1"/>
  <c r="P26" i="8" s="1"/>
  <c r="N27" i="8"/>
  <c r="S22" i="8" s="1"/>
  <c r="O27" i="8" s="1"/>
  <c r="N28" i="8"/>
  <c r="S23" i="8" s="1"/>
  <c r="O28" i="8" s="1"/>
  <c r="P28" i="8" s="1"/>
  <c r="N29" i="8"/>
  <c r="S24" i="8" s="1"/>
  <c r="O29" i="8" s="1"/>
  <c r="P29" i="8" s="1"/>
  <c r="N30" i="8"/>
  <c r="S25" i="8" s="1"/>
  <c r="O30" i="8" s="1"/>
  <c r="P30" i="8" s="1"/>
  <c r="N31" i="8"/>
  <c r="S26" i="8" s="1"/>
  <c r="O31" i="8" s="1"/>
  <c r="P31" i="8" s="1"/>
  <c r="N32" i="8"/>
  <c r="S27" i="8" s="1"/>
  <c r="O32" i="8" s="1"/>
  <c r="B14" i="8"/>
  <c r="K12" i="8" s="1"/>
  <c r="G23" i="8" s="1"/>
  <c r="G11" i="8"/>
  <c r="B10" i="8"/>
  <c r="J7" i="7"/>
  <c r="J6" i="7"/>
  <c r="J7" i="1"/>
  <c r="B17" i="1"/>
  <c r="F14" i="1"/>
  <c r="G6" i="7"/>
  <c r="G7" i="7" s="1"/>
  <c r="B7" i="7"/>
  <c r="B5" i="7"/>
  <c r="E19" i="1"/>
  <c r="L14" i="1"/>
  <c r="B9" i="7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F11" i="1"/>
  <c r="F15" i="1"/>
  <c r="M14" i="9" l="1"/>
  <c r="K7" i="9"/>
  <c r="B17" i="9" s="1"/>
  <c r="K12" i="9"/>
  <c r="K8" i="9"/>
  <c r="L24" i="9"/>
  <c r="K21" i="9"/>
  <c r="K24" i="9"/>
  <c r="L20" i="9"/>
  <c r="K19" i="9"/>
  <c r="K23" i="9"/>
  <c r="L19" i="9"/>
  <c r="L25" i="9"/>
  <c r="K25" i="9"/>
  <c r="O20" i="9"/>
  <c r="O23" i="9"/>
  <c r="O26" i="9"/>
  <c r="R23" i="9"/>
  <c r="N22" i="9" s="1"/>
  <c r="L22" i="9" s="1"/>
  <c r="O21" i="9"/>
  <c r="O19" i="9"/>
  <c r="I23" i="8"/>
  <c r="G25" i="8"/>
  <c r="I25" i="8" s="1"/>
  <c r="G22" i="8"/>
  <c r="I22" i="8" s="1"/>
  <c r="G21" i="8"/>
  <c r="I21" i="8" s="1"/>
  <c r="G20" i="8"/>
  <c r="I20" i="8" s="1"/>
  <c r="G30" i="8"/>
  <c r="I30" i="8" s="1"/>
  <c r="G28" i="8"/>
  <c r="I28" i="8" s="1"/>
  <c r="G27" i="8"/>
  <c r="I27" i="8" s="1"/>
  <c r="G29" i="8"/>
  <c r="I29" i="8" s="1"/>
  <c r="G26" i="8"/>
  <c r="I26" i="8" s="1"/>
  <c r="G31" i="8"/>
  <c r="I31" i="8" s="1"/>
  <c r="G19" i="8"/>
  <c r="I19" i="8" s="1"/>
  <c r="G32" i="8"/>
  <c r="I32" i="8" s="1"/>
  <c r="G24" i="8"/>
  <c r="I24" i="8" s="1"/>
  <c r="K7" i="8"/>
  <c r="B17" i="8" s="1"/>
  <c r="M15" i="8"/>
  <c r="M14" i="8"/>
  <c r="L31" i="8" s="1"/>
  <c r="P32" i="8"/>
  <c r="P24" i="8"/>
  <c r="P27" i="8"/>
  <c r="P19" i="8"/>
  <c r="K8" i="8"/>
  <c r="F6" i="7"/>
  <c r="B10" i="1"/>
  <c r="L21" i="9" l="1"/>
  <c r="K20" i="9"/>
  <c r="K22" i="9"/>
  <c r="L23" i="9"/>
  <c r="K26" i="9"/>
  <c r="L26" i="9"/>
  <c r="E26" i="9"/>
  <c r="F25" i="9"/>
  <c r="F20" i="9"/>
  <c r="E19" i="9"/>
  <c r="F26" i="9"/>
  <c r="E20" i="9"/>
  <c r="F19" i="9"/>
  <c r="F24" i="9"/>
  <c r="E21" i="9"/>
  <c r="E22" i="9"/>
  <c r="F21" i="9"/>
  <c r="F23" i="9"/>
  <c r="E25" i="9"/>
  <c r="E23" i="9"/>
  <c r="F22" i="9"/>
  <c r="E24" i="9"/>
  <c r="O22" i="9"/>
  <c r="H27" i="8"/>
  <c r="I33" i="8"/>
  <c r="H26" i="8"/>
  <c r="H30" i="8"/>
  <c r="M28" i="8"/>
  <c r="M31" i="8"/>
  <c r="M32" i="8"/>
  <c r="M26" i="8"/>
  <c r="L25" i="8"/>
  <c r="L30" i="8"/>
  <c r="L23" i="8"/>
  <c r="L27" i="8"/>
  <c r="L29" i="8"/>
  <c r="L28" i="8"/>
  <c r="M27" i="8"/>
  <c r="L26" i="8"/>
  <c r="M23" i="8"/>
  <c r="M25" i="8"/>
  <c r="M19" i="8"/>
  <c r="M30" i="8"/>
  <c r="M29" i="8"/>
  <c r="M24" i="8"/>
  <c r="H28" i="8"/>
  <c r="H19" i="8"/>
  <c r="H31" i="8"/>
  <c r="H32" i="8"/>
  <c r="H24" i="8"/>
  <c r="H21" i="8"/>
  <c r="H25" i="8"/>
  <c r="H22" i="8"/>
  <c r="M20" i="8"/>
  <c r="L22" i="8"/>
  <c r="M22" i="8"/>
  <c r="L19" i="8"/>
  <c r="L21" i="8"/>
  <c r="L20" i="8"/>
  <c r="L32" i="8"/>
  <c r="H23" i="8"/>
  <c r="M21" i="8"/>
  <c r="L24" i="8"/>
  <c r="H29" i="8"/>
  <c r="F7" i="7"/>
  <c r="H6" i="7"/>
  <c r="J12" i="1"/>
  <c r="E41" i="1" s="1"/>
  <c r="L15" i="1"/>
  <c r="J8" i="1"/>
  <c r="B35" i="1" s="1"/>
  <c r="F48" i="1"/>
  <c r="E43" i="1"/>
  <c r="E47" i="1"/>
  <c r="F46" i="1"/>
  <c r="F43" i="1"/>
  <c r="E48" i="1"/>
  <c r="F37" i="1"/>
  <c r="F47" i="1"/>
  <c r="F45" i="1"/>
  <c r="E40" i="1"/>
  <c r="E39" i="1"/>
  <c r="F38" i="1"/>
  <c r="E45" i="1"/>
  <c r="F44" i="1"/>
  <c r="E49" i="1"/>
  <c r="E28" i="1"/>
  <c r="E24" i="1"/>
  <c r="E20" i="1"/>
  <c r="F30" i="1"/>
  <c r="F22" i="1"/>
  <c r="E22" i="1"/>
  <c r="F25" i="1"/>
  <c r="E21" i="1"/>
  <c r="E27" i="1"/>
  <c r="F31" i="1"/>
  <c r="E31" i="1"/>
  <c r="F26" i="1"/>
  <c r="F29" i="1"/>
  <c r="F32" i="1"/>
  <c r="E25" i="1"/>
  <c r="E29" i="1"/>
  <c r="G25" i="9" l="1"/>
  <c r="G24" i="9"/>
  <c r="G19" i="9"/>
  <c r="G22" i="9"/>
  <c r="G21" i="9"/>
  <c r="G26" i="9"/>
  <c r="G23" i="9"/>
  <c r="G20" i="9"/>
  <c r="H7" i="7"/>
  <c r="G45" i="1"/>
  <c r="F21" i="1"/>
  <c r="G21" i="1" s="1"/>
  <c r="F24" i="1"/>
  <c r="G24" i="1" s="1"/>
  <c r="E23" i="1"/>
  <c r="F49" i="1"/>
  <c r="F39" i="1"/>
  <c r="G39" i="1" s="1"/>
  <c r="F42" i="1"/>
  <c r="E42" i="1"/>
  <c r="G42" i="1" s="1"/>
  <c r="F50" i="1"/>
  <c r="E46" i="1"/>
  <c r="G46" i="1" s="1"/>
  <c r="F23" i="1"/>
  <c r="E32" i="1"/>
  <c r="G32" i="1" s="1"/>
  <c r="F40" i="1"/>
  <c r="G40" i="1" s="1"/>
  <c r="F41" i="1"/>
  <c r="E50" i="1"/>
  <c r="G50" i="1" s="1"/>
  <c r="L20" i="1"/>
  <c r="L21" i="1"/>
  <c r="L29" i="1"/>
  <c r="K23" i="1"/>
  <c r="K31" i="1"/>
  <c r="L30" i="1"/>
  <c r="K24" i="1"/>
  <c r="K32" i="1"/>
  <c r="L22" i="1"/>
  <c r="L23" i="1"/>
  <c r="L31" i="1"/>
  <c r="K25" i="1"/>
  <c r="K19" i="1"/>
  <c r="K20" i="1"/>
  <c r="K29" i="1"/>
  <c r="L28" i="1"/>
  <c r="L24" i="1"/>
  <c r="L32" i="1"/>
  <c r="K26" i="1"/>
  <c r="K28" i="1"/>
  <c r="K21" i="1"/>
  <c r="K22" i="1"/>
  <c r="L25" i="1"/>
  <c r="L19" i="1"/>
  <c r="K27" i="1"/>
  <c r="K30" i="1"/>
  <c r="L26" i="1"/>
  <c r="L27" i="1"/>
  <c r="E44" i="1"/>
  <c r="G44" i="1" s="1"/>
  <c r="F20" i="1"/>
  <c r="G20" i="1" s="1"/>
  <c r="E26" i="1"/>
  <c r="G26" i="1" s="1"/>
  <c r="F28" i="1"/>
  <c r="G28" i="1" s="1"/>
  <c r="F27" i="1"/>
  <c r="G27" i="1" s="1"/>
  <c r="E30" i="1"/>
  <c r="G30" i="1" s="1"/>
  <c r="F19" i="1"/>
  <c r="G19" i="1" s="1"/>
  <c r="E38" i="1"/>
  <c r="G38" i="1" s="1"/>
  <c r="E37" i="1"/>
  <c r="G49" i="1"/>
  <c r="G41" i="1"/>
  <c r="G47" i="1"/>
  <c r="G43" i="1"/>
  <c r="G48" i="1"/>
  <c r="G37" i="1"/>
  <c r="G22" i="1"/>
  <c r="G29" i="1"/>
  <c r="G25" i="1"/>
  <c r="G31" i="1"/>
  <c r="G23" i="1" l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L37" i="1"/>
  <c r="O37" i="1"/>
  <c r="L38" i="1"/>
  <c r="O38" i="1"/>
  <c r="L39" i="1"/>
  <c r="O39" i="1"/>
  <c r="L40" i="1"/>
  <c r="O40" i="1"/>
  <c r="L41" i="1"/>
  <c r="O41" i="1"/>
  <c r="L42" i="1"/>
  <c r="O42" i="1"/>
  <c r="L43" i="1"/>
  <c r="O43" i="1"/>
  <c r="L44" i="1"/>
  <c r="O44" i="1"/>
  <c r="L45" i="1"/>
  <c r="O45" i="1"/>
  <c r="L46" i="1"/>
  <c r="O46" i="1"/>
  <c r="L47" i="1"/>
  <c r="O47" i="1"/>
  <c r="L48" i="1"/>
  <c r="O48" i="1"/>
  <c r="L49" i="1"/>
  <c r="O49" i="1"/>
  <c r="L50" i="1"/>
  <c r="O50" i="1"/>
  <c r="H20" i="8" l="1"/>
</calcChain>
</file>

<file path=xl/sharedStrings.xml><?xml version="1.0" encoding="utf-8"?>
<sst xmlns="http://schemas.openxmlformats.org/spreadsheetml/2006/main" count="236" uniqueCount="74">
  <si>
    <t>m</t>
  </si>
  <si>
    <t>b</t>
  </si>
  <si>
    <t>c</t>
  </si>
  <si>
    <t>Atmospheric data</t>
  </si>
  <si>
    <t>Geometry data</t>
  </si>
  <si>
    <t>Reynolds number</t>
  </si>
  <si>
    <t>Air density</t>
  </si>
  <si>
    <t>Pa</t>
  </si>
  <si>
    <t>K</t>
  </si>
  <si>
    <t>Air velocity</t>
  </si>
  <si>
    <t>m/s</t>
  </si>
  <si>
    <t>Dynamic pressure</t>
  </si>
  <si>
    <t>Reference area</t>
  </si>
  <si>
    <t>Date (dd/mm/yyyy)</t>
  </si>
  <si>
    <t>Hour</t>
  </si>
  <si>
    <t>Humidity</t>
  </si>
  <si>
    <t>Week day</t>
  </si>
  <si>
    <r>
      <t>R</t>
    </r>
    <r>
      <rPr>
        <vertAlign val="subscript"/>
        <sz val="11"/>
        <color theme="1"/>
        <rFont val="Times New Roman"/>
        <family val="1"/>
      </rPr>
      <t>air</t>
    </r>
  </si>
  <si>
    <r>
      <t>q</t>
    </r>
    <r>
      <rPr>
        <vertAlign val="subscript"/>
        <sz val="11"/>
        <color theme="1"/>
        <rFont val="Times New Roman"/>
        <family val="1"/>
      </rPr>
      <t>∞</t>
    </r>
  </si>
  <si>
    <r>
      <t>kg/m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</si>
  <si>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m</t>
    </r>
    <r>
      <rPr>
        <vertAlign val="superscript"/>
        <sz val="11"/>
        <color theme="1"/>
        <rFont val="Calibri"/>
        <family val="2"/>
        <scheme val="minor"/>
      </rPr>
      <t>2</t>
    </r>
  </si>
  <si>
    <r>
      <rPr>
        <sz val="11"/>
        <color theme="1"/>
        <rFont val="Symbol"/>
        <family val="1"/>
        <charset val="2"/>
      </rPr>
      <t>m</t>
    </r>
    <r>
      <rPr>
        <vertAlign val="subscript"/>
        <sz val="11"/>
        <color theme="1"/>
        <rFont val="Times New Roman"/>
        <family val="1"/>
      </rPr>
      <t>∞</t>
    </r>
  </si>
  <si>
    <t>L [kg]</t>
  </si>
  <si>
    <t>D [kg]</t>
  </si>
  <si>
    <r>
      <rPr>
        <sz val="11"/>
        <color theme="1"/>
        <rFont val="Symbol"/>
        <family val="1"/>
        <charset val="2"/>
      </rPr>
      <t>r</t>
    </r>
    <r>
      <rPr>
        <vertAlign val="subscript"/>
        <sz val="11"/>
        <color theme="1"/>
        <rFont val="Times New Roman"/>
        <family val="1"/>
      </rPr>
      <t>∞</t>
    </r>
  </si>
  <si>
    <t>Airfoil:</t>
  </si>
  <si>
    <t>kg/(m*s)</t>
  </si>
  <si>
    <t>N*m/kg*K</t>
  </si>
  <si>
    <r>
      <t>P</t>
    </r>
    <r>
      <rPr>
        <b/>
        <vertAlign val="subscript"/>
        <sz val="11"/>
        <color theme="1"/>
        <rFont val="Times New Roman"/>
        <family val="1"/>
      </rPr>
      <t>∞</t>
    </r>
  </si>
  <si>
    <r>
      <t>T</t>
    </r>
    <r>
      <rPr>
        <b/>
        <vertAlign val="subscript"/>
        <sz val="11"/>
        <color theme="1"/>
        <rFont val="Times New Roman"/>
        <family val="1"/>
      </rPr>
      <t>∞</t>
    </r>
  </si>
  <si>
    <r>
      <rPr>
        <b/>
        <sz val="11"/>
        <color theme="1"/>
        <rFont val="Symbol"/>
        <family val="1"/>
        <charset val="2"/>
      </rPr>
      <t>a</t>
    </r>
    <r>
      <rPr>
        <b/>
        <vertAlign val="subscript"/>
        <sz val="11"/>
        <color theme="1"/>
        <rFont val="Calibri"/>
        <family val="2"/>
        <scheme val="minor"/>
      </rPr>
      <t>geo</t>
    </r>
    <r>
      <rPr>
        <b/>
        <sz val="11"/>
        <color theme="1"/>
        <rFont val="Calibri"/>
        <family val="2"/>
        <scheme val="minor"/>
      </rPr>
      <t xml:space="preserve"> [deg]</t>
    </r>
  </si>
  <si>
    <r>
      <t>c</t>
    </r>
    <r>
      <rPr>
        <b/>
        <vertAlign val="subscript"/>
        <sz val="11"/>
        <color theme="1"/>
        <rFont val="Calibri"/>
        <family val="2"/>
        <scheme val="minor"/>
      </rPr>
      <t>l</t>
    </r>
  </si>
  <si>
    <r>
      <t>c</t>
    </r>
    <r>
      <rPr>
        <b/>
        <vertAlign val="subscript"/>
        <sz val="11"/>
        <color theme="1"/>
        <rFont val="Calibri"/>
        <family val="2"/>
        <scheme val="minor"/>
      </rPr>
      <t>d</t>
    </r>
  </si>
  <si>
    <r>
      <t>c</t>
    </r>
    <r>
      <rPr>
        <b/>
        <vertAlign val="subscript"/>
        <sz val="11"/>
        <color theme="1"/>
        <rFont val="Calibri"/>
        <family val="2"/>
        <scheme val="minor"/>
      </rPr>
      <t>l</t>
    </r>
    <r>
      <rPr>
        <b/>
        <sz val="11"/>
        <color theme="1"/>
        <rFont val="Calibri"/>
        <family val="2"/>
        <scheme val="minor"/>
      </rPr>
      <t>/c</t>
    </r>
    <r>
      <rPr>
        <b/>
        <vertAlign val="subscript"/>
        <sz val="11"/>
        <color theme="1"/>
        <rFont val="Calibri"/>
        <family val="2"/>
        <scheme val="minor"/>
      </rPr>
      <t>d</t>
    </r>
  </si>
  <si>
    <t>%</t>
  </si>
  <si>
    <t>km/h</t>
  </si>
  <si>
    <t>Re1</t>
  </si>
  <si>
    <t>Re2</t>
  </si>
  <si>
    <t>V1</t>
  </si>
  <si>
    <t>V2</t>
  </si>
  <si>
    <t>NACA 4415</t>
  </si>
  <si>
    <t>Teórico Re1</t>
  </si>
  <si>
    <t>Teórico Re2</t>
  </si>
  <si>
    <t>q2</t>
  </si>
  <si>
    <t>q1</t>
  </si>
  <si>
    <t>Sref,</t>
  </si>
  <si>
    <t>Data No,</t>
  </si>
  <si>
    <t>Monday</t>
  </si>
  <si>
    <t>Alpha stall</t>
  </si>
  <si>
    <t>Cuerda</t>
  </si>
  <si>
    <t>AR</t>
  </si>
  <si>
    <t>S</t>
  </si>
  <si>
    <t>q</t>
  </si>
  <si>
    <t>m^2</t>
  </si>
  <si>
    <t>w</t>
  </si>
  <si>
    <t>kg</t>
  </si>
  <si>
    <t>AoA</t>
  </si>
  <si>
    <t>Cl</t>
  </si>
  <si>
    <t xml:space="preserve"> </t>
  </si>
  <si>
    <t>ar</t>
  </si>
  <si>
    <t>5deg</t>
  </si>
  <si>
    <t>n</t>
  </si>
  <si>
    <t>cl</t>
  </si>
  <si>
    <t>perfil</t>
  </si>
  <si>
    <t>ala</t>
  </si>
  <si>
    <t>V test modelo</t>
  </si>
  <si>
    <t>a0</t>
  </si>
  <si>
    <t>e</t>
  </si>
  <si>
    <t>cdi</t>
  </si>
  <si>
    <t>cd</t>
  </si>
  <si>
    <t xml:space="preserve">  </t>
  </si>
  <si>
    <t>aL=0 [deg]</t>
  </si>
  <si>
    <t>Se debe a que el modelo estructuralmente no resiste las fuerzas ejercidas y el empenaje genera una especie de palanca o momento que flexiona todo el fuselaje generando un aumento en el ángulo de ataque, es decir, el ángulo real es menor al ángulo que debería estar</t>
  </si>
  <si>
    <t>La aeronave no es estable, eso se debe a que el CG esta brevemente desplazado, esto era poco predecible ya que no se tenia forma de calcular el peso completo de la impresión por el tipo de estrucutra y densidad que se utiliza para la impresión por lo que el Cg se desplaza. El CG se tiene calculado para una estructura y densidad sólida, sin embargo, esto cambia a la hora de impresión donde el relleno del modelo cambia y por ende su balance.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</si>
</sst>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E+00"/>
    <numFmt numFmtId="165" formatCode="0.000"/>
    <numFmt numFmtId="166" formatCode="0.0000"/>
    <numFmt numFmtId="167" formatCode="0.00000"/>
  </numFmts>
  <fonts count="10">
    <font>
      <sz val="11"/>
      <color theme="1"/>
      <name val="Calibri"/>
      <family val="2"/>
      <scheme val="minor"/>
    </font>
    <font>
      <vertAlign val="subscript"/>
      <sz val="11"/>
      <color theme="1"/>
      <name val="Times New Roman"/>
      <family val="1"/>
    </font>
    <font>
      <vertAlign val="superscript"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1"/>
      <charset val="2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Times New Roman"/>
      <family val="1"/>
    </font>
    <font>
      <b/>
      <sz val="11"/>
      <color theme="1"/>
      <name val="Calibri"/>
      <family val="1"/>
      <charset val="2"/>
      <scheme val="minor"/>
    </font>
    <font>
      <b/>
      <sz val="11"/>
      <color theme="1"/>
      <name val="Symbol"/>
      <family val="1"/>
      <charset val="2"/>
    </font>
    <font>
      <b/>
      <vertAlign val="subscript"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29">
    <xf numFmtId="0" fontId="0" fillId="0" borderId="0" xfId="0"/>
    <xf numFmtId="0" fontId="5" fillId="0" borderId="0" xfId="0" applyFont="1"/>
    <xf numFmtId="0" fontId="5" fillId="2" borderId="1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0" fillId="0" borderId="8" xfId="0" applyBorder="1"/>
    <xf numFmtId="0" fontId="0" fillId="0" borderId="5" xfId="0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10" xfId="0" applyBorder="1"/>
    <xf numFmtId="0" fontId="5" fillId="0" borderId="11" xfId="0" applyFont="1" applyBorder="1" applyAlignment="1">
      <alignment horizontal="center" vertical="center"/>
    </xf>
    <xf numFmtId="0" fontId="0" fillId="0" borderId="12" xfId="0" applyBorder="1"/>
    <xf numFmtId="0" fontId="4" fillId="0" borderId="13" xfId="0" applyFon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0" fontId="0" fillId="0" borderId="15" xfId="0" applyBorder="1"/>
    <xf numFmtId="2" fontId="0" fillId="0" borderId="16" xfId="0" applyNumberFormat="1" applyBorder="1" applyAlignment="1">
      <alignment horizontal="center" vertical="center"/>
    </xf>
    <xf numFmtId="0" fontId="0" fillId="0" borderId="6" xfId="0" applyBorder="1"/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/>
    <xf numFmtId="0" fontId="4" fillId="0" borderId="5" xfId="0" applyFont="1" applyBorder="1" applyAlignment="1">
      <alignment horizontal="center" vertical="center"/>
    </xf>
    <xf numFmtId="165" fontId="0" fillId="0" borderId="16" xfId="0" applyNumberForma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166" fontId="0" fillId="0" borderId="20" xfId="0" applyNumberFormat="1" applyBorder="1" applyAlignment="1">
      <alignment horizontal="center" vertical="center"/>
    </xf>
    <xf numFmtId="166" fontId="0" fillId="0" borderId="18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5" fontId="0" fillId="0" borderId="23" xfId="0" applyNumberFormat="1" applyBorder="1" applyAlignment="1">
      <alignment horizontal="center" vertical="center"/>
    </xf>
    <xf numFmtId="165" fontId="0" fillId="0" borderId="24" xfId="0" applyNumberFormat="1" applyBorder="1" applyAlignment="1">
      <alignment horizontal="center" vertical="center"/>
    </xf>
    <xf numFmtId="165" fontId="0" fillId="0" borderId="25" xfId="0" applyNumberForma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5" fontId="5" fillId="2" borderId="29" xfId="0" applyNumberFormat="1" applyFont="1" applyFill="1" applyBorder="1" applyAlignment="1">
      <alignment horizontal="center" vertical="center"/>
    </xf>
    <xf numFmtId="165" fontId="5" fillId="2" borderId="26" xfId="0" applyNumberFormat="1" applyFont="1" applyFill="1" applyBorder="1" applyAlignment="1">
      <alignment horizontal="center" vertical="center"/>
    </xf>
    <xf numFmtId="165" fontId="5" fillId="2" borderId="30" xfId="0" applyNumberFormat="1" applyFont="1" applyFill="1" applyBorder="1" applyAlignment="1">
      <alignment horizontal="center" vertical="center"/>
    </xf>
    <xf numFmtId="165" fontId="5" fillId="2" borderId="27" xfId="0" applyNumberFormat="1" applyFont="1" applyFill="1" applyBorder="1" applyAlignment="1">
      <alignment horizontal="center" vertical="center"/>
    </xf>
    <xf numFmtId="165" fontId="5" fillId="2" borderId="31" xfId="0" applyNumberFormat="1" applyFont="1" applyFill="1" applyBorder="1" applyAlignment="1">
      <alignment horizontal="center" vertical="center"/>
    </xf>
    <xf numFmtId="165" fontId="5" fillId="2" borderId="28" xfId="0" applyNumberFormat="1" applyFont="1" applyFill="1" applyBorder="1" applyAlignment="1">
      <alignment horizontal="center" vertical="center"/>
    </xf>
    <xf numFmtId="2" fontId="5" fillId="2" borderId="26" xfId="0" applyNumberFormat="1" applyFont="1" applyFill="1" applyBorder="1" applyAlignment="1">
      <alignment horizontal="center" vertical="center"/>
    </xf>
    <xf numFmtId="2" fontId="5" fillId="2" borderId="27" xfId="0" applyNumberFormat="1" applyFont="1" applyFill="1" applyBorder="1" applyAlignment="1">
      <alignment horizontal="center" vertical="center"/>
    </xf>
    <xf numFmtId="2" fontId="5" fillId="2" borderId="28" xfId="0" applyNumberFormat="1" applyFont="1" applyFill="1" applyBorder="1" applyAlignment="1">
      <alignment horizontal="center" vertical="center"/>
    </xf>
    <xf numFmtId="0" fontId="5" fillId="0" borderId="1" xfId="0" applyFont="1" applyBorder="1"/>
    <xf numFmtId="2" fontId="0" fillId="0" borderId="0" xfId="0" applyNumberFormat="1"/>
    <xf numFmtId="0" fontId="0" fillId="0" borderId="17" xfId="0" applyBorder="1" applyAlignment="1">
      <alignment horizontal="center"/>
    </xf>
    <xf numFmtId="0" fontId="5" fillId="0" borderId="36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2" fontId="5" fillId="2" borderId="39" xfId="0" applyNumberFormat="1" applyFont="1" applyFill="1" applyBorder="1" applyAlignment="1">
      <alignment horizontal="center" vertical="center"/>
    </xf>
    <xf numFmtId="0" fontId="0" fillId="0" borderId="39" xfId="0" applyBorder="1"/>
    <xf numFmtId="0" fontId="0" fillId="0" borderId="40" xfId="0" applyBorder="1"/>
    <xf numFmtId="0" fontId="0" fillId="0" borderId="18" xfId="0" applyBorder="1"/>
    <xf numFmtId="0" fontId="5" fillId="0" borderId="41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2" fontId="5" fillId="2" borderId="18" xfId="0" applyNumberFormat="1" applyFont="1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2" fontId="0" fillId="0" borderId="40" xfId="0" applyNumberForma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165" fontId="5" fillId="0" borderId="26" xfId="0" applyNumberFormat="1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167" fontId="5" fillId="0" borderId="26" xfId="0" applyNumberFormat="1" applyFont="1" applyBorder="1" applyAlignment="1">
      <alignment horizontal="center" vertical="center"/>
    </xf>
    <xf numFmtId="2" fontId="5" fillId="2" borderId="7" xfId="0" applyNumberFormat="1" applyFont="1" applyFill="1" applyBorder="1" applyAlignment="1">
      <alignment horizontal="center" vertical="center"/>
    </xf>
    <xf numFmtId="2" fontId="5" fillId="2" borderId="9" xfId="0" applyNumberFormat="1" applyFont="1" applyFill="1" applyBorder="1" applyAlignment="1">
      <alignment horizontal="center" vertical="center"/>
    </xf>
    <xf numFmtId="2" fontId="5" fillId="2" borderId="11" xfId="0" applyNumberFormat="1" applyFont="1" applyFill="1" applyBorder="1" applyAlignment="1">
      <alignment horizontal="center" vertical="center"/>
    </xf>
    <xf numFmtId="165" fontId="5" fillId="0" borderId="8" xfId="0" applyNumberFormat="1" applyFont="1" applyBorder="1" applyAlignment="1">
      <alignment horizontal="center" vertical="center"/>
    </xf>
    <xf numFmtId="165" fontId="5" fillId="0" borderId="10" xfId="0" applyNumberFormat="1" applyFont="1" applyBorder="1" applyAlignment="1">
      <alignment horizontal="center" vertical="center"/>
    </xf>
    <xf numFmtId="165" fontId="5" fillId="0" borderId="12" xfId="0" applyNumberFormat="1" applyFont="1" applyBorder="1" applyAlignment="1">
      <alignment horizontal="center" vertical="center"/>
    </xf>
    <xf numFmtId="167" fontId="5" fillId="0" borderId="27" xfId="0" applyNumberFormat="1" applyFont="1" applyBorder="1" applyAlignment="1">
      <alignment horizontal="center" vertical="center"/>
    </xf>
    <xf numFmtId="167" fontId="5" fillId="0" borderId="28" xfId="0" applyNumberFormat="1" applyFont="1" applyBorder="1" applyAlignment="1">
      <alignment horizontal="center" vertical="center"/>
    </xf>
    <xf numFmtId="165" fontId="5" fillId="0" borderId="43" xfId="0" applyNumberFormat="1" applyFont="1" applyBorder="1" applyAlignment="1">
      <alignment horizontal="center" vertical="center"/>
    </xf>
    <xf numFmtId="165" fontId="5" fillId="0" borderId="44" xfId="0" applyNumberFormat="1" applyFont="1" applyBorder="1" applyAlignment="1">
      <alignment horizontal="center" vertical="center"/>
    </xf>
    <xf numFmtId="0" fontId="5" fillId="0" borderId="38" xfId="0" applyFont="1" applyBorder="1" applyAlignment="1">
      <alignment horizontal="center"/>
    </xf>
    <xf numFmtId="14" fontId="5" fillId="2" borderId="1" xfId="0" applyNumberFormat="1" applyFont="1" applyFill="1" applyBorder="1" applyAlignment="1">
      <alignment horizontal="center" vertical="center"/>
    </xf>
    <xf numFmtId="18" fontId="5" fillId="2" borderId="1" xfId="0" applyNumberFormat="1" applyFont="1" applyFill="1" applyBorder="1" applyAlignment="1">
      <alignment horizontal="center" vertical="center"/>
    </xf>
    <xf numFmtId="2" fontId="5" fillId="2" borderId="45" xfId="0" applyNumberFormat="1" applyFont="1" applyFill="1" applyBorder="1" applyAlignment="1">
      <alignment horizontal="center" vertical="center"/>
    </xf>
    <xf numFmtId="165" fontId="0" fillId="0" borderId="0" xfId="0" applyNumberFormat="1"/>
    <xf numFmtId="0" fontId="5" fillId="0" borderId="0" xfId="0" applyFont="1" applyAlignment="1">
      <alignment horizontal="center" vertical="center"/>
    </xf>
    <xf numFmtId="0" fontId="0" fillId="3" borderId="0" xfId="0" applyFill="1"/>
    <xf numFmtId="165" fontId="5" fillId="0" borderId="46" xfId="0" applyNumberFormat="1" applyFont="1" applyBorder="1" applyAlignment="1">
      <alignment horizontal="center" vertical="center"/>
    </xf>
    <xf numFmtId="165" fontId="5" fillId="0" borderId="30" xfId="0" applyNumberFormat="1" applyFont="1" applyBorder="1" applyAlignment="1">
      <alignment horizontal="center" vertical="center"/>
    </xf>
    <xf numFmtId="165" fontId="5" fillId="0" borderId="31" xfId="0" applyNumberFormat="1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165" fontId="0" fillId="0" borderId="26" xfId="0" applyNumberFormat="1" applyBorder="1" applyAlignment="1">
      <alignment horizontal="center"/>
    </xf>
    <xf numFmtId="165" fontId="0" fillId="0" borderId="27" xfId="0" applyNumberFormat="1" applyBorder="1" applyAlignment="1">
      <alignment horizontal="center"/>
    </xf>
    <xf numFmtId="165" fontId="0" fillId="0" borderId="28" xfId="0" applyNumberFormat="1" applyBorder="1" applyAlignment="1">
      <alignment horizontal="center"/>
    </xf>
    <xf numFmtId="0" fontId="5" fillId="0" borderId="5" xfId="0" applyFont="1" applyBorder="1"/>
    <xf numFmtId="2" fontId="0" fillId="0" borderId="48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166" fontId="0" fillId="0" borderId="26" xfId="0" applyNumberFormat="1" applyBorder="1" applyAlignment="1">
      <alignment horizontal="center" vertical="center"/>
    </xf>
    <xf numFmtId="166" fontId="0" fillId="0" borderId="43" xfId="0" applyNumberFormat="1" applyBorder="1" applyAlignment="1">
      <alignment horizontal="center" vertical="center"/>
    </xf>
    <xf numFmtId="166" fontId="0" fillId="0" borderId="44" xfId="0" applyNumberForma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8" fontId="5" fillId="2" borderId="0" xfId="0" applyNumberFormat="1" applyFont="1" applyFill="1" applyAlignment="1">
      <alignment horizontal="center" vertical="center"/>
    </xf>
    <xf numFmtId="165" fontId="5" fillId="2" borderId="9" xfId="0" applyNumberFormat="1" applyFont="1" applyFill="1" applyBorder="1" applyAlignment="1">
      <alignment horizontal="center" vertical="center"/>
    </xf>
    <xf numFmtId="165" fontId="5" fillId="2" borderId="42" xfId="0" applyNumberFormat="1" applyFont="1" applyFill="1" applyBorder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165" fontId="5" fillId="2" borderId="49" xfId="0" applyNumberFormat="1" applyFont="1" applyFill="1" applyBorder="1" applyAlignment="1">
      <alignment horizontal="center" vertical="center"/>
    </xf>
    <xf numFmtId="166" fontId="0" fillId="0" borderId="0" xfId="0" applyNumberFormat="1"/>
    <xf numFmtId="166" fontId="0" fillId="3" borderId="0" xfId="0" applyNumberFormat="1" applyFill="1"/>
    <xf numFmtId="0" fontId="0" fillId="0" borderId="0" xfId="0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166" fontId="0" fillId="0" borderId="0" xfId="0" applyNumberFormat="1" applyFill="1"/>
    <xf numFmtId="0" fontId="5" fillId="0" borderId="0" xfId="0" applyFont="1" applyBorder="1" applyAlignment="1">
      <alignment horizontal="center"/>
    </xf>
    <xf numFmtId="0" fontId="0" fillId="0" borderId="0" xfId="0" applyBorder="1"/>
    <xf numFmtId="2" fontId="5" fillId="0" borderId="0" xfId="0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2" fontId="5" fillId="2" borderId="16" xfId="0" applyNumberFormat="1" applyFont="1" applyFill="1" applyBorder="1" applyAlignment="1">
      <alignment horizontal="center" vertical="center"/>
    </xf>
    <xf numFmtId="0" fontId="5" fillId="0" borderId="32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0" borderId="16" xfId="0" applyBorder="1"/>
    <xf numFmtId="165" fontId="5" fillId="2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calcChain" Target="calcChain.xml"/><Relationship Id="rId5" Type="http://schemas.openxmlformats.org/officeDocument/2006/relationships/chartsheet" Target="chartsheets/sheet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190266841644793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'Airfoil aerodynamic data'!$J$19:$J$32</c:f>
              <c:numCache>
                <c:formatCode>0.00</c:formatCode>
                <c:ptCount val="14"/>
                <c:pt idx="0">
                  <c:v>-6</c:v>
                </c:pt>
                <c:pt idx="1">
                  <c:v>-4.5</c:v>
                </c:pt>
                <c:pt idx="2">
                  <c:v>-3</c:v>
                </c:pt>
                <c:pt idx="3">
                  <c:v>-1.5</c:v>
                </c:pt>
                <c:pt idx="4">
                  <c:v>0</c:v>
                </c:pt>
                <c:pt idx="5">
                  <c:v>1.5</c:v>
                </c:pt>
                <c:pt idx="6">
                  <c:v>3</c:v>
                </c:pt>
                <c:pt idx="7">
                  <c:v>4.5</c:v>
                </c:pt>
                <c:pt idx="8">
                  <c:v>6</c:v>
                </c:pt>
                <c:pt idx="9">
                  <c:v>7.5</c:v>
                </c:pt>
                <c:pt idx="10">
                  <c:v>9</c:v>
                </c:pt>
                <c:pt idx="11">
                  <c:v>10.5</c:v>
                </c:pt>
                <c:pt idx="12">
                  <c:v>12</c:v>
                </c:pt>
                <c:pt idx="13">
                  <c:v>13.5</c:v>
                </c:pt>
              </c:numCache>
            </c:numRef>
          </c:xVal>
          <c:yVal>
            <c:numRef>
              <c:f>'Airfoil aerodynamic data'!$M$19:$M$32</c:f>
              <c:numCache>
                <c:formatCode>0.000</c:formatCode>
                <c:ptCount val="14"/>
                <c:pt idx="0">
                  <c:v>-0.38650000000000001</c:v>
                </c:pt>
                <c:pt idx="1">
                  <c:v>-0.17749999999999999</c:v>
                </c:pt>
                <c:pt idx="2">
                  <c:v>5.1900000000000002E-2</c:v>
                </c:pt>
                <c:pt idx="3">
                  <c:v>0.24529999999999999</c:v>
                </c:pt>
                <c:pt idx="4">
                  <c:v>0.49830000000000002</c:v>
                </c:pt>
                <c:pt idx="5">
                  <c:v>0.6391</c:v>
                </c:pt>
                <c:pt idx="6">
                  <c:v>0.78839999999999999</c:v>
                </c:pt>
                <c:pt idx="7">
                  <c:v>0.94430000000000003</c:v>
                </c:pt>
                <c:pt idx="8">
                  <c:v>1.0892999999999999</c:v>
                </c:pt>
                <c:pt idx="9">
                  <c:v>1.2306999999999999</c:v>
                </c:pt>
                <c:pt idx="10">
                  <c:v>1.3625</c:v>
                </c:pt>
                <c:pt idx="11">
                  <c:v>1.4519</c:v>
                </c:pt>
                <c:pt idx="12">
                  <c:v>1.4712000000000001</c:v>
                </c:pt>
                <c:pt idx="13">
                  <c:v>1.4461999999999999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39-4D4A-B7D7-689A651AF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697151"/>
        <c:axId val="495695231"/>
      </c:scatterChart>
      <c:valAx>
        <c:axId val="495697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95695231"/>
        <c:crosses val="autoZero"/>
        <c:crossBetween val="midCat"/>
      </c:valAx>
      <c:valAx>
        <c:axId val="49569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95697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1"/>
              <a:t>c</a:t>
            </a:r>
            <a:r>
              <a:rPr lang="en-US" sz="2800" b="1" baseline="-25000"/>
              <a:t>l</a:t>
            </a:r>
            <a:r>
              <a:rPr lang="en-US" sz="2800" b="1"/>
              <a:t> vs. </a:t>
            </a:r>
            <a:r>
              <a:rPr lang="en-US" sz="2800" b="1">
                <a:latin typeface="Symbol" panose="05050102010706020507" pitchFamily="18" charset="2"/>
              </a:rPr>
              <a:t>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0239323180197377"/>
          <c:y val="8.1065223772275707E-2"/>
          <c:w val="0.71866233659111789"/>
          <c:h val="0.81414721372485166"/>
        </c:manualLayout>
      </c:layout>
      <c:scatterChart>
        <c:scatterStyle val="smoothMarker"/>
        <c:varyColors val="0"/>
        <c:ser>
          <c:idx val="2"/>
          <c:order val="0"/>
          <c:tx>
            <c:v>Modelo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3.801884271215588E-2"/>
                  <c:y val="-0.277544193274512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'Prueba Modelo completo'!$B$19:$B$26</c:f>
              <c:numCache>
                <c:formatCode>0.00</c:formatCode>
                <c:ptCount val="8"/>
                <c:pt idx="0">
                  <c:v>3</c:v>
                </c:pt>
                <c:pt idx="1">
                  <c:v>4.5</c:v>
                </c:pt>
                <c:pt idx="2">
                  <c:v>6</c:v>
                </c:pt>
                <c:pt idx="3">
                  <c:v>7.5</c:v>
                </c:pt>
                <c:pt idx="4">
                  <c:v>9</c:v>
                </c:pt>
                <c:pt idx="5">
                  <c:v>10.5</c:v>
                </c:pt>
                <c:pt idx="6">
                  <c:v>12</c:v>
                </c:pt>
                <c:pt idx="7">
                  <c:v>13.5</c:v>
                </c:pt>
              </c:numCache>
            </c:numRef>
          </c:xVal>
          <c:yVal>
            <c:numRef>
              <c:f>'Prueba Modelo completo'!$E$19:$E$26</c:f>
              <c:numCache>
                <c:formatCode>0.000</c:formatCode>
                <c:ptCount val="8"/>
                <c:pt idx="0">
                  <c:v>1.1440223160048462</c:v>
                </c:pt>
                <c:pt idx="1">
                  <c:v>1.264113056358946</c:v>
                </c:pt>
                <c:pt idx="2">
                  <c:v>1.447409449530993</c:v>
                </c:pt>
                <c:pt idx="3">
                  <c:v>1.5991030162940665</c:v>
                </c:pt>
                <c:pt idx="4">
                  <c:v>1.6496675385484243</c:v>
                </c:pt>
                <c:pt idx="5">
                  <c:v>1.6654689517529111</c:v>
                </c:pt>
                <c:pt idx="6">
                  <c:v>1.6970717781618851</c:v>
                </c:pt>
                <c:pt idx="7">
                  <c:v>1.6717895170347059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6FF-474B-974F-367DFB5A206B}"/>
            </c:ext>
          </c:extLst>
        </c:ser>
        <c:ser>
          <c:idx val="3"/>
          <c:order val="1"/>
          <c:tx>
            <c:v>Teórico LLT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'Prueba Modelo completo'!$J$19:$J$26</c:f>
              <c:numCache>
                <c:formatCode>0.00</c:formatCode>
                <c:ptCount val="8"/>
                <c:pt idx="0">
                  <c:v>3</c:v>
                </c:pt>
                <c:pt idx="1">
                  <c:v>4.5</c:v>
                </c:pt>
                <c:pt idx="2">
                  <c:v>6</c:v>
                </c:pt>
                <c:pt idx="3">
                  <c:v>7.5</c:v>
                </c:pt>
                <c:pt idx="4">
                  <c:v>9</c:v>
                </c:pt>
                <c:pt idx="5">
                  <c:v>10.5</c:v>
                </c:pt>
                <c:pt idx="6">
                  <c:v>12</c:v>
                </c:pt>
                <c:pt idx="7">
                  <c:v>13.5</c:v>
                </c:pt>
              </c:numCache>
            </c:numRef>
          </c:xVal>
          <c:yVal>
            <c:numRef>
              <c:f>'Prueba Modelo completo'!$M$19:$M$26</c:f>
              <c:numCache>
                <c:formatCode>0.000</c:formatCode>
                <c:ptCount val="8"/>
                <c:pt idx="0">
                  <c:v>0.45437466530274773</c:v>
                </c:pt>
                <c:pt idx="1">
                  <c:v>0.56189351653387587</c:v>
                </c:pt>
                <c:pt idx="2">
                  <c:v>0.66941236776500412</c:v>
                </c:pt>
                <c:pt idx="3">
                  <c:v>0.77693121899613227</c:v>
                </c:pt>
                <c:pt idx="4">
                  <c:v>0.88445007022726052</c:v>
                </c:pt>
                <c:pt idx="5">
                  <c:v>0.99196892145838877</c:v>
                </c:pt>
                <c:pt idx="6">
                  <c:v>1.0994877726895171</c:v>
                </c:pt>
                <c:pt idx="7">
                  <c:v>1.2070066239206449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6FF-474B-974F-367DFB5A2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8748832"/>
        <c:axId val="1037070128"/>
      </c:scatterChart>
      <c:valAx>
        <c:axId val="828748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>
                    <a:latin typeface="Symbol" panose="05050102010706020507" pitchFamily="18" charset="2"/>
                  </a:rPr>
                  <a:t>a</a:t>
                </a:r>
                <a:r>
                  <a:rPr lang="en-US" sz="1800" b="1"/>
                  <a:t> [deg]</a:t>
                </a:r>
              </a:p>
            </c:rich>
          </c:tx>
          <c:layout>
            <c:manualLayout>
              <c:xMode val="edge"/>
              <c:yMode val="edge"/>
              <c:x val="0.42867799646982602"/>
              <c:y val="0.946346805895101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37070128"/>
        <c:crosses val="autoZero"/>
        <c:crossBetween val="midCat"/>
      </c:valAx>
      <c:valAx>
        <c:axId val="103707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c</a:t>
                </a:r>
                <a:r>
                  <a:rPr lang="en-US" sz="2400" b="1" baseline="-25000"/>
                  <a:t>l</a:t>
                </a:r>
              </a:p>
            </c:rich>
          </c:tx>
          <c:layout>
            <c:manualLayout>
              <c:xMode val="edge"/>
              <c:yMode val="edge"/>
              <c:x val="3.4320900201707912E-5"/>
              <c:y val="0.468469552027961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0" sourceLinked="1"/>
        <c:majorTickMark val="out"/>
        <c:minorTickMark val="none"/>
        <c:tickLblPos val="low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287488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1"/>
              <a:t>c</a:t>
            </a:r>
            <a:r>
              <a:rPr lang="en-US" sz="2800" b="1" baseline="-25000"/>
              <a:t>d</a:t>
            </a:r>
            <a:r>
              <a:rPr lang="en-US" sz="2800" b="1"/>
              <a:t> vs. </a:t>
            </a:r>
            <a:r>
              <a:rPr lang="en-US" sz="2800" b="1">
                <a:latin typeface="Symbol" panose="05050102010706020507" pitchFamily="18" charset="2"/>
              </a:rPr>
              <a:t>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2698808386952118"/>
          <c:y val="9.1527541598297957E-2"/>
          <c:w val="0.69406747639604294"/>
          <c:h val="0.80368499851468489"/>
        </c:manualLayout>
      </c:layout>
      <c:scatterChart>
        <c:scatterStyle val="smoothMarker"/>
        <c:varyColors val="0"/>
        <c:ser>
          <c:idx val="2"/>
          <c:order val="0"/>
          <c:tx>
            <c:v>Modelo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'Prueba Modelo completo'!$B$19:$B$26</c:f>
              <c:numCache>
                <c:formatCode>0.00</c:formatCode>
                <c:ptCount val="8"/>
                <c:pt idx="0">
                  <c:v>3</c:v>
                </c:pt>
                <c:pt idx="1">
                  <c:v>4.5</c:v>
                </c:pt>
                <c:pt idx="2">
                  <c:v>6</c:v>
                </c:pt>
                <c:pt idx="3">
                  <c:v>7.5</c:v>
                </c:pt>
                <c:pt idx="4">
                  <c:v>9</c:v>
                </c:pt>
                <c:pt idx="5">
                  <c:v>10.5</c:v>
                </c:pt>
                <c:pt idx="6">
                  <c:v>12</c:v>
                </c:pt>
                <c:pt idx="7">
                  <c:v>13.5</c:v>
                </c:pt>
              </c:numCache>
            </c:numRef>
          </c:xVal>
          <c:yVal>
            <c:numRef>
              <c:f>'Prueba Modelo completo'!$F$19:$F$26</c:f>
              <c:numCache>
                <c:formatCode>0.0000</c:formatCode>
                <c:ptCount val="8"/>
                <c:pt idx="0">
                  <c:v>0.23480900021867421</c:v>
                </c:pt>
                <c:pt idx="1">
                  <c:v>0.21395113478875163</c:v>
                </c:pt>
                <c:pt idx="2">
                  <c:v>0.18519256275658558</c:v>
                </c:pt>
                <c:pt idx="3">
                  <c:v>0.17191937566481669</c:v>
                </c:pt>
                <c:pt idx="4">
                  <c:v>0.1453730014812788</c:v>
                </c:pt>
                <c:pt idx="5">
                  <c:v>0.14347683189674038</c:v>
                </c:pt>
                <c:pt idx="6">
                  <c:v>0.12735939042816383</c:v>
                </c:pt>
                <c:pt idx="7">
                  <c:v>0.14347683189674038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AA-457B-BAC2-5255DA2E2A9B}"/>
            </c:ext>
          </c:extLst>
        </c:ser>
        <c:ser>
          <c:idx val="3"/>
          <c:order val="1"/>
          <c:tx>
            <c:v>Teórico LLT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'Prueba Modelo completo'!$J$19:$J$26</c:f>
              <c:numCache>
                <c:formatCode>0.00</c:formatCode>
                <c:ptCount val="8"/>
                <c:pt idx="0">
                  <c:v>3</c:v>
                </c:pt>
                <c:pt idx="1">
                  <c:v>4.5</c:v>
                </c:pt>
                <c:pt idx="2">
                  <c:v>6</c:v>
                </c:pt>
                <c:pt idx="3">
                  <c:v>7.5</c:v>
                </c:pt>
                <c:pt idx="4">
                  <c:v>9</c:v>
                </c:pt>
                <c:pt idx="5">
                  <c:v>10.5</c:v>
                </c:pt>
                <c:pt idx="6">
                  <c:v>12</c:v>
                </c:pt>
                <c:pt idx="7">
                  <c:v>13.5</c:v>
                </c:pt>
              </c:numCache>
            </c:numRef>
          </c:xVal>
          <c:yVal>
            <c:numRef>
              <c:f>'Prueba Modelo completo'!$N$19:$N$26</c:f>
              <c:numCache>
                <c:formatCode>0.0000</c:formatCode>
                <c:ptCount val="8"/>
                <c:pt idx="0">
                  <c:v>3.0496587647810443E-2</c:v>
                </c:pt>
                <c:pt idx="1">
                  <c:v>3.8205944904989048E-2</c:v>
                </c:pt>
                <c:pt idx="2">
                  <c:v>4.7672622783661231E-2</c:v>
                </c:pt>
                <c:pt idx="3">
                  <c:v>5.8386621283826975E-2</c:v>
                </c:pt>
                <c:pt idx="4">
                  <c:v>6.9837940405486298E-2</c:v>
                </c:pt>
                <c:pt idx="5">
                  <c:v>8.2606580148639183E-2</c:v>
                </c:pt>
                <c:pt idx="6">
                  <c:v>9.9362540513285663E-2</c:v>
                </c:pt>
                <c:pt idx="7">
                  <c:v>0.12457582149942564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DAA-457B-BAC2-5255DA2E2A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8748832"/>
        <c:axId val="1037070128"/>
      </c:scatterChart>
      <c:valAx>
        <c:axId val="828748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>
                    <a:latin typeface="Symbol" panose="05050102010706020507" pitchFamily="18" charset="2"/>
                  </a:rPr>
                  <a:t>a</a:t>
                </a:r>
                <a:r>
                  <a:rPr lang="en-US" sz="1800" b="1"/>
                  <a:t> [deg]</a:t>
                </a:r>
              </a:p>
            </c:rich>
          </c:tx>
          <c:layout>
            <c:manualLayout>
              <c:xMode val="edge"/>
              <c:yMode val="edge"/>
              <c:x val="0.42867799646982602"/>
              <c:y val="0.946346805895101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37070128"/>
        <c:crosses val="autoZero"/>
        <c:crossBetween val="midCat"/>
      </c:valAx>
      <c:valAx>
        <c:axId val="103707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c</a:t>
                </a:r>
                <a:r>
                  <a:rPr lang="en-US" sz="2400" b="1" baseline="-25000"/>
                  <a:t>d</a:t>
                </a:r>
              </a:p>
            </c:rich>
          </c:tx>
          <c:layout>
            <c:manualLayout>
              <c:xMode val="edge"/>
              <c:yMode val="edge"/>
              <c:x val="3.4320900201707912E-5"/>
              <c:y val="0.468469552027961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00" sourceLinked="1"/>
        <c:majorTickMark val="out"/>
        <c:minorTickMark val="none"/>
        <c:tickLblPos val="low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287488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1"/>
              <a:t>c</a:t>
            </a:r>
            <a:r>
              <a:rPr lang="en-US" sz="2800" b="1" baseline="-25000"/>
              <a:t>l</a:t>
            </a:r>
            <a:r>
              <a:rPr lang="en-US" sz="2800" b="1"/>
              <a:t>/c</a:t>
            </a:r>
            <a:r>
              <a:rPr lang="en-US" sz="2800" b="1" baseline="-25000"/>
              <a:t>d</a:t>
            </a:r>
            <a:r>
              <a:rPr lang="en-US" sz="2800" b="1"/>
              <a:t> vs. </a:t>
            </a:r>
            <a:r>
              <a:rPr lang="en-US" sz="2800" b="1">
                <a:latin typeface="Symbol" panose="05050102010706020507" pitchFamily="18" charset="2"/>
              </a:rPr>
              <a:t>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4611741319824742"/>
          <c:y val="0.13756160186007918"/>
          <c:w val="0.67493814706731659"/>
          <c:h val="0.75765093825290364"/>
        </c:manualLayout>
      </c:layout>
      <c:scatterChart>
        <c:scatterStyle val="smoothMarker"/>
        <c:varyColors val="0"/>
        <c:ser>
          <c:idx val="2"/>
          <c:order val="0"/>
          <c:tx>
            <c:v>Modelo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'Prueba Modelo completo'!$B$19:$B$26</c:f>
              <c:numCache>
                <c:formatCode>0.00</c:formatCode>
                <c:ptCount val="8"/>
                <c:pt idx="0">
                  <c:v>3</c:v>
                </c:pt>
                <c:pt idx="1">
                  <c:v>4.5</c:v>
                </c:pt>
                <c:pt idx="2">
                  <c:v>6</c:v>
                </c:pt>
                <c:pt idx="3">
                  <c:v>7.5</c:v>
                </c:pt>
                <c:pt idx="4">
                  <c:v>9</c:v>
                </c:pt>
                <c:pt idx="5">
                  <c:v>10.5</c:v>
                </c:pt>
                <c:pt idx="6">
                  <c:v>12</c:v>
                </c:pt>
                <c:pt idx="7">
                  <c:v>13.5</c:v>
                </c:pt>
              </c:numCache>
            </c:numRef>
          </c:xVal>
          <c:yVal>
            <c:numRef>
              <c:f>'Prueba Modelo completo'!$G$19:$G$26</c:f>
              <c:numCache>
                <c:formatCode>0.00</c:formatCode>
                <c:ptCount val="8"/>
                <c:pt idx="0">
                  <c:v>4.8721399730821</c:v>
                </c:pt>
                <c:pt idx="1">
                  <c:v>5.9084194977843421</c:v>
                </c:pt>
                <c:pt idx="2">
                  <c:v>7.8156996587030712</c:v>
                </c:pt>
                <c:pt idx="3">
                  <c:v>9.3014705882352917</c:v>
                </c:pt>
                <c:pt idx="4">
                  <c:v>11.34782608695652</c:v>
                </c:pt>
                <c:pt idx="5">
                  <c:v>11.607929515418499</c:v>
                </c:pt>
                <c:pt idx="6">
                  <c:v>13.325062034739453</c:v>
                </c:pt>
                <c:pt idx="7">
                  <c:v>11.651982378854624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AB-4922-BD03-77BB26A918AC}"/>
            </c:ext>
          </c:extLst>
        </c:ser>
        <c:ser>
          <c:idx val="3"/>
          <c:order val="1"/>
          <c:tx>
            <c:v>Teórico LLT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'Prueba Modelo completo'!$J$19:$J$26</c:f>
              <c:numCache>
                <c:formatCode>0.00</c:formatCode>
                <c:ptCount val="8"/>
                <c:pt idx="0">
                  <c:v>3</c:v>
                </c:pt>
                <c:pt idx="1">
                  <c:v>4.5</c:v>
                </c:pt>
                <c:pt idx="2">
                  <c:v>6</c:v>
                </c:pt>
                <c:pt idx="3">
                  <c:v>7.5</c:v>
                </c:pt>
                <c:pt idx="4">
                  <c:v>9</c:v>
                </c:pt>
                <c:pt idx="5">
                  <c:v>10.5</c:v>
                </c:pt>
                <c:pt idx="6">
                  <c:v>12</c:v>
                </c:pt>
                <c:pt idx="7">
                  <c:v>13.5</c:v>
                </c:pt>
              </c:numCache>
            </c:numRef>
          </c:xVal>
          <c:yVal>
            <c:numRef>
              <c:f>'Prueba Modelo completo'!$O$19:$O$26</c:f>
              <c:numCache>
                <c:formatCode>0.00</c:formatCode>
                <c:ptCount val="8"/>
                <c:pt idx="0">
                  <c:v>14.89919693803416</c:v>
                </c:pt>
                <c:pt idx="1">
                  <c:v>14.706965576461954</c:v>
                </c:pt>
                <c:pt idx="2">
                  <c:v>14.041861527166297</c:v>
                </c:pt>
                <c:pt idx="3">
                  <c:v>13.306665155692803</c:v>
                </c:pt>
                <c:pt idx="4">
                  <c:v>12.664320641359868</c:v>
                </c:pt>
                <c:pt idx="5">
                  <c:v>12.008352357324043</c:v>
                </c:pt>
                <c:pt idx="6">
                  <c:v>11.065415266254245</c:v>
                </c:pt>
                <c:pt idx="7">
                  <c:v>9.6889316834744683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3AB-4922-BD03-77BB26A91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8748832"/>
        <c:axId val="1037070128"/>
      </c:scatterChart>
      <c:valAx>
        <c:axId val="828748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>
                    <a:latin typeface="Symbol" panose="05050102010706020507" pitchFamily="18" charset="2"/>
                  </a:rPr>
                  <a:t>a</a:t>
                </a:r>
                <a:r>
                  <a:rPr lang="en-US" sz="1800" b="1"/>
                  <a:t> [deg]</a:t>
                </a:r>
              </a:p>
            </c:rich>
          </c:tx>
          <c:layout>
            <c:manualLayout>
              <c:xMode val="edge"/>
              <c:yMode val="edge"/>
              <c:x val="0.42867799646982602"/>
              <c:y val="0.946346805895101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37070128"/>
        <c:crosses val="autoZero"/>
        <c:crossBetween val="midCat"/>
      </c:valAx>
      <c:valAx>
        <c:axId val="103707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</a:t>
                </a:r>
                <a:r>
                  <a:rPr lang="en-US" sz="2400" b="1" i="0" u="none" strike="noStrike" kern="1200" baseline="-25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</a:t>
                </a:r>
                <a:r>
                  <a:rPr lang="en-US" sz="2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/c</a:t>
                </a:r>
                <a:r>
                  <a:rPr lang="en-US" sz="2400" b="1" i="0" u="none" strike="noStrike" kern="1200" baseline="-25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</a:t>
                </a:r>
                <a:r>
                  <a:rPr lang="en-US" sz="2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  <a:endParaRPr lang="en-US" sz="2400" b="1" baseline="-25000"/>
              </a:p>
            </c:rich>
          </c:tx>
          <c:layout>
            <c:manualLayout>
              <c:xMode val="edge"/>
              <c:yMode val="edge"/>
              <c:x val="3.4320900201707912E-5"/>
              <c:y val="0.468469552027961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1"/>
        <c:majorTickMark val="out"/>
        <c:minorTickMark val="none"/>
        <c:tickLblPos val="low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287488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'Prueba Modelo completo'!$V$13:$V$26</c:f>
              <c:numCache>
                <c:formatCode>0.00</c:formatCode>
                <c:ptCount val="14"/>
                <c:pt idx="0">
                  <c:v>-6</c:v>
                </c:pt>
                <c:pt idx="1">
                  <c:v>-4.5</c:v>
                </c:pt>
                <c:pt idx="2">
                  <c:v>-3</c:v>
                </c:pt>
                <c:pt idx="3">
                  <c:v>-1.5</c:v>
                </c:pt>
                <c:pt idx="4">
                  <c:v>0</c:v>
                </c:pt>
                <c:pt idx="5" formatCode="General">
                  <c:v>0.49305696186143499</c:v>
                </c:pt>
                <c:pt idx="6" formatCode="General">
                  <c:v>0.4824778581511453</c:v>
                </c:pt>
                <c:pt idx="7" formatCode="General">
                  <c:v>0.46357583320745521</c:v>
                </c:pt>
                <c:pt idx="8" formatCode="General">
                  <c:v>0.45858622240338764</c:v>
                </c:pt>
                <c:pt idx="9" formatCode="General">
                  <c:v>0.45055846414798456</c:v>
                </c:pt>
                <c:pt idx="10" formatCode="General">
                  <c:v>0.45746312003220407</c:v>
                </c:pt>
                <c:pt idx="11" formatCode="General">
                  <c:v>0.45454402785318132</c:v>
                </c:pt>
                <c:pt idx="12" formatCode="General">
                  <c:v>0.43644494736615347</c:v>
                </c:pt>
                <c:pt idx="13" formatCode="General">
                  <c:v>0.41973809382176219</c:v>
                </c:pt>
              </c:numCache>
            </c:numRef>
          </c:xVal>
          <c:yVal>
            <c:numRef>
              <c:f>'Prueba Modelo completo'!$W$13:$W$26</c:f>
              <c:numCache>
                <c:formatCode>General</c:formatCode>
                <c:ptCount val="14"/>
                <c:pt idx="0">
                  <c:v>0.30305521380638545</c:v>
                </c:pt>
                <c:pt idx="1">
                  <c:v>0.25627185526053159</c:v>
                </c:pt>
                <c:pt idx="2">
                  <c:v>0.52730715109906323</c:v>
                </c:pt>
                <c:pt idx="3">
                  <c:v>0.49656907326832433</c:v>
                </c:pt>
                <c:pt idx="4">
                  <c:v>0.50960746568451931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38F-4B13-8788-DC324E6572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839615"/>
        <c:axId val="904838175"/>
      </c:scatterChart>
      <c:valAx>
        <c:axId val="904839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04838175"/>
        <c:crosses val="autoZero"/>
        <c:crossBetween val="midCat"/>
      </c:valAx>
      <c:valAx>
        <c:axId val="90483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04839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1"/>
              <a:t>c</a:t>
            </a:r>
            <a:r>
              <a:rPr lang="en-US" sz="2800" b="1" baseline="-25000"/>
              <a:t>l</a:t>
            </a:r>
            <a:r>
              <a:rPr lang="en-US" sz="2800" b="1"/>
              <a:t> vs. </a:t>
            </a:r>
            <a:r>
              <a:rPr lang="en-US" sz="2800" b="1">
                <a:latin typeface="Symbol" panose="05050102010706020507" pitchFamily="18" charset="2"/>
              </a:rPr>
              <a:t>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0239323180197377"/>
          <c:y val="8.1065223772275707E-2"/>
          <c:w val="0.71866233659111789"/>
          <c:h val="0.81414721372485166"/>
        </c:manualLayout>
      </c:layout>
      <c:scatterChart>
        <c:scatterStyle val="smoothMarker"/>
        <c:varyColors val="0"/>
        <c:ser>
          <c:idx val="2"/>
          <c:order val="0"/>
          <c:tx>
            <c:v>Modelo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3.1666571271061088E-2"/>
                  <c:y val="-0.1252454312348513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'Prueba Modelo'!$B$19:$B$32</c:f>
              <c:numCache>
                <c:formatCode>0.00</c:formatCode>
                <c:ptCount val="14"/>
                <c:pt idx="0">
                  <c:v>-6</c:v>
                </c:pt>
                <c:pt idx="1">
                  <c:v>-4.5</c:v>
                </c:pt>
                <c:pt idx="2">
                  <c:v>-3</c:v>
                </c:pt>
                <c:pt idx="3">
                  <c:v>-1.5</c:v>
                </c:pt>
                <c:pt idx="4">
                  <c:v>0</c:v>
                </c:pt>
                <c:pt idx="5">
                  <c:v>1.5</c:v>
                </c:pt>
                <c:pt idx="6">
                  <c:v>3</c:v>
                </c:pt>
                <c:pt idx="7">
                  <c:v>4.5</c:v>
                </c:pt>
                <c:pt idx="8">
                  <c:v>6</c:v>
                </c:pt>
                <c:pt idx="9">
                  <c:v>7.5</c:v>
                </c:pt>
                <c:pt idx="10">
                  <c:v>9</c:v>
                </c:pt>
                <c:pt idx="11">
                  <c:v>10.5</c:v>
                </c:pt>
                <c:pt idx="12">
                  <c:v>12</c:v>
                </c:pt>
                <c:pt idx="13">
                  <c:v>13.5</c:v>
                </c:pt>
              </c:numCache>
            </c:numRef>
          </c:xVal>
          <c:yVal>
            <c:numRef>
              <c:f>'Prueba Modelo'!$F$19:$F$32</c:f>
              <c:numCache>
                <c:formatCode>0.000</c:formatCode>
                <c:ptCount val="14"/>
                <c:pt idx="0">
                  <c:v>-0.19080717674753783</c:v>
                </c:pt>
                <c:pt idx="1">
                  <c:v>-9.6788768180841145E-2</c:v>
                </c:pt>
                <c:pt idx="2">
                  <c:v>1.5137908684273838E-2</c:v>
                </c:pt>
                <c:pt idx="3">
                  <c:v>0.18078939044464409</c:v>
                </c:pt>
                <c:pt idx="4">
                  <c:v>0.23451419533989931</c:v>
                </c:pt>
                <c:pt idx="5">
                  <c:v>0.34644087220501435</c:v>
                </c:pt>
                <c:pt idx="6">
                  <c:v>0.38673447587645565</c:v>
                </c:pt>
                <c:pt idx="7">
                  <c:v>0.52104648811459375</c:v>
                </c:pt>
                <c:pt idx="8">
                  <c:v>0.63745023205431339</c:v>
                </c:pt>
                <c:pt idx="9">
                  <c:v>0.79862464674007883</c:v>
                </c:pt>
                <c:pt idx="10">
                  <c:v>0.94636786020203068</c:v>
                </c:pt>
                <c:pt idx="11">
                  <c:v>1.0493404029179365</c:v>
                </c:pt>
                <c:pt idx="12">
                  <c:v>1.0493404029179365</c:v>
                </c:pt>
                <c:pt idx="13">
                  <c:v>1.1344046773354239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B7C-4E7C-8286-79FACC1A65B4}"/>
            </c:ext>
          </c:extLst>
        </c:ser>
        <c:ser>
          <c:idx val="3"/>
          <c:order val="1"/>
          <c:tx>
            <c:v>Teórico LLT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'Prueba Modelo'!$K$19:$K$32</c:f>
              <c:numCache>
                <c:formatCode>0.00</c:formatCode>
                <c:ptCount val="14"/>
                <c:pt idx="0">
                  <c:v>-6</c:v>
                </c:pt>
                <c:pt idx="1">
                  <c:v>-4.5</c:v>
                </c:pt>
                <c:pt idx="2">
                  <c:v>-3</c:v>
                </c:pt>
                <c:pt idx="3">
                  <c:v>-1.5</c:v>
                </c:pt>
                <c:pt idx="4">
                  <c:v>0</c:v>
                </c:pt>
                <c:pt idx="5">
                  <c:v>1.5</c:v>
                </c:pt>
                <c:pt idx="6">
                  <c:v>3</c:v>
                </c:pt>
                <c:pt idx="7">
                  <c:v>4.5</c:v>
                </c:pt>
                <c:pt idx="8">
                  <c:v>6</c:v>
                </c:pt>
                <c:pt idx="9">
                  <c:v>7.5</c:v>
                </c:pt>
                <c:pt idx="10">
                  <c:v>9</c:v>
                </c:pt>
                <c:pt idx="11">
                  <c:v>10.5</c:v>
                </c:pt>
                <c:pt idx="12">
                  <c:v>12</c:v>
                </c:pt>
                <c:pt idx="13">
                  <c:v>13.5</c:v>
                </c:pt>
              </c:numCache>
            </c:numRef>
          </c:xVal>
          <c:yVal>
            <c:numRef>
              <c:f>'Prueba Modelo'!$N$19:$N$32</c:f>
              <c:numCache>
                <c:formatCode>0.000</c:formatCode>
                <c:ptCount val="14"/>
                <c:pt idx="0">
                  <c:v>-0.19073844208402144</c:v>
                </c:pt>
                <c:pt idx="1">
                  <c:v>-8.3219590852893224E-2</c:v>
                </c:pt>
                <c:pt idx="2">
                  <c:v>2.4299260378234953E-2</c:v>
                </c:pt>
                <c:pt idx="3">
                  <c:v>0.13181811160936316</c:v>
                </c:pt>
                <c:pt idx="4">
                  <c:v>0.23933696284049136</c:v>
                </c:pt>
                <c:pt idx="5">
                  <c:v>0.34685581407161958</c:v>
                </c:pt>
                <c:pt idx="6">
                  <c:v>0.45437466530274773</c:v>
                </c:pt>
                <c:pt idx="7">
                  <c:v>0.56189351653387587</c:v>
                </c:pt>
                <c:pt idx="8">
                  <c:v>0.66941236776500412</c:v>
                </c:pt>
                <c:pt idx="9">
                  <c:v>0.77693121899613227</c:v>
                </c:pt>
                <c:pt idx="10">
                  <c:v>0.88445007022726052</c:v>
                </c:pt>
                <c:pt idx="11">
                  <c:v>0.99196892145838877</c:v>
                </c:pt>
                <c:pt idx="12">
                  <c:v>1.0994877726895171</c:v>
                </c:pt>
                <c:pt idx="13">
                  <c:v>1.2070066239206449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B7C-4E7C-8286-79FACC1A6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8748832"/>
        <c:axId val="1037070128"/>
      </c:scatterChart>
      <c:valAx>
        <c:axId val="828748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>
                    <a:latin typeface="Symbol" panose="05050102010706020507" pitchFamily="18" charset="2"/>
                  </a:rPr>
                  <a:t>a</a:t>
                </a:r>
                <a:r>
                  <a:rPr lang="en-US" sz="1800" b="1"/>
                  <a:t> [deg]</a:t>
                </a:r>
              </a:p>
            </c:rich>
          </c:tx>
          <c:layout>
            <c:manualLayout>
              <c:xMode val="edge"/>
              <c:yMode val="edge"/>
              <c:x val="0.42867799646982602"/>
              <c:y val="0.946346805895101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37070128"/>
        <c:crosses val="autoZero"/>
        <c:crossBetween val="midCat"/>
      </c:valAx>
      <c:valAx>
        <c:axId val="103707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c</a:t>
                </a:r>
                <a:r>
                  <a:rPr lang="en-US" sz="2400" b="1" baseline="-25000"/>
                  <a:t>l</a:t>
                </a:r>
              </a:p>
            </c:rich>
          </c:tx>
          <c:layout>
            <c:manualLayout>
              <c:xMode val="edge"/>
              <c:yMode val="edge"/>
              <c:x val="3.4320900201707912E-5"/>
              <c:y val="0.468469552027961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0" sourceLinked="1"/>
        <c:majorTickMark val="out"/>
        <c:minorTickMark val="none"/>
        <c:tickLblPos val="low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287488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1"/>
              <a:t>c</a:t>
            </a:r>
            <a:r>
              <a:rPr lang="en-US" sz="2800" b="1" baseline="-25000"/>
              <a:t>d</a:t>
            </a:r>
            <a:r>
              <a:rPr lang="en-US" sz="2800" b="1"/>
              <a:t> vs. </a:t>
            </a:r>
            <a:r>
              <a:rPr lang="en-US" sz="2800" b="1">
                <a:latin typeface="Symbol" panose="05050102010706020507" pitchFamily="18" charset="2"/>
              </a:rPr>
              <a:t>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2698808386952118"/>
          <c:y val="9.1527541598297957E-2"/>
          <c:w val="0.69406747639604294"/>
          <c:h val="0.80368499851468489"/>
        </c:manualLayout>
      </c:layout>
      <c:scatterChart>
        <c:scatterStyle val="smoothMarker"/>
        <c:varyColors val="0"/>
        <c:ser>
          <c:idx val="2"/>
          <c:order val="0"/>
          <c:tx>
            <c:v>Modelo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'Prueba Modelo'!$B$19:$B$32</c:f>
              <c:numCache>
                <c:formatCode>0.00</c:formatCode>
                <c:ptCount val="14"/>
                <c:pt idx="0">
                  <c:v>-6</c:v>
                </c:pt>
                <c:pt idx="1">
                  <c:v>-4.5</c:v>
                </c:pt>
                <c:pt idx="2">
                  <c:v>-3</c:v>
                </c:pt>
                <c:pt idx="3">
                  <c:v>-1.5</c:v>
                </c:pt>
                <c:pt idx="4">
                  <c:v>0</c:v>
                </c:pt>
                <c:pt idx="5">
                  <c:v>1.5</c:v>
                </c:pt>
                <c:pt idx="6">
                  <c:v>3</c:v>
                </c:pt>
                <c:pt idx="7">
                  <c:v>4.5</c:v>
                </c:pt>
                <c:pt idx="8">
                  <c:v>6</c:v>
                </c:pt>
                <c:pt idx="9">
                  <c:v>7.5</c:v>
                </c:pt>
                <c:pt idx="10">
                  <c:v>9</c:v>
                </c:pt>
                <c:pt idx="11">
                  <c:v>10.5</c:v>
                </c:pt>
                <c:pt idx="12">
                  <c:v>12</c:v>
                </c:pt>
                <c:pt idx="13">
                  <c:v>13.5</c:v>
                </c:pt>
              </c:numCache>
            </c:numRef>
          </c:xVal>
          <c:yVal>
            <c:numRef>
              <c:f>'Prueba Modelo'!$G$19:$G$32</c:f>
              <c:numCache>
                <c:formatCode>0.0000</c:formatCode>
                <c:ptCount val="14"/>
                <c:pt idx="0">
                  <c:v>0.1598093909624892</c:v>
                </c:pt>
                <c:pt idx="1">
                  <c:v>0.10474146594485256</c:v>
                </c:pt>
                <c:pt idx="2">
                  <c:v>6.8029515933094892E-2</c:v>
                </c:pt>
                <c:pt idx="3">
                  <c:v>3.445151287356038E-2</c:v>
                </c:pt>
                <c:pt idx="4">
                  <c:v>4.6987300682453242E-2</c:v>
                </c:pt>
                <c:pt idx="5">
                  <c:v>3.445151287356038E-2</c:v>
                </c:pt>
                <c:pt idx="6">
                  <c:v>2.9974445798955751E-2</c:v>
                </c:pt>
                <c:pt idx="7">
                  <c:v>1.8781778112444275E-2</c:v>
                </c:pt>
                <c:pt idx="8">
                  <c:v>2.3258845187048904E-2</c:v>
                </c:pt>
                <c:pt idx="9">
                  <c:v>2.5945085431811649E-2</c:v>
                </c:pt>
                <c:pt idx="10">
                  <c:v>4.4301060437690498E-2</c:v>
                </c:pt>
                <c:pt idx="11">
                  <c:v>5.4150608001820616E-2</c:v>
                </c:pt>
                <c:pt idx="12">
                  <c:v>5.280748787943923E-2</c:v>
                </c:pt>
                <c:pt idx="13">
                  <c:v>6.1313915321187989E-2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AE2-47E1-8A08-48A503446E55}"/>
            </c:ext>
          </c:extLst>
        </c:ser>
        <c:ser>
          <c:idx val="3"/>
          <c:order val="1"/>
          <c:tx>
            <c:v>Teórico LLT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'Prueba Modelo'!$K$19:$K$32</c:f>
              <c:numCache>
                <c:formatCode>0.00</c:formatCode>
                <c:ptCount val="14"/>
                <c:pt idx="0">
                  <c:v>-6</c:v>
                </c:pt>
                <c:pt idx="1">
                  <c:v>-4.5</c:v>
                </c:pt>
                <c:pt idx="2">
                  <c:v>-3</c:v>
                </c:pt>
                <c:pt idx="3">
                  <c:v>-1.5</c:v>
                </c:pt>
                <c:pt idx="4">
                  <c:v>0</c:v>
                </c:pt>
                <c:pt idx="5">
                  <c:v>1.5</c:v>
                </c:pt>
                <c:pt idx="6">
                  <c:v>3</c:v>
                </c:pt>
                <c:pt idx="7">
                  <c:v>4.5</c:v>
                </c:pt>
                <c:pt idx="8">
                  <c:v>6</c:v>
                </c:pt>
                <c:pt idx="9">
                  <c:v>7.5</c:v>
                </c:pt>
                <c:pt idx="10">
                  <c:v>9</c:v>
                </c:pt>
                <c:pt idx="11">
                  <c:v>10.5</c:v>
                </c:pt>
                <c:pt idx="12">
                  <c:v>12</c:v>
                </c:pt>
                <c:pt idx="13">
                  <c:v>13.5</c:v>
                </c:pt>
              </c:numCache>
            </c:numRef>
          </c:xVal>
          <c:yVal>
            <c:numRef>
              <c:f>'Prueba Modelo'!$O$19:$O$32</c:f>
              <c:numCache>
                <c:formatCode>0.0000</c:formatCode>
                <c:ptCount val="14"/>
                <c:pt idx="0">
                  <c:v>3.6754177156103747E-2</c:v>
                </c:pt>
                <c:pt idx="1">
                  <c:v>2.846961068432094E-2</c:v>
                </c:pt>
                <c:pt idx="2">
                  <c:v>2.3722364834031701E-2</c:v>
                </c:pt>
                <c:pt idx="3">
                  <c:v>2.0882439605236034E-2</c:v>
                </c:pt>
                <c:pt idx="4">
                  <c:v>2.0379834997933933E-2</c:v>
                </c:pt>
                <c:pt idx="5">
                  <c:v>2.4394551012125405E-2</c:v>
                </c:pt>
                <c:pt idx="6">
                  <c:v>3.0496587647810443E-2</c:v>
                </c:pt>
                <c:pt idx="7">
                  <c:v>3.8205944904989048E-2</c:v>
                </c:pt>
                <c:pt idx="8">
                  <c:v>4.7672622783661231E-2</c:v>
                </c:pt>
                <c:pt idx="9">
                  <c:v>5.8386621283826975E-2</c:v>
                </c:pt>
                <c:pt idx="10">
                  <c:v>6.9837940405486298E-2</c:v>
                </c:pt>
                <c:pt idx="11">
                  <c:v>8.2606580148639183E-2</c:v>
                </c:pt>
                <c:pt idx="12">
                  <c:v>9.9362540513285663E-2</c:v>
                </c:pt>
                <c:pt idx="13">
                  <c:v>0.12457582149942564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AE2-47E1-8A08-48A503446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8748832"/>
        <c:axId val="1037070128"/>
      </c:scatterChart>
      <c:valAx>
        <c:axId val="828748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>
                    <a:latin typeface="Symbol" panose="05050102010706020507" pitchFamily="18" charset="2"/>
                  </a:rPr>
                  <a:t>a</a:t>
                </a:r>
                <a:r>
                  <a:rPr lang="en-US" sz="1800" b="1"/>
                  <a:t> [deg]</a:t>
                </a:r>
              </a:p>
            </c:rich>
          </c:tx>
          <c:layout>
            <c:manualLayout>
              <c:xMode val="edge"/>
              <c:yMode val="edge"/>
              <c:x val="0.42867799646982602"/>
              <c:y val="0.946346805895101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37070128"/>
        <c:crosses val="autoZero"/>
        <c:crossBetween val="midCat"/>
      </c:valAx>
      <c:valAx>
        <c:axId val="103707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c</a:t>
                </a:r>
                <a:r>
                  <a:rPr lang="en-US" sz="2400" b="1" baseline="-25000"/>
                  <a:t>d</a:t>
                </a:r>
              </a:p>
            </c:rich>
          </c:tx>
          <c:layout>
            <c:manualLayout>
              <c:xMode val="edge"/>
              <c:yMode val="edge"/>
              <c:x val="3.4320900201707912E-5"/>
              <c:y val="0.468469552027961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00" sourceLinked="1"/>
        <c:majorTickMark val="out"/>
        <c:minorTickMark val="none"/>
        <c:tickLblPos val="low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287488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1"/>
              <a:t>c</a:t>
            </a:r>
            <a:r>
              <a:rPr lang="en-US" sz="2800" b="1" baseline="-25000"/>
              <a:t>l</a:t>
            </a:r>
            <a:r>
              <a:rPr lang="en-US" sz="2800" b="1"/>
              <a:t>/c</a:t>
            </a:r>
            <a:r>
              <a:rPr lang="en-US" sz="2800" b="1" baseline="-25000"/>
              <a:t>d</a:t>
            </a:r>
            <a:r>
              <a:rPr lang="en-US" sz="2800" b="1"/>
              <a:t> vs. </a:t>
            </a:r>
            <a:r>
              <a:rPr lang="en-US" sz="2800" b="1">
                <a:latin typeface="Symbol" panose="05050102010706020507" pitchFamily="18" charset="2"/>
              </a:rPr>
              <a:t>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4611741319824742"/>
          <c:y val="0.13756160186007918"/>
          <c:w val="0.67493814706731659"/>
          <c:h val="0.75765093825290364"/>
        </c:manualLayout>
      </c:layout>
      <c:scatterChart>
        <c:scatterStyle val="smoothMarker"/>
        <c:varyColors val="0"/>
        <c:ser>
          <c:idx val="2"/>
          <c:order val="0"/>
          <c:tx>
            <c:v>Modelo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'Prueba Modelo'!$B$19:$B$32</c:f>
              <c:numCache>
                <c:formatCode>0.00</c:formatCode>
                <c:ptCount val="14"/>
                <c:pt idx="0">
                  <c:v>-6</c:v>
                </c:pt>
                <c:pt idx="1">
                  <c:v>-4.5</c:v>
                </c:pt>
                <c:pt idx="2">
                  <c:v>-3</c:v>
                </c:pt>
                <c:pt idx="3">
                  <c:v>-1.5</c:v>
                </c:pt>
                <c:pt idx="4">
                  <c:v>0</c:v>
                </c:pt>
                <c:pt idx="5">
                  <c:v>1.5</c:v>
                </c:pt>
                <c:pt idx="6">
                  <c:v>3</c:v>
                </c:pt>
                <c:pt idx="7">
                  <c:v>4.5</c:v>
                </c:pt>
                <c:pt idx="8">
                  <c:v>6</c:v>
                </c:pt>
                <c:pt idx="9">
                  <c:v>7.5</c:v>
                </c:pt>
                <c:pt idx="10">
                  <c:v>9</c:v>
                </c:pt>
                <c:pt idx="11">
                  <c:v>10.5</c:v>
                </c:pt>
                <c:pt idx="12">
                  <c:v>12</c:v>
                </c:pt>
                <c:pt idx="13">
                  <c:v>13.5</c:v>
                </c:pt>
              </c:numCache>
            </c:numRef>
          </c:xVal>
          <c:yVal>
            <c:numRef>
              <c:f>'Prueba Modelo'!$H$19:$H$32</c:f>
              <c:numCache>
                <c:formatCode>0.00</c:formatCode>
                <c:ptCount val="14"/>
                <c:pt idx="0">
                  <c:v>-1.1939672355820723</c:v>
                </c:pt>
                <c:pt idx="1">
                  <c:v>-0.92407307180330478</c:v>
                </c:pt>
                <c:pt idx="2">
                  <c:v>0.22251971775253471</c:v>
                </c:pt>
                <c:pt idx="3">
                  <c:v>5.2476473561017372</c:v>
                </c:pt>
                <c:pt idx="4">
                  <c:v>4.9910122934019787</c:v>
                </c:pt>
                <c:pt idx="5">
                  <c:v>10.055897210565997</c:v>
                </c:pt>
                <c:pt idx="6">
                  <c:v>12.902139324621931</c:v>
                </c:pt>
                <c:pt idx="7">
                  <c:v>27.742127768475928</c:v>
                </c:pt>
                <c:pt idx="8">
                  <c:v>27.406787694225734</c:v>
                </c:pt>
                <c:pt idx="9">
                  <c:v>30.781345809749137</c:v>
                </c:pt>
                <c:pt idx="10">
                  <c:v>21.362194287269904</c:v>
                </c:pt>
                <c:pt idx="11">
                  <c:v>19.378183212322497</c:v>
                </c:pt>
                <c:pt idx="12">
                  <c:v>19.871053236116932</c:v>
                </c:pt>
                <c:pt idx="13">
                  <c:v>18.501586000387299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049-4E96-B657-C3BFCBB16F93}"/>
            </c:ext>
          </c:extLst>
        </c:ser>
        <c:ser>
          <c:idx val="3"/>
          <c:order val="1"/>
          <c:tx>
            <c:v>Teórico LLT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'Prueba Modelo'!$K$19:$K$32</c:f>
              <c:numCache>
                <c:formatCode>0.00</c:formatCode>
                <c:ptCount val="14"/>
                <c:pt idx="0">
                  <c:v>-6</c:v>
                </c:pt>
                <c:pt idx="1">
                  <c:v>-4.5</c:v>
                </c:pt>
                <c:pt idx="2">
                  <c:v>-3</c:v>
                </c:pt>
                <c:pt idx="3">
                  <c:v>-1.5</c:v>
                </c:pt>
                <c:pt idx="4">
                  <c:v>0</c:v>
                </c:pt>
                <c:pt idx="5">
                  <c:v>1.5</c:v>
                </c:pt>
                <c:pt idx="6">
                  <c:v>3</c:v>
                </c:pt>
                <c:pt idx="7">
                  <c:v>4.5</c:v>
                </c:pt>
                <c:pt idx="8">
                  <c:v>6</c:v>
                </c:pt>
                <c:pt idx="9">
                  <c:v>7.5</c:v>
                </c:pt>
                <c:pt idx="10">
                  <c:v>9</c:v>
                </c:pt>
                <c:pt idx="11">
                  <c:v>10.5</c:v>
                </c:pt>
                <c:pt idx="12">
                  <c:v>12</c:v>
                </c:pt>
                <c:pt idx="13">
                  <c:v>13.5</c:v>
                </c:pt>
              </c:numCache>
            </c:numRef>
          </c:xVal>
          <c:yVal>
            <c:numRef>
              <c:f>'Prueba Modelo'!$P$19:$P$32</c:f>
              <c:numCache>
                <c:formatCode>0.00</c:formatCode>
                <c:ptCount val="14"/>
                <c:pt idx="0">
                  <c:v>-5.1895718212901309</c:v>
                </c:pt>
                <c:pt idx="1">
                  <c:v>-2.923102524149539</c:v>
                </c:pt>
                <c:pt idx="2">
                  <c:v>1.0243186355255631</c:v>
                </c:pt>
                <c:pt idx="3">
                  <c:v>6.3123904151654422</c:v>
                </c:pt>
                <c:pt idx="4">
                  <c:v>11.743812590472634</c:v>
                </c:pt>
                <c:pt idx="5">
                  <c:v>14.218577497048974</c:v>
                </c:pt>
                <c:pt idx="6">
                  <c:v>14.89919693803416</c:v>
                </c:pt>
                <c:pt idx="7">
                  <c:v>14.706965576461954</c:v>
                </c:pt>
                <c:pt idx="8">
                  <c:v>14.041861527166297</c:v>
                </c:pt>
                <c:pt idx="9">
                  <c:v>13.306665155692803</c:v>
                </c:pt>
                <c:pt idx="10">
                  <c:v>12.664320641359868</c:v>
                </c:pt>
                <c:pt idx="11">
                  <c:v>12.008352357324043</c:v>
                </c:pt>
                <c:pt idx="12">
                  <c:v>11.065415266254245</c:v>
                </c:pt>
                <c:pt idx="13">
                  <c:v>9.6889316834744683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049-4E96-B657-C3BFCBB16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8748832"/>
        <c:axId val="1037070128"/>
      </c:scatterChart>
      <c:valAx>
        <c:axId val="828748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>
                    <a:latin typeface="Symbol" panose="05050102010706020507" pitchFamily="18" charset="2"/>
                  </a:rPr>
                  <a:t>a</a:t>
                </a:r>
                <a:r>
                  <a:rPr lang="en-US" sz="1800" b="1"/>
                  <a:t> [deg]</a:t>
                </a:r>
              </a:p>
            </c:rich>
          </c:tx>
          <c:layout>
            <c:manualLayout>
              <c:xMode val="edge"/>
              <c:yMode val="edge"/>
              <c:x val="0.42867799646982602"/>
              <c:y val="0.946346805895101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37070128"/>
        <c:crosses val="autoZero"/>
        <c:crossBetween val="midCat"/>
      </c:valAx>
      <c:valAx>
        <c:axId val="103707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</a:t>
                </a:r>
                <a:r>
                  <a:rPr lang="en-US" sz="2400" b="1" i="0" u="none" strike="noStrike" kern="1200" baseline="-25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</a:t>
                </a:r>
                <a:r>
                  <a:rPr lang="en-US" sz="2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/c</a:t>
                </a:r>
                <a:r>
                  <a:rPr lang="en-US" sz="2400" b="1" i="0" u="none" strike="noStrike" kern="1200" baseline="-25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</a:t>
                </a:r>
                <a:r>
                  <a:rPr lang="en-US" sz="2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  <a:endParaRPr lang="en-US" sz="2400" b="1" baseline="-25000"/>
              </a:p>
            </c:rich>
          </c:tx>
          <c:layout>
            <c:manualLayout>
              <c:xMode val="edge"/>
              <c:yMode val="edge"/>
              <c:x val="3.4320900201707912E-5"/>
              <c:y val="0.468469552027961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1"/>
        <c:majorTickMark val="out"/>
        <c:minorTickMark val="none"/>
        <c:tickLblPos val="low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287488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'Prueba Modelo'!$V$13:$V$26</c:f>
              <c:numCache>
                <c:formatCode>0.00</c:formatCode>
                <c:ptCount val="14"/>
                <c:pt idx="0">
                  <c:v>-6</c:v>
                </c:pt>
                <c:pt idx="1">
                  <c:v>-4.5</c:v>
                </c:pt>
                <c:pt idx="2">
                  <c:v>-3</c:v>
                </c:pt>
                <c:pt idx="3">
                  <c:v>-1.5</c:v>
                </c:pt>
                <c:pt idx="4">
                  <c:v>0</c:v>
                </c:pt>
                <c:pt idx="5">
                  <c:v>1.5</c:v>
                </c:pt>
                <c:pt idx="6">
                  <c:v>3</c:v>
                </c:pt>
                <c:pt idx="7">
                  <c:v>4.5</c:v>
                </c:pt>
                <c:pt idx="8">
                  <c:v>6</c:v>
                </c:pt>
                <c:pt idx="9">
                  <c:v>7.5</c:v>
                </c:pt>
                <c:pt idx="10">
                  <c:v>9</c:v>
                </c:pt>
                <c:pt idx="11">
                  <c:v>10.5</c:v>
                </c:pt>
                <c:pt idx="12">
                  <c:v>12</c:v>
                </c:pt>
                <c:pt idx="13">
                  <c:v>13.5</c:v>
                </c:pt>
              </c:numCache>
            </c:numRef>
          </c:xVal>
          <c:yVal>
            <c:numRef>
              <c:f>'Prueba Modelo'!$W$13:$W$26</c:f>
              <c:numCache>
                <c:formatCode>General</c:formatCode>
                <c:ptCount val="14"/>
                <c:pt idx="0">
                  <c:v>0.30305521380638545</c:v>
                </c:pt>
                <c:pt idx="1">
                  <c:v>0.25627185526053159</c:v>
                </c:pt>
                <c:pt idx="2">
                  <c:v>0.52730715109906323</c:v>
                </c:pt>
                <c:pt idx="3">
                  <c:v>0.49656907326832433</c:v>
                </c:pt>
                <c:pt idx="4">
                  <c:v>0.50960746568451931</c:v>
                </c:pt>
                <c:pt idx="5">
                  <c:v>0.49305696186143499</c:v>
                </c:pt>
                <c:pt idx="6">
                  <c:v>0.4824778581511453</c:v>
                </c:pt>
                <c:pt idx="7">
                  <c:v>0.46357583320745521</c:v>
                </c:pt>
                <c:pt idx="8">
                  <c:v>0.45858622240338764</c:v>
                </c:pt>
                <c:pt idx="9">
                  <c:v>0.45055846414798456</c:v>
                </c:pt>
                <c:pt idx="10">
                  <c:v>0.45746312003220407</c:v>
                </c:pt>
                <c:pt idx="11">
                  <c:v>0.45454402785318132</c:v>
                </c:pt>
                <c:pt idx="12">
                  <c:v>0.43644494736615347</c:v>
                </c:pt>
                <c:pt idx="13">
                  <c:v>0.41973809382176219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48-4B4E-BA06-F6409BF35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839615"/>
        <c:axId val="904838175"/>
      </c:scatterChart>
      <c:valAx>
        <c:axId val="904839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04838175"/>
        <c:crosses val="autoZero"/>
        <c:crossBetween val="midCat"/>
      </c:valAx>
      <c:valAx>
        <c:axId val="90483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04839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1"/>
              <a:t>c</a:t>
            </a:r>
            <a:r>
              <a:rPr lang="en-US" sz="2800" b="1" baseline="-25000"/>
              <a:t>l</a:t>
            </a:r>
            <a:r>
              <a:rPr lang="en-US" sz="2800" b="1"/>
              <a:t> vs. </a:t>
            </a:r>
            <a:r>
              <a:rPr lang="en-US" sz="2800" b="1">
                <a:latin typeface="Symbol" panose="05050102010706020507" pitchFamily="18" charset="2"/>
              </a:rPr>
              <a:t>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0239323180197377"/>
          <c:y val="8.1065223772275707E-2"/>
          <c:w val="0.71866233659111789"/>
          <c:h val="0.8141472137248516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'Airfoil aerodynamic data'!$A$17</c:f>
              <c:strCache>
                <c:ptCount val="1"/>
                <c:pt idx="0">
                  <c:v>Re1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'Airfoil aerodynamic data'!$B$19:$B$32</c:f>
              <c:numCache>
                <c:formatCode>0.00</c:formatCode>
                <c:ptCount val="14"/>
                <c:pt idx="0">
                  <c:v>-6</c:v>
                </c:pt>
                <c:pt idx="1">
                  <c:v>-4.5</c:v>
                </c:pt>
                <c:pt idx="2">
                  <c:v>-3</c:v>
                </c:pt>
                <c:pt idx="3">
                  <c:v>-1.5</c:v>
                </c:pt>
                <c:pt idx="4">
                  <c:v>0</c:v>
                </c:pt>
                <c:pt idx="5">
                  <c:v>1.5</c:v>
                </c:pt>
                <c:pt idx="6">
                  <c:v>3</c:v>
                </c:pt>
                <c:pt idx="7">
                  <c:v>4.5</c:v>
                </c:pt>
                <c:pt idx="8">
                  <c:v>6</c:v>
                </c:pt>
                <c:pt idx="9">
                  <c:v>7.5</c:v>
                </c:pt>
                <c:pt idx="10">
                  <c:v>9</c:v>
                </c:pt>
                <c:pt idx="11">
                  <c:v>10.5</c:v>
                </c:pt>
                <c:pt idx="12">
                  <c:v>12</c:v>
                </c:pt>
                <c:pt idx="13">
                  <c:v>13.5</c:v>
                </c:pt>
              </c:numCache>
            </c:numRef>
          </c:xVal>
          <c:yVal>
            <c:numRef>
              <c:f>'Airfoil aerodynamic data'!$E$19:$E$32</c:f>
              <c:numCache>
                <c:formatCode>0.000</c:formatCode>
                <c:ptCount val="14"/>
                <c:pt idx="0">
                  <c:v>1.6669947362119367E-2</c:v>
                </c:pt>
                <c:pt idx="1">
                  <c:v>0.2686803280718062</c:v>
                </c:pt>
                <c:pt idx="2">
                  <c:v>0.38635054474558994</c:v>
                </c:pt>
                <c:pt idx="3">
                  <c:v>0.60698220100893452</c:v>
                </c:pt>
                <c:pt idx="4">
                  <c:v>0.74328353532273395</c:v>
                </c:pt>
                <c:pt idx="5">
                  <c:v>0.86291492227441413</c:v>
                </c:pt>
                <c:pt idx="6">
                  <c:v>1.0492260986745716</c:v>
                </c:pt>
                <c:pt idx="7">
                  <c:v>1.2257314236852472</c:v>
                </c:pt>
                <c:pt idx="8">
                  <c:v>1.3434016403590312</c:v>
                </c:pt>
                <c:pt idx="9">
                  <c:v>1.5199069653697066</c:v>
                </c:pt>
                <c:pt idx="10">
                  <c:v>1.5689362223171166</c:v>
                </c:pt>
                <c:pt idx="11">
                  <c:v>1.6768005876014185</c:v>
                </c:pt>
                <c:pt idx="12">
                  <c:v>1.696412290380382</c:v>
                </c:pt>
                <c:pt idx="13">
                  <c:v>1.6768005876014185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AB4-40CF-9C5D-2589F306EAF3}"/>
            </c:ext>
          </c:extLst>
        </c:ser>
        <c:ser>
          <c:idx val="1"/>
          <c:order val="1"/>
          <c:tx>
            <c:strRef>
              <c:f>'Airfoil aerodynamic data'!$A$35</c:f>
              <c:strCache>
                <c:ptCount val="1"/>
                <c:pt idx="0">
                  <c:v>Re2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'Airfoil aerodynamic data'!$B$37:$B$50</c:f>
              <c:numCache>
                <c:formatCode>0.00</c:formatCode>
                <c:ptCount val="14"/>
                <c:pt idx="0">
                  <c:v>-6</c:v>
                </c:pt>
                <c:pt idx="1">
                  <c:v>-4.5</c:v>
                </c:pt>
                <c:pt idx="2">
                  <c:v>-3</c:v>
                </c:pt>
                <c:pt idx="3">
                  <c:v>-1.5</c:v>
                </c:pt>
                <c:pt idx="4">
                  <c:v>0</c:v>
                </c:pt>
                <c:pt idx="5">
                  <c:v>1.5</c:v>
                </c:pt>
                <c:pt idx="6">
                  <c:v>3</c:v>
                </c:pt>
                <c:pt idx="7">
                  <c:v>4.5</c:v>
                </c:pt>
                <c:pt idx="8">
                  <c:v>6</c:v>
                </c:pt>
                <c:pt idx="9">
                  <c:v>7.5</c:v>
                </c:pt>
                <c:pt idx="10">
                  <c:v>9</c:v>
                </c:pt>
                <c:pt idx="11">
                  <c:v>10.5</c:v>
                </c:pt>
                <c:pt idx="12">
                  <c:v>12</c:v>
                </c:pt>
                <c:pt idx="13">
                  <c:v>13.5</c:v>
                </c:pt>
              </c:numCache>
            </c:numRef>
          </c:xVal>
          <c:yVal>
            <c:numRef>
              <c:f>'Airfoil aerodynamic data'!$E$37:$E$50</c:f>
              <c:numCache>
                <c:formatCode>0.000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AB4-40CF-9C5D-2589F306EAF3}"/>
            </c:ext>
          </c:extLst>
        </c:ser>
        <c:ser>
          <c:idx val="2"/>
          <c:order val="2"/>
          <c:tx>
            <c:strRef>
              <c:f>'Airfoil aerodynamic data'!$I$17</c:f>
              <c:strCache>
                <c:ptCount val="1"/>
                <c:pt idx="0">
                  <c:v>Teórico Re1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'Airfoil aerodynamic data'!$J$19:$J$32</c:f>
              <c:numCache>
                <c:formatCode>0.00</c:formatCode>
                <c:ptCount val="14"/>
                <c:pt idx="0">
                  <c:v>-6</c:v>
                </c:pt>
                <c:pt idx="1">
                  <c:v>-4.5</c:v>
                </c:pt>
                <c:pt idx="2">
                  <c:v>-3</c:v>
                </c:pt>
                <c:pt idx="3">
                  <c:v>-1.5</c:v>
                </c:pt>
                <c:pt idx="4">
                  <c:v>0</c:v>
                </c:pt>
                <c:pt idx="5">
                  <c:v>1.5</c:v>
                </c:pt>
                <c:pt idx="6">
                  <c:v>3</c:v>
                </c:pt>
                <c:pt idx="7">
                  <c:v>4.5</c:v>
                </c:pt>
                <c:pt idx="8">
                  <c:v>6</c:v>
                </c:pt>
                <c:pt idx="9">
                  <c:v>7.5</c:v>
                </c:pt>
                <c:pt idx="10">
                  <c:v>9</c:v>
                </c:pt>
                <c:pt idx="11">
                  <c:v>10.5</c:v>
                </c:pt>
                <c:pt idx="12">
                  <c:v>12</c:v>
                </c:pt>
                <c:pt idx="13">
                  <c:v>13.5</c:v>
                </c:pt>
              </c:numCache>
            </c:numRef>
          </c:xVal>
          <c:yVal>
            <c:numRef>
              <c:f>'Airfoil aerodynamic data'!$M$19:$M$32</c:f>
              <c:numCache>
                <c:formatCode>0.000</c:formatCode>
                <c:ptCount val="14"/>
                <c:pt idx="0">
                  <c:v>-0.38650000000000001</c:v>
                </c:pt>
                <c:pt idx="1">
                  <c:v>-0.17749999999999999</c:v>
                </c:pt>
                <c:pt idx="2">
                  <c:v>5.1900000000000002E-2</c:v>
                </c:pt>
                <c:pt idx="3">
                  <c:v>0.24529999999999999</c:v>
                </c:pt>
                <c:pt idx="4">
                  <c:v>0.49830000000000002</c:v>
                </c:pt>
                <c:pt idx="5">
                  <c:v>0.6391</c:v>
                </c:pt>
                <c:pt idx="6">
                  <c:v>0.78839999999999999</c:v>
                </c:pt>
                <c:pt idx="7">
                  <c:v>0.94430000000000003</c:v>
                </c:pt>
                <c:pt idx="8">
                  <c:v>1.0892999999999999</c:v>
                </c:pt>
                <c:pt idx="9">
                  <c:v>1.2306999999999999</c:v>
                </c:pt>
                <c:pt idx="10">
                  <c:v>1.3625</c:v>
                </c:pt>
                <c:pt idx="11">
                  <c:v>1.4519</c:v>
                </c:pt>
                <c:pt idx="12">
                  <c:v>1.4712000000000001</c:v>
                </c:pt>
                <c:pt idx="13">
                  <c:v>1.4461999999999999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52-413C-A437-4C55B0418003}"/>
            </c:ext>
          </c:extLst>
        </c:ser>
        <c:ser>
          <c:idx val="3"/>
          <c:order val="3"/>
          <c:tx>
            <c:strRef>
              <c:f>'Airfoil aerodynamic data'!$I$35</c:f>
              <c:strCache>
                <c:ptCount val="1"/>
                <c:pt idx="0">
                  <c:v>Teórico Re2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'Airfoil aerodynamic data'!$J$37:$J$50</c:f>
              <c:numCache>
                <c:formatCode>0.00</c:formatCode>
                <c:ptCount val="14"/>
                <c:pt idx="0">
                  <c:v>-6</c:v>
                </c:pt>
                <c:pt idx="1">
                  <c:v>-4.5</c:v>
                </c:pt>
                <c:pt idx="2">
                  <c:v>-3</c:v>
                </c:pt>
                <c:pt idx="3">
                  <c:v>-1.5</c:v>
                </c:pt>
                <c:pt idx="4">
                  <c:v>0</c:v>
                </c:pt>
                <c:pt idx="5">
                  <c:v>1.5</c:v>
                </c:pt>
                <c:pt idx="6">
                  <c:v>3</c:v>
                </c:pt>
                <c:pt idx="7">
                  <c:v>4.5</c:v>
                </c:pt>
                <c:pt idx="8">
                  <c:v>6</c:v>
                </c:pt>
                <c:pt idx="9">
                  <c:v>7.5</c:v>
                </c:pt>
                <c:pt idx="10">
                  <c:v>9</c:v>
                </c:pt>
                <c:pt idx="11">
                  <c:v>10.5</c:v>
                </c:pt>
                <c:pt idx="12">
                  <c:v>12</c:v>
                </c:pt>
                <c:pt idx="13">
                  <c:v>13.5</c:v>
                </c:pt>
              </c:numCache>
            </c:numRef>
          </c:xVal>
          <c:yVal>
            <c:numRef>
              <c:f>'Airfoil aerodynamic data'!$M$37:$M$50</c:f>
              <c:numCache>
                <c:formatCode>0.000</c:formatCode>
                <c:ptCount val="14"/>
                <c:pt idx="0">
                  <c:v>-0.221</c:v>
                </c:pt>
                <c:pt idx="1">
                  <c:v>-3.2099999999999997E-2</c:v>
                </c:pt>
                <c:pt idx="2">
                  <c:v>0.1386</c:v>
                </c:pt>
                <c:pt idx="3">
                  <c:v>0.30359999999999998</c:v>
                </c:pt>
                <c:pt idx="4">
                  <c:v>0.45390000000000003</c:v>
                </c:pt>
                <c:pt idx="5">
                  <c:v>0.66810000000000003</c:v>
                </c:pt>
                <c:pt idx="6">
                  <c:v>0.81269999999999998</c:v>
                </c:pt>
                <c:pt idx="7">
                  <c:v>0.96160000000000001</c:v>
                </c:pt>
                <c:pt idx="8">
                  <c:v>1.1133</c:v>
                </c:pt>
                <c:pt idx="9">
                  <c:v>1.2509999999999999</c:v>
                </c:pt>
                <c:pt idx="10">
                  <c:v>1.3669</c:v>
                </c:pt>
                <c:pt idx="11">
                  <c:v>1.4389000000000001</c:v>
                </c:pt>
                <c:pt idx="12">
                  <c:v>1.4741</c:v>
                </c:pt>
                <c:pt idx="13">
                  <c:v>1.4652000000000001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952-413C-A437-4C55B0418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8748832"/>
        <c:axId val="1037070128"/>
      </c:scatterChart>
      <c:valAx>
        <c:axId val="828748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>
                    <a:latin typeface="Symbol" panose="05050102010706020507" pitchFamily="18" charset="2"/>
                  </a:rPr>
                  <a:t>a</a:t>
                </a:r>
                <a:r>
                  <a:rPr lang="en-US" sz="1800" b="1"/>
                  <a:t> [deg]</a:t>
                </a:r>
              </a:p>
            </c:rich>
          </c:tx>
          <c:layout>
            <c:manualLayout>
              <c:xMode val="edge"/>
              <c:yMode val="edge"/>
              <c:x val="0.42867799646982602"/>
              <c:y val="0.946346805895101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37070128"/>
        <c:crosses val="autoZero"/>
        <c:crossBetween val="midCat"/>
      </c:valAx>
      <c:valAx>
        <c:axId val="103707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c</a:t>
                </a:r>
                <a:r>
                  <a:rPr lang="en-US" sz="2400" b="1" baseline="-25000"/>
                  <a:t>l</a:t>
                </a:r>
              </a:p>
            </c:rich>
          </c:tx>
          <c:layout>
            <c:manualLayout>
              <c:xMode val="edge"/>
              <c:yMode val="edge"/>
              <c:x val="3.4320900201707912E-5"/>
              <c:y val="0.468469552027961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0" sourceLinked="1"/>
        <c:majorTickMark val="out"/>
        <c:minorTickMark val="none"/>
        <c:tickLblPos val="low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287488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1"/>
              <a:t>c</a:t>
            </a:r>
            <a:r>
              <a:rPr lang="en-US" sz="2800" b="1" baseline="-25000"/>
              <a:t>d</a:t>
            </a:r>
            <a:r>
              <a:rPr lang="en-US" sz="2800" b="1"/>
              <a:t> vs. </a:t>
            </a:r>
            <a:r>
              <a:rPr lang="el-GR" sz="2800" b="1">
                <a:latin typeface="Calibri" panose="020F0502020204030204" pitchFamily="34" charset="0"/>
                <a:cs typeface="Calibri" panose="020F0502020204030204" pitchFamily="34" charset="0"/>
              </a:rPr>
              <a:t>α</a:t>
            </a:r>
            <a:endParaRPr lang="en-US" sz="2800" b="1" baseline="-25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6661504167161905E-2"/>
          <c:y val="8.2346071352371111E-2"/>
          <c:w val="0.73026662647909746"/>
          <c:h val="0.800647348809373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'Airfoil aerodynamic data'!$A$17</c:f>
              <c:strCache>
                <c:ptCount val="1"/>
                <c:pt idx="0">
                  <c:v>Re1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'Airfoil aerodynamic data'!$B$19:$B$32</c:f>
              <c:numCache>
                <c:formatCode>0.00</c:formatCode>
                <c:ptCount val="14"/>
                <c:pt idx="0">
                  <c:v>-6</c:v>
                </c:pt>
                <c:pt idx="1">
                  <c:v>-4.5</c:v>
                </c:pt>
                <c:pt idx="2">
                  <c:v>-3</c:v>
                </c:pt>
                <c:pt idx="3">
                  <c:v>-1.5</c:v>
                </c:pt>
                <c:pt idx="4">
                  <c:v>0</c:v>
                </c:pt>
                <c:pt idx="5">
                  <c:v>1.5</c:v>
                </c:pt>
                <c:pt idx="6">
                  <c:v>3</c:v>
                </c:pt>
                <c:pt idx="7">
                  <c:v>4.5</c:v>
                </c:pt>
                <c:pt idx="8">
                  <c:v>6</c:v>
                </c:pt>
                <c:pt idx="9">
                  <c:v>7.5</c:v>
                </c:pt>
                <c:pt idx="10">
                  <c:v>9</c:v>
                </c:pt>
                <c:pt idx="11">
                  <c:v>10.5</c:v>
                </c:pt>
                <c:pt idx="12">
                  <c:v>12</c:v>
                </c:pt>
                <c:pt idx="13">
                  <c:v>13.5</c:v>
                </c:pt>
              </c:numCache>
            </c:numRef>
          </c:xVal>
          <c:yVal>
            <c:numRef>
              <c:f>'Airfoil aerodynamic data'!$Q$19:$Q$32</c:f>
              <c:numCache>
                <c:formatCode>General</c:formatCode>
                <c:ptCount val="1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23B-4293-AEF5-F7247EB89C67}"/>
            </c:ext>
          </c:extLst>
        </c:ser>
        <c:ser>
          <c:idx val="1"/>
          <c:order val="1"/>
          <c:tx>
            <c:strRef>
              <c:f>'Airfoil aerodynamic data'!$A$35</c:f>
              <c:strCache>
                <c:ptCount val="1"/>
                <c:pt idx="0">
                  <c:v>Re2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'Airfoil aerodynamic data'!$B$37:$B$50</c:f>
              <c:numCache>
                <c:formatCode>0.00</c:formatCode>
                <c:ptCount val="14"/>
                <c:pt idx="0">
                  <c:v>-6</c:v>
                </c:pt>
                <c:pt idx="1">
                  <c:v>-4.5</c:v>
                </c:pt>
                <c:pt idx="2">
                  <c:v>-3</c:v>
                </c:pt>
                <c:pt idx="3">
                  <c:v>-1.5</c:v>
                </c:pt>
                <c:pt idx="4">
                  <c:v>0</c:v>
                </c:pt>
                <c:pt idx="5">
                  <c:v>1.5</c:v>
                </c:pt>
                <c:pt idx="6">
                  <c:v>3</c:v>
                </c:pt>
                <c:pt idx="7">
                  <c:v>4.5</c:v>
                </c:pt>
                <c:pt idx="8">
                  <c:v>6</c:v>
                </c:pt>
                <c:pt idx="9">
                  <c:v>7.5</c:v>
                </c:pt>
                <c:pt idx="10">
                  <c:v>9</c:v>
                </c:pt>
                <c:pt idx="11">
                  <c:v>10.5</c:v>
                </c:pt>
                <c:pt idx="12">
                  <c:v>12</c:v>
                </c:pt>
                <c:pt idx="13">
                  <c:v>13.5</c:v>
                </c:pt>
              </c:numCache>
            </c:numRef>
          </c:xVal>
          <c:yVal>
            <c:numRef>
              <c:f>'Airfoil aerodynamic data'!$F$37:$F$50</c:f>
              <c:numCache>
                <c:formatCode>0.0000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23B-4293-AEF5-F7247EB89C67}"/>
            </c:ext>
          </c:extLst>
        </c:ser>
        <c:ser>
          <c:idx val="2"/>
          <c:order val="2"/>
          <c:tx>
            <c:strRef>
              <c:f>'Airfoil aerodynamic data'!$I$17</c:f>
              <c:strCache>
                <c:ptCount val="1"/>
                <c:pt idx="0">
                  <c:v>Teórico Re1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'Airfoil aerodynamic data'!$J$19:$J$32</c:f>
              <c:numCache>
                <c:formatCode>0.00</c:formatCode>
                <c:ptCount val="14"/>
                <c:pt idx="0">
                  <c:v>-6</c:v>
                </c:pt>
                <c:pt idx="1">
                  <c:v>-4.5</c:v>
                </c:pt>
                <c:pt idx="2">
                  <c:v>-3</c:v>
                </c:pt>
                <c:pt idx="3">
                  <c:v>-1.5</c:v>
                </c:pt>
                <c:pt idx="4">
                  <c:v>0</c:v>
                </c:pt>
                <c:pt idx="5">
                  <c:v>1.5</c:v>
                </c:pt>
                <c:pt idx="6">
                  <c:v>3</c:v>
                </c:pt>
                <c:pt idx="7">
                  <c:v>4.5</c:v>
                </c:pt>
                <c:pt idx="8">
                  <c:v>6</c:v>
                </c:pt>
                <c:pt idx="9">
                  <c:v>7.5</c:v>
                </c:pt>
                <c:pt idx="10">
                  <c:v>9</c:v>
                </c:pt>
                <c:pt idx="11">
                  <c:v>10.5</c:v>
                </c:pt>
                <c:pt idx="12">
                  <c:v>12</c:v>
                </c:pt>
                <c:pt idx="13">
                  <c:v>13.5</c:v>
                </c:pt>
              </c:numCache>
            </c:numRef>
          </c:xVal>
          <c:yVal>
            <c:numRef>
              <c:f>'Airfoil aerodynamic data'!$N$19:$N$32</c:f>
              <c:numCache>
                <c:formatCode>0.0000</c:formatCode>
                <c:ptCount val="14"/>
                <c:pt idx="0">
                  <c:v>3.4759999999999999E-2</c:v>
                </c:pt>
                <c:pt idx="1">
                  <c:v>2.809E-2</c:v>
                </c:pt>
                <c:pt idx="2">
                  <c:v>2.3689999999999999E-2</c:v>
                </c:pt>
                <c:pt idx="3">
                  <c:v>1.993E-2</c:v>
                </c:pt>
                <c:pt idx="4">
                  <c:v>1.7239999999999998E-2</c:v>
                </c:pt>
                <c:pt idx="5">
                  <c:v>1.78E-2</c:v>
                </c:pt>
                <c:pt idx="6">
                  <c:v>1.9179999999999999E-2</c:v>
                </c:pt>
                <c:pt idx="7">
                  <c:v>2.0899999999999998E-2</c:v>
                </c:pt>
                <c:pt idx="8">
                  <c:v>2.3109999999999999E-2</c:v>
                </c:pt>
                <c:pt idx="9">
                  <c:v>2.53E-2</c:v>
                </c:pt>
                <c:pt idx="10">
                  <c:v>2.6960000000000001E-2</c:v>
                </c:pt>
                <c:pt idx="11">
                  <c:v>2.8670000000000001E-2</c:v>
                </c:pt>
                <c:pt idx="12">
                  <c:v>3.3099999999999997E-2</c:v>
                </c:pt>
                <c:pt idx="13">
                  <c:v>4.4720000000000003E-2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717-41C3-B80A-D8A85D38C82C}"/>
            </c:ext>
          </c:extLst>
        </c:ser>
        <c:ser>
          <c:idx val="3"/>
          <c:order val="3"/>
          <c:tx>
            <c:strRef>
              <c:f>'Airfoil aerodynamic data'!$I$35</c:f>
              <c:strCache>
                <c:ptCount val="1"/>
                <c:pt idx="0">
                  <c:v>Teórico Re2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'Airfoil aerodynamic data'!$J$37:$J$50</c:f>
              <c:numCache>
                <c:formatCode>0.00</c:formatCode>
                <c:ptCount val="14"/>
                <c:pt idx="0">
                  <c:v>-6</c:v>
                </c:pt>
                <c:pt idx="1">
                  <c:v>-4.5</c:v>
                </c:pt>
                <c:pt idx="2">
                  <c:v>-3</c:v>
                </c:pt>
                <c:pt idx="3">
                  <c:v>-1.5</c:v>
                </c:pt>
                <c:pt idx="4">
                  <c:v>0</c:v>
                </c:pt>
                <c:pt idx="5">
                  <c:v>1.5</c:v>
                </c:pt>
                <c:pt idx="6">
                  <c:v>3</c:v>
                </c:pt>
                <c:pt idx="7">
                  <c:v>4.5</c:v>
                </c:pt>
                <c:pt idx="8">
                  <c:v>6</c:v>
                </c:pt>
                <c:pt idx="9">
                  <c:v>7.5</c:v>
                </c:pt>
                <c:pt idx="10">
                  <c:v>9</c:v>
                </c:pt>
                <c:pt idx="11">
                  <c:v>10.5</c:v>
                </c:pt>
                <c:pt idx="12">
                  <c:v>12</c:v>
                </c:pt>
                <c:pt idx="13">
                  <c:v>13.5</c:v>
                </c:pt>
              </c:numCache>
            </c:numRef>
          </c:xVal>
          <c:yVal>
            <c:numRef>
              <c:f>'Airfoil aerodynamic data'!$N$37:$N$50</c:f>
              <c:numCache>
                <c:formatCode>0.0000</c:formatCode>
                <c:ptCount val="14"/>
                <c:pt idx="0">
                  <c:v>2.002E-2</c:v>
                </c:pt>
                <c:pt idx="1">
                  <c:v>1.651E-2</c:v>
                </c:pt>
                <c:pt idx="2">
                  <c:v>1.41E-2</c:v>
                </c:pt>
                <c:pt idx="3">
                  <c:v>1.2460000000000001E-2</c:v>
                </c:pt>
                <c:pt idx="4">
                  <c:v>1.102E-2</c:v>
                </c:pt>
                <c:pt idx="5">
                  <c:v>1.171E-2</c:v>
                </c:pt>
                <c:pt idx="6">
                  <c:v>1.2800000000000001E-2</c:v>
                </c:pt>
                <c:pt idx="7">
                  <c:v>1.409E-2</c:v>
                </c:pt>
                <c:pt idx="8">
                  <c:v>1.5599999999999999E-2</c:v>
                </c:pt>
                <c:pt idx="9">
                  <c:v>1.7059999999999999E-2</c:v>
                </c:pt>
                <c:pt idx="10">
                  <c:v>1.8679999999999999E-2</c:v>
                </c:pt>
                <c:pt idx="11">
                  <c:v>2.138E-2</c:v>
                </c:pt>
                <c:pt idx="12">
                  <c:v>2.7789999999999999E-2</c:v>
                </c:pt>
                <c:pt idx="13">
                  <c:v>4.0629999999999999E-2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717-41C3-B80A-D8A85D38C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8576224"/>
        <c:axId val="1037060208"/>
      </c:scatterChart>
      <c:valAx>
        <c:axId val="838576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2400" b="1">
                    <a:latin typeface="Calibri" panose="020F0502020204030204" pitchFamily="34" charset="0"/>
                    <a:cs typeface="Calibri" panose="020F0502020204030204" pitchFamily="34" charset="0"/>
                  </a:rPr>
                  <a:t>α</a:t>
                </a:r>
                <a:r>
                  <a:rPr lang="es-CO" sz="2400" b="1">
                    <a:latin typeface="Calibri" panose="020F0502020204030204" pitchFamily="34" charset="0"/>
                    <a:cs typeface="Calibri" panose="020F0502020204030204" pitchFamily="34" charset="0"/>
                  </a:rPr>
                  <a:t> [deg]</a:t>
                </a:r>
                <a:endParaRPr lang="en-US" sz="2400" b="1" baseline="-25000"/>
              </a:p>
            </c:rich>
          </c:tx>
          <c:layout>
            <c:manualLayout>
              <c:xMode val="edge"/>
              <c:yMode val="edge"/>
              <c:x val="0.44831460005941948"/>
              <c:y val="0.937483411686759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37060208"/>
        <c:crosses val="autoZero"/>
        <c:crossBetween val="midCat"/>
      </c:valAx>
      <c:valAx>
        <c:axId val="103706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c</a:t>
                </a:r>
                <a:r>
                  <a:rPr lang="en-US" sz="2400" b="1" baseline="-25000"/>
                  <a:t>d</a:t>
                </a:r>
              </a:p>
            </c:rich>
          </c:tx>
          <c:layout>
            <c:manualLayout>
              <c:xMode val="edge"/>
              <c:yMode val="edge"/>
              <c:x val="4.2325523947811587E-4"/>
              <c:y val="0.47346278119866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38576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43105587442553"/>
          <c:y val="0.14679741174567121"/>
          <c:w val="0.1756894412557447"/>
          <c:h val="0.520553120488138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1"/>
              <a:t>c</a:t>
            </a:r>
            <a:r>
              <a:rPr lang="en-US" sz="2800" b="1" baseline="-25000"/>
              <a:t>l</a:t>
            </a:r>
            <a:r>
              <a:rPr lang="en-US" sz="2800" b="1"/>
              <a:t>/c</a:t>
            </a:r>
            <a:r>
              <a:rPr lang="en-US" sz="2800" b="1" baseline="-25000"/>
              <a:t>d</a:t>
            </a:r>
            <a:r>
              <a:rPr lang="en-US" sz="2800" b="1"/>
              <a:t> vs. </a:t>
            </a:r>
            <a:r>
              <a:rPr lang="en-US" sz="2800" b="1">
                <a:latin typeface="Symbol" panose="05050102010706020507" pitchFamily="18" charset="2"/>
              </a:rPr>
              <a:t>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012942096828381"/>
          <c:y val="0.10119766949701105"/>
          <c:w val="0.70337912470689445"/>
          <c:h val="0.7889827140975245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'Airfoil aerodynamic data'!$A$17</c:f>
              <c:strCache>
                <c:ptCount val="1"/>
                <c:pt idx="0">
                  <c:v>Re1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38100" cap="rnd">
                <a:solidFill>
                  <a:srgbClr val="FF0000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'Airfoil aerodynamic data'!$B$19:$B$32</c:f>
              <c:numCache>
                <c:formatCode>0.00</c:formatCode>
                <c:ptCount val="14"/>
                <c:pt idx="0">
                  <c:v>-6</c:v>
                </c:pt>
                <c:pt idx="1">
                  <c:v>-4.5</c:v>
                </c:pt>
                <c:pt idx="2">
                  <c:v>-3</c:v>
                </c:pt>
                <c:pt idx="3">
                  <c:v>-1.5</c:v>
                </c:pt>
                <c:pt idx="4">
                  <c:v>0</c:v>
                </c:pt>
                <c:pt idx="5">
                  <c:v>1.5</c:v>
                </c:pt>
                <c:pt idx="6">
                  <c:v>3</c:v>
                </c:pt>
                <c:pt idx="7">
                  <c:v>4.5</c:v>
                </c:pt>
                <c:pt idx="8">
                  <c:v>6</c:v>
                </c:pt>
                <c:pt idx="9">
                  <c:v>7.5</c:v>
                </c:pt>
                <c:pt idx="10">
                  <c:v>9</c:v>
                </c:pt>
                <c:pt idx="11">
                  <c:v>10.5</c:v>
                </c:pt>
                <c:pt idx="12">
                  <c:v>12</c:v>
                </c:pt>
                <c:pt idx="13">
                  <c:v>13.5</c:v>
                </c:pt>
              </c:numCache>
            </c:numRef>
          </c:xVal>
          <c:yVal>
            <c:numRef>
              <c:f>'Airfoil aerodynamic data'!$G$19:$G$32</c:f>
              <c:numCache>
                <c:formatCode>0.00</c:formatCode>
                <c:ptCount val="14"/>
                <c:pt idx="0">
                  <c:v>0.56666666666666687</c:v>
                </c:pt>
                <c:pt idx="1">
                  <c:v>5.4799999999999995</c:v>
                </c:pt>
                <c:pt idx="2">
                  <c:v>6.2539682539682531</c:v>
                </c:pt>
                <c:pt idx="3">
                  <c:v>8.9710144927536231</c:v>
                </c:pt>
                <c:pt idx="4">
                  <c:v>12.633333333333335</c:v>
                </c:pt>
                <c:pt idx="5">
                  <c:v>18.333333333333336</c:v>
                </c:pt>
                <c:pt idx="6">
                  <c:v>12.738095238095235</c:v>
                </c:pt>
                <c:pt idx="7">
                  <c:v>18.115942028985504</c:v>
                </c:pt>
                <c:pt idx="8">
                  <c:v>16.30952380952381</c:v>
                </c:pt>
                <c:pt idx="9">
                  <c:v>13.716814159292035</c:v>
                </c:pt>
                <c:pt idx="10">
                  <c:v>14.678899082568808</c:v>
                </c:pt>
                <c:pt idx="11">
                  <c:v>19</c:v>
                </c:pt>
                <c:pt idx="12">
                  <c:v>21.624999999999996</c:v>
                </c:pt>
                <c:pt idx="13">
                  <c:v>19.88372093023256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B3E-4CC3-AC27-811EDAFFBC1B}"/>
            </c:ext>
          </c:extLst>
        </c:ser>
        <c:ser>
          <c:idx val="1"/>
          <c:order val="1"/>
          <c:tx>
            <c:strRef>
              <c:f>'Airfoil aerodynamic data'!$A$35</c:f>
              <c:strCache>
                <c:ptCount val="1"/>
                <c:pt idx="0">
                  <c:v>Re2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'Airfoil aerodynamic data'!$B$37:$B$50</c:f>
              <c:numCache>
                <c:formatCode>0.00</c:formatCode>
                <c:ptCount val="14"/>
                <c:pt idx="0">
                  <c:v>-6</c:v>
                </c:pt>
                <c:pt idx="1">
                  <c:v>-4.5</c:v>
                </c:pt>
                <c:pt idx="2">
                  <c:v>-3</c:v>
                </c:pt>
                <c:pt idx="3">
                  <c:v>-1.5</c:v>
                </c:pt>
                <c:pt idx="4">
                  <c:v>0</c:v>
                </c:pt>
                <c:pt idx="5">
                  <c:v>1.5</c:v>
                </c:pt>
                <c:pt idx="6">
                  <c:v>3</c:v>
                </c:pt>
                <c:pt idx="7">
                  <c:v>4.5</c:v>
                </c:pt>
                <c:pt idx="8">
                  <c:v>6</c:v>
                </c:pt>
                <c:pt idx="9">
                  <c:v>7.5</c:v>
                </c:pt>
                <c:pt idx="10">
                  <c:v>9</c:v>
                </c:pt>
                <c:pt idx="11">
                  <c:v>10.5</c:v>
                </c:pt>
                <c:pt idx="12">
                  <c:v>12</c:v>
                </c:pt>
                <c:pt idx="13">
                  <c:v>13.5</c:v>
                </c:pt>
              </c:numCache>
            </c:numRef>
          </c:xVal>
          <c:yVal>
            <c:numRef>
              <c:f>'Airfoil aerodynamic data'!$G$37:$G$50</c:f>
              <c:numCache>
                <c:formatCode>0.00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B3E-4CC3-AC27-811EDAFFBC1B}"/>
            </c:ext>
          </c:extLst>
        </c:ser>
        <c:ser>
          <c:idx val="2"/>
          <c:order val="2"/>
          <c:tx>
            <c:strRef>
              <c:f>'Airfoil aerodynamic data'!$I$17</c:f>
              <c:strCache>
                <c:ptCount val="1"/>
                <c:pt idx="0">
                  <c:v>Teórico Re1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'Airfoil aerodynamic data'!$J$19:$J$32</c:f>
              <c:numCache>
                <c:formatCode>0.00</c:formatCode>
                <c:ptCount val="14"/>
                <c:pt idx="0">
                  <c:v>-6</c:v>
                </c:pt>
                <c:pt idx="1">
                  <c:v>-4.5</c:v>
                </c:pt>
                <c:pt idx="2">
                  <c:v>-3</c:v>
                </c:pt>
                <c:pt idx="3">
                  <c:v>-1.5</c:v>
                </c:pt>
                <c:pt idx="4">
                  <c:v>0</c:v>
                </c:pt>
                <c:pt idx="5">
                  <c:v>1.5</c:v>
                </c:pt>
                <c:pt idx="6">
                  <c:v>3</c:v>
                </c:pt>
                <c:pt idx="7">
                  <c:v>4.5</c:v>
                </c:pt>
                <c:pt idx="8">
                  <c:v>6</c:v>
                </c:pt>
                <c:pt idx="9">
                  <c:v>7.5</c:v>
                </c:pt>
                <c:pt idx="10">
                  <c:v>9</c:v>
                </c:pt>
                <c:pt idx="11">
                  <c:v>10.5</c:v>
                </c:pt>
                <c:pt idx="12">
                  <c:v>12</c:v>
                </c:pt>
                <c:pt idx="13">
                  <c:v>13.5</c:v>
                </c:pt>
              </c:numCache>
            </c:numRef>
          </c:xVal>
          <c:yVal>
            <c:numRef>
              <c:f>'Airfoil aerodynamic data'!$O$19:$O$32</c:f>
              <c:numCache>
                <c:formatCode>0.00</c:formatCode>
                <c:ptCount val="14"/>
                <c:pt idx="0">
                  <c:v>-11.119102416570772</c:v>
                </c:pt>
                <c:pt idx="1">
                  <c:v>-6.3189747241011034</c:v>
                </c:pt>
                <c:pt idx="2">
                  <c:v>2.1907978049810048</c:v>
                </c:pt>
                <c:pt idx="3">
                  <c:v>12.308078273958856</c:v>
                </c:pt>
                <c:pt idx="4">
                  <c:v>28.903712296983763</c:v>
                </c:pt>
                <c:pt idx="5">
                  <c:v>35.90449438202247</c:v>
                </c:pt>
                <c:pt idx="6">
                  <c:v>41.105318039624613</c:v>
                </c:pt>
                <c:pt idx="7">
                  <c:v>45.181818181818187</c:v>
                </c:pt>
                <c:pt idx="8">
                  <c:v>47.135439203807877</c:v>
                </c:pt>
                <c:pt idx="9">
                  <c:v>48.644268774703555</c:v>
                </c:pt>
                <c:pt idx="10">
                  <c:v>50.537833827893174</c:v>
                </c:pt>
                <c:pt idx="11">
                  <c:v>50.641785838855945</c:v>
                </c:pt>
                <c:pt idx="12">
                  <c:v>44.447129909365565</c:v>
                </c:pt>
                <c:pt idx="13">
                  <c:v>32.33899821109123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F31-4930-AEF3-A5D1AE0F18EB}"/>
            </c:ext>
          </c:extLst>
        </c:ser>
        <c:ser>
          <c:idx val="3"/>
          <c:order val="3"/>
          <c:tx>
            <c:strRef>
              <c:f>'Airfoil aerodynamic data'!$I$35</c:f>
              <c:strCache>
                <c:ptCount val="1"/>
                <c:pt idx="0">
                  <c:v>Teórico Re2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'Airfoil aerodynamic data'!$J$37:$J$50</c:f>
              <c:numCache>
                <c:formatCode>0.00</c:formatCode>
                <c:ptCount val="14"/>
                <c:pt idx="0">
                  <c:v>-6</c:v>
                </c:pt>
                <c:pt idx="1">
                  <c:v>-4.5</c:v>
                </c:pt>
                <c:pt idx="2">
                  <c:v>-3</c:v>
                </c:pt>
                <c:pt idx="3">
                  <c:v>-1.5</c:v>
                </c:pt>
                <c:pt idx="4">
                  <c:v>0</c:v>
                </c:pt>
                <c:pt idx="5">
                  <c:v>1.5</c:v>
                </c:pt>
                <c:pt idx="6">
                  <c:v>3</c:v>
                </c:pt>
                <c:pt idx="7">
                  <c:v>4.5</c:v>
                </c:pt>
                <c:pt idx="8">
                  <c:v>6</c:v>
                </c:pt>
                <c:pt idx="9">
                  <c:v>7.5</c:v>
                </c:pt>
                <c:pt idx="10">
                  <c:v>9</c:v>
                </c:pt>
                <c:pt idx="11">
                  <c:v>10.5</c:v>
                </c:pt>
                <c:pt idx="12">
                  <c:v>12</c:v>
                </c:pt>
                <c:pt idx="13">
                  <c:v>13.5</c:v>
                </c:pt>
              </c:numCache>
            </c:numRef>
          </c:xVal>
          <c:yVal>
            <c:numRef>
              <c:f>'Airfoil aerodynamic data'!$O$37:$O$50</c:f>
              <c:numCache>
                <c:formatCode>0.00</c:formatCode>
                <c:ptCount val="14"/>
                <c:pt idx="0">
                  <c:v>-11.038961038961039</c:v>
                </c:pt>
                <c:pt idx="1">
                  <c:v>-1.9442761962446999</c:v>
                </c:pt>
                <c:pt idx="2">
                  <c:v>9.8297872340425538</c:v>
                </c:pt>
                <c:pt idx="3">
                  <c:v>24.365971107544137</c:v>
                </c:pt>
                <c:pt idx="4">
                  <c:v>41.188747731397463</c:v>
                </c:pt>
                <c:pt idx="5">
                  <c:v>57.053800170794197</c:v>
                </c:pt>
                <c:pt idx="6">
                  <c:v>63.492187499999993</c:v>
                </c:pt>
                <c:pt idx="7">
                  <c:v>68.246983676366213</c:v>
                </c:pt>
                <c:pt idx="8">
                  <c:v>71.365384615384613</c:v>
                </c:pt>
                <c:pt idx="9">
                  <c:v>73.329425556858141</c:v>
                </c:pt>
                <c:pt idx="10">
                  <c:v>73.174518201284798</c:v>
                </c:pt>
                <c:pt idx="11">
                  <c:v>67.30121608980356</c:v>
                </c:pt>
                <c:pt idx="12">
                  <c:v>53.044260525368841</c:v>
                </c:pt>
                <c:pt idx="13">
                  <c:v>36.062023135614083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F31-4930-AEF3-A5D1AE0F1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6511744"/>
        <c:axId val="934714960"/>
      </c:scatterChart>
      <c:valAx>
        <c:axId val="1036511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 i="0">
                    <a:latin typeface="Symbol" panose="05050102010706020507" pitchFamily="18" charset="2"/>
                  </a:rPr>
                  <a:t>a</a:t>
                </a:r>
                <a:r>
                  <a:rPr lang="en-US" sz="1800" b="1" i="0"/>
                  <a:t> [deg]</a:t>
                </a:r>
              </a:p>
            </c:rich>
          </c:tx>
          <c:layout>
            <c:manualLayout>
              <c:xMode val="edge"/>
              <c:yMode val="edge"/>
              <c:x val="0.41994643728499886"/>
              <c:y val="0.944666538438979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34714960"/>
        <c:crosses val="autoZero"/>
        <c:crossBetween val="midCat"/>
      </c:valAx>
      <c:valAx>
        <c:axId val="93471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c</a:t>
                </a:r>
                <a:r>
                  <a:rPr lang="en-US" sz="2400" b="1" baseline="-25000"/>
                  <a:t>l</a:t>
                </a:r>
                <a:r>
                  <a:rPr lang="en-US" sz="2400" b="1"/>
                  <a:t>/c</a:t>
                </a:r>
                <a:r>
                  <a:rPr lang="en-US" sz="2400" b="1" baseline="-25000"/>
                  <a:t>d</a:t>
                </a:r>
              </a:p>
            </c:rich>
          </c:tx>
          <c:layout>
            <c:manualLayout>
              <c:xMode val="edge"/>
              <c:yMode val="edge"/>
              <c:x val="7.0933446717824536E-4"/>
              <c:y val="0.455161688458153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1"/>
        <c:majorTickMark val="out"/>
        <c:minorTickMark val="none"/>
        <c:tickLblPos val="low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365117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834932608384102"/>
          <c:y val="0.24251678785069877"/>
          <c:w val="0.19345238991813338"/>
          <c:h val="0.449409572810840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7AF9625-50DA-4149-8C5D-A0C143266973}">
  <sheetPr/>
  <sheetViews>
    <sheetView zoomScale="86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9FE32B6-D5D8-4C80-9EF5-2EC9C53A3ECC}">
  <sheetPr/>
  <sheetViews>
    <sheetView zoomScale="86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B93A33B-2524-4EAD-8C86-D8DD6ECE4F25}">
  <sheetPr/>
  <sheetViews>
    <sheetView zoomScale="8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563880</xdr:colOff>
      <xdr:row>1</xdr:row>
      <xdr:rowOff>175260</xdr:rowOff>
    </xdr:from>
    <xdr:to>
      <xdr:col>13</xdr:col>
      <xdr:colOff>234601</xdr:colOff>
      <xdr:row>7</xdr:row>
      <xdr:rowOff>11560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39E744C-CD06-7C37-BED8-025D80F14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88680" y="358140"/>
          <a:ext cx="2048161" cy="9335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275421</xdr:colOff>
      <xdr:row>12</xdr:row>
      <xdr:rowOff>56003</xdr:rowOff>
    </xdr:from>
    <xdr:to>
      <xdr:col>21</xdr:col>
      <xdr:colOff>110168</xdr:colOff>
      <xdr:row>26</xdr:row>
      <xdr:rowOff>145974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C9BA72E-6505-3174-DD17-2581770A57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2737757" y="6557555"/>
    <xdr:ext cx="9294628" cy="6069419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25EF6E8-C357-4281-A0DC-DB03578DDCC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absoluteAnchor>
    <xdr:pos x="12520990" y="6469743"/>
    <xdr:ext cx="9294628" cy="6069419"/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61D2C54-AA99-45BA-B517-42C0445D4AA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  <xdr:absoluteAnchor>
    <xdr:pos x="22652182" y="6386945"/>
    <xdr:ext cx="9294628" cy="6069419"/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AC41ED9-BB07-4777-AB5B-F1278F58CC2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absoluteAnchor>
  <xdr:twoCellAnchor>
    <xdr:from>
      <xdr:col>23</xdr:col>
      <xdr:colOff>458695</xdr:colOff>
      <xdr:row>8</xdr:row>
      <xdr:rowOff>125351</xdr:rowOff>
    </xdr:from>
    <xdr:to>
      <xdr:col>29</xdr:col>
      <xdr:colOff>297331</xdr:colOff>
      <xdr:row>22</xdr:row>
      <xdr:rowOff>80212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8C6F39F-A1A2-49A1-A087-9D95420FF4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2737757" y="6557555"/>
    <xdr:ext cx="9294628" cy="6069419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657A26D-DD3D-4478-BD0E-BD00200500E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absoluteAnchor>
    <xdr:pos x="12520990" y="6469743"/>
    <xdr:ext cx="9294628" cy="6069419"/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DEACADD-7E40-49F5-AC33-ECD43542A56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  <xdr:absoluteAnchor>
    <xdr:pos x="22652182" y="6386945"/>
    <xdr:ext cx="9294628" cy="6069419"/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1ACBE09-292C-4E5F-BF5A-305A0E14296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absoluteAnchor>
  <xdr:twoCellAnchor>
    <xdr:from>
      <xdr:col>23</xdr:col>
      <xdr:colOff>458695</xdr:colOff>
      <xdr:row>8</xdr:row>
      <xdr:rowOff>125351</xdr:rowOff>
    </xdr:from>
    <xdr:to>
      <xdr:col>29</xdr:col>
      <xdr:colOff>297331</xdr:colOff>
      <xdr:row>22</xdr:row>
      <xdr:rowOff>80212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B1522D3-9073-2AC8-1FDB-910287B4E9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4628" cy="6069419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85C4C82-04E6-F346-20E6-16ED3AFFCE3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4628" cy="6069419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2E2332D-1C20-D2C7-32EA-2BD6A7DC910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94628" cy="6069419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A3189C3-B790-A522-5200-C4525698398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B7758-B3C3-4E35-8D23-0E7572D127FA}">
  <dimension ref="A2:J21"/>
  <sheetViews>
    <sheetView workbookViewId="0">
      <selection activeCell="H18" sqref="H18"/>
    </sheetView>
  </sheetViews>
  <sheetFormatPr baseColWidth="10" defaultRowHeight="14.4"/>
  <sheetData>
    <row r="2" spans="1:10">
      <c r="A2" t="s">
        <v>54</v>
      </c>
      <c r="B2">
        <v>1.5</v>
      </c>
      <c r="C2" t="s">
        <v>55</v>
      </c>
    </row>
    <row r="3" spans="1:10">
      <c r="A3" t="s">
        <v>49</v>
      </c>
      <c r="B3">
        <v>0.15</v>
      </c>
      <c r="C3" t="s">
        <v>0</v>
      </c>
    </row>
    <row r="4" spans="1:10">
      <c r="A4" t="s">
        <v>1</v>
      </c>
      <c r="B4">
        <v>1.6</v>
      </c>
      <c r="C4" t="s">
        <v>0</v>
      </c>
      <c r="F4">
        <v>-3</v>
      </c>
    </row>
    <row r="5" spans="1:10">
      <c r="A5" t="s">
        <v>51</v>
      </c>
      <c r="B5">
        <f>B4*B3</f>
        <v>0.24</v>
      </c>
      <c r="C5" t="s">
        <v>53</v>
      </c>
      <c r="E5" s="85" t="s">
        <v>51</v>
      </c>
      <c r="F5" s="85">
        <v>0.65</v>
      </c>
      <c r="G5">
        <v>1</v>
      </c>
    </row>
    <row r="6" spans="1:10">
      <c r="A6" t="s">
        <v>50</v>
      </c>
      <c r="B6">
        <v>7.5</v>
      </c>
      <c r="E6" s="85" t="s">
        <v>1</v>
      </c>
      <c r="F6" s="85">
        <f>SQRT(B6*F5)</f>
        <v>2.2079402165819619</v>
      </c>
      <c r="G6" s="85">
        <f>SQRT(B6*G5)</f>
        <v>2.7386127875258306</v>
      </c>
      <c r="H6">
        <f>F6/6.75</f>
        <v>0.32710225430843881</v>
      </c>
      <c r="I6">
        <v>2.7</v>
      </c>
      <c r="J6">
        <f>I6/6.75</f>
        <v>0.4</v>
      </c>
    </row>
    <row r="7" spans="1:10">
      <c r="A7" t="s">
        <v>52</v>
      </c>
      <c r="B7">
        <f>0.5*('Airfoil aerodynamic data'!B14*Hoja1!A9^2)</f>
        <v>29.41243840482435</v>
      </c>
      <c r="C7" t="s">
        <v>7</v>
      </c>
      <c r="E7" s="85" t="s">
        <v>2</v>
      </c>
      <c r="F7" s="85">
        <f>F5/F6</f>
        <v>0.29439202887759486</v>
      </c>
      <c r="G7" s="85">
        <f>G5/G6</f>
        <v>0.36514837167011072</v>
      </c>
      <c r="H7">
        <f>F7/6.75</f>
        <v>4.3613633907791834E-2</v>
      </c>
      <c r="I7">
        <v>0.46</v>
      </c>
      <c r="J7">
        <f>I7/6.75</f>
        <v>6.8148148148148152E-2</v>
      </c>
    </row>
    <row r="9" spans="1:10">
      <c r="A9">
        <v>7</v>
      </c>
      <c r="B9">
        <f>A9*3.6</f>
        <v>25.2</v>
      </c>
      <c r="I9" t="s">
        <v>65</v>
      </c>
      <c r="J9">
        <f>('Airfoil aerodynamic data'!B10*'Airfoil aerodynamic data'!J17)/('Airfoil aerodynamic data'!B14*Hoja1!J7)</f>
        <v>24.061791608874149</v>
      </c>
    </row>
    <row r="10" spans="1:10">
      <c r="A10" t="s">
        <v>10</v>
      </c>
      <c r="B10" t="s">
        <v>35</v>
      </c>
      <c r="J10" t="s">
        <v>58</v>
      </c>
    </row>
    <row r="11" spans="1:10">
      <c r="C11">
        <v>1.2010000000000001</v>
      </c>
    </row>
    <row r="12" spans="1:10">
      <c r="A12" t="s">
        <v>56</v>
      </c>
      <c r="B12">
        <v>-3</v>
      </c>
      <c r="C12">
        <v>0</v>
      </c>
    </row>
    <row r="13" spans="1:10">
      <c r="A13" t="s">
        <v>57</v>
      </c>
      <c r="B13">
        <v>0.38600000000000001</v>
      </c>
      <c r="C13">
        <v>0.74328353532273395</v>
      </c>
    </row>
    <row r="19" spans="1:4">
      <c r="A19" t="s">
        <v>59</v>
      </c>
      <c r="B19">
        <v>7.5</v>
      </c>
      <c r="C19" t="s">
        <v>63</v>
      </c>
      <c r="D19" t="s">
        <v>64</v>
      </c>
    </row>
    <row r="20" spans="1:4">
      <c r="A20" t="s">
        <v>60</v>
      </c>
      <c r="B20" t="s">
        <v>62</v>
      </c>
      <c r="C20">
        <v>0.99329999999999996</v>
      </c>
      <c r="D20">
        <v>0.76294600000000001</v>
      </c>
    </row>
    <row r="21" spans="1:4">
      <c r="B21" t="s">
        <v>61</v>
      </c>
      <c r="C21">
        <v>7.1139869999999998</v>
      </c>
      <c r="D21">
        <v>5.4641979999999997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87B6A-A3F0-4273-82A3-23DC2FDEC1DB}">
  <dimension ref="A1:P50"/>
  <sheetViews>
    <sheetView topLeftCell="C11" zoomScale="83" zoomScaleNormal="100" workbookViewId="0">
      <selection activeCell="O12" sqref="O12"/>
    </sheetView>
  </sheetViews>
  <sheetFormatPr baseColWidth="10" defaultRowHeight="14.4"/>
  <cols>
    <col min="2" max="2" width="13.5546875" customWidth="1"/>
    <col min="3" max="3" width="13.6640625" bestFit="1" customWidth="1"/>
    <col min="10" max="10" width="11.21875" bestFit="1" customWidth="1"/>
    <col min="11" max="11" width="12.77734375" customWidth="1"/>
  </cols>
  <sheetData>
    <row r="1" spans="1:13" ht="15" thickBot="1">
      <c r="A1" s="1" t="s">
        <v>13</v>
      </c>
      <c r="C1" s="80">
        <v>45538</v>
      </c>
    </row>
    <row r="2" spans="1:13" ht="15" thickBot="1">
      <c r="A2" s="1" t="s">
        <v>16</v>
      </c>
      <c r="C2" s="2" t="s">
        <v>47</v>
      </c>
    </row>
    <row r="3" spans="1:13" ht="15" thickBot="1">
      <c r="A3" s="1" t="s">
        <v>14</v>
      </c>
      <c r="C3" s="81">
        <v>0.33333333333333331</v>
      </c>
    </row>
    <row r="4" spans="1:13" ht="15" thickBot="1">
      <c r="A4" s="49" t="s">
        <v>25</v>
      </c>
      <c r="B4" s="39" t="s">
        <v>40</v>
      </c>
    </row>
    <row r="5" spans="1:13" ht="15" thickBot="1"/>
    <row r="6" spans="1:13" ht="15" thickBot="1">
      <c r="A6" s="114" t="s">
        <v>3</v>
      </c>
      <c r="B6" s="115"/>
      <c r="C6" s="116"/>
      <c r="E6" s="114" t="s">
        <v>4</v>
      </c>
      <c r="F6" s="115"/>
      <c r="G6" s="116"/>
      <c r="I6" s="117" t="s">
        <v>5</v>
      </c>
      <c r="J6" s="118"/>
    </row>
    <row r="7" spans="1:13" ht="15" thickBot="1">
      <c r="A7" s="3" t="s">
        <v>15</v>
      </c>
      <c r="B7" s="2">
        <v>100</v>
      </c>
      <c r="C7" s="4" t="s">
        <v>34</v>
      </c>
      <c r="E7" s="3" t="s">
        <v>1</v>
      </c>
      <c r="F7" s="2">
        <v>0.6</v>
      </c>
      <c r="G7" s="4" t="s">
        <v>0</v>
      </c>
      <c r="I7" s="62" t="s">
        <v>36</v>
      </c>
      <c r="J7" s="63">
        <f>($B$14*$F$14*$F$8)/$B$10</f>
        <v>109771.72401625972</v>
      </c>
      <c r="L7" s="50"/>
    </row>
    <row r="8" spans="1:13" ht="16.8" thickBot="1">
      <c r="A8" s="6" t="s">
        <v>28</v>
      </c>
      <c r="B8" s="2">
        <v>101727.12</v>
      </c>
      <c r="C8" s="7" t="s">
        <v>7</v>
      </c>
      <c r="E8" s="8" t="s">
        <v>2</v>
      </c>
      <c r="F8" s="2">
        <v>0.1</v>
      </c>
      <c r="G8" s="9" t="s">
        <v>0</v>
      </c>
      <c r="I8" s="51" t="s">
        <v>37</v>
      </c>
      <c r="J8" s="29">
        <f>($B$14*$F$15*$F$8)/$B$10</f>
        <v>210395.80436449777</v>
      </c>
    </row>
    <row r="9" spans="1:13" ht="16.8" thickBot="1">
      <c r="A9" s="6" t="s">
        <v>29</v>
      </c>
      <c r="B9" s="2">
        <v>295.25</v>
      </c>
      <c r="C9" s="7" t="s">
        <v>8</v>
      </c>
    </row>
    <row r="10" spans="1:13" ht="16.8" thickBot="1">
      <c r="A10" s="10" t="s">
        <v>21</v>
      </c>
      <c r="B10" s="11">
        <f>0.000001456*(SQRT(B9))/(1+(110/B9))</f>
        <v>1.8227336483224767E-5</v>
      </c>
      <c r="C10" s="12" t="s">
        <v>26</v>
      </c>
      <c r="E10" s="114" t="s">
        <v>12</v>
      </c>
      <c r="F10" s="115"/>
      <c r="G10" s="116"/>
    </row>
    <row r="11" spans="1:13" ht="16.8" thickBot="1">
      <c r="A11" s="15" t="s">
        <v>17</v>
      </c>
      <c r="B11" s="16">
        <v>287</v>
      </c>
      <c r="C11" s="17" t="s">
        <v>27</v>
      </c>
      <c r="E11" s="5" t="s">
        <v>45</v>
      </c>
      <c r="F11" s="21">
        <f>F7*F8</f>
        <v>0.06</v>
      </c>
      <c r="G11" s="14" t="s">
        <v>20</v>
      </c>
      <c r="I11" s="114" t="s">
        <v>11</v>
      </c>
      <c r="J11" s="115"/>
      <c r="K11" s="116"/>
    </row>
    <row r="12" spans="1:13" ht="16.8" thickBot="1">
      <c r="I12" s="5" t="s">
        <v>18</v>
      </c>
      <c r="J12" s="13">
        <f>0.5*B14*F14^2</f>
        <v>166.73717916567097</v>
      </c>
      <c r="K12" s="14" t="s">
        <v>7</v>
      </c>
    </row>
    <row r="13" spans="1:13" ht="15" thickBot="1">
      <c r="A13" s="114" t="s">
        <v>6</v>
      </c>
      <c r="B13" s="115"/>
      <c r="C13" s="116"/>
      <c r="E13" s="111" t="s">
        <v>9</v>
      </c>
      <c r="F13" s="112"/>
      <c r="G13" s="113"/>
    </row>
    <row r="14" spans="1:13" ht="16.8" thickBot="1">
      <c r="A14" s="18" t="s">
        <v>24</v>
      </c>
      <c r="B14" s="19">
        <f>B8/(B9*B11)</f>
        <v>1.2005076899928306</v>
      </c>
      <c r="C14" s="14" t="s">
        <v>19</v>
      </c>
      <c r="E14" s="53" t="s">
        <v>38</v>
      </c>
      <c r="F14" s="54">
        <f>H14/3.6</f>
        <v>16.666666666666668</v>
      </c>
      <c r="G14" s="56" t="s">
        <v>10</v>
      </c>
      <c r="H14" s="58">
        <v>60</v>
      </c>
      <c r="I14" s="56" t="s">
        <v>35</v>
      </c>
      <c r="K14" s="79" t="s">
        <v>44</v>
      </c>
      <c r="L14" s="55">
        <f>(1/2)*$B$14*(F14^2)</f>
        <v>166.73717916567097</v>
      </c>
      <c r="M14" s="56" t="s">
        <v>7</v>
      </c>
    </row>
    <row r="15" spans="1:13" ht="15" thickBot="1">
      <c r="E15" s="59" t="s">
        <v>39</v>
      </c>
      <c r="F15" s="61">
        <f>H15/3.6</f>
        <v>31.944444444444443</v>
      </c>
      <c r="G15" s="17" t="s">
        <v>10</v>
      </c>
      <c r="H15" s="60">
        <v>115</v>
      </c>
      <c r="I15" s="17" t="s">
        <v>35</v>
      </c>
      <c r="K15" s="59" t="s">
        <v>43</v>
      </c>
      <c r="L15" s="57">
        <f>(1/2)*$B$14*(F15^2)</f>
        <v>612.52755401833269</v>
      </c>
      <c r="M15" s="17" t="s">
        <v>7</v>
      </c>
    </row>
    <row r="16" spans="1:13" ht="15" thickBot="1"/>
    <row r="17" spans="1:16" ht="15" thickBot="1">
      <c r="A17" s="49" t="s">
        <v>36</v>
      </c>
      <c r="B17" s="64">
        <f>J7</f>
        <v>109771.72401625972</v>
      </c>
      <c r="I17" s="49" t="s">
        <v>41</v>
      </c>
      <c r="J17" s="64">
        <v>108000</v>
      </c>
    </row>
    <row r="18" spans="1:16" ht="16.2" thickBot="1">
      <c r="A18" s="20" t="s">
        <v>46</v>
      </c>
      <c r="B18" s="65" t="s">
        <v>30</v>
      </c>
      <c r="C18" s="38" t="s">
        <v>22</v>
      </c>
      <c r="D18" s="39" t="s">
        <v>23</v>
      </c>
      <c r="E18" s="36" t="s">
        <v>31</v>
      </c>
      <c r="F18" s="22" t="s">
        <v>32</v>
      </c>
      <c r="G18" s="23" t="s">
        <v>33</v>
      </c>
      <c r="I18" s="20" t="s">
        <v>46</v>
      </c>
      <c r="J18" s="65" t="s">
        <v>30</v>
      </c>
      <c r="K18" s="52" t="s">
        <v>22</v>
      </c>
      <c r="L18" s="67" t="s">
        <v>23</v>
      </c>
      <c r="M18" s="36" t="s">
        <v>31</v>
      </c>
      <c r="N18" s="22" t="s">
        <v>32</v>
      </c>
      <c r="O18" s="23" t="s">
        <v>33</v>
      </c>
      <c r="P18" s="84"/>
    </row>
    <row r="19" spans="1:16">
      <c r="A19" s="30">
        <v>1</v>
      </c>
      <c r="B19" s="46">
        <v>-6</v>
      </c>
      <c r="C19" s="40">
        <v>1.7000000000000001E-2</v>
      </c>
      <c r="D19" s="41">
        <f>0.03</f>
        <v>0.03</v>
      </c>
      <c r="E19" s="33">
        <f>(C19*9.81)/($J$12*$F$11)</f>
        <v>1.6669947362119367E-2</v>
      </c>
      <c r="F19" s="24">
        <f t="shared" ref="F19:F32" si="0">(D19*9.81)/($J$12*$F$11)</f>
        <v>2.9417554168445933E-2</v>
      </c>
      <c r="G19" s="27">
        <f>E19/F19</f>
        <v>0.56666666666666687</v>
      </c>
      <c r="I19" s="30">
        <v>1</v>
      </c>
      <c r="J19" s="69">
        <v>-6</v>
      </c>
      <c r="K19" s="68">
        <f>($L$14*$F$8*M19)/9.81</f>
        <v>-0.6569206905966547</v>
      </c>
      <c r="L19" s="72">
        <f>($L$14*$F$8*N19)/9.81</f>
        <v>5.9080370517825914E-2</v>
      </c>
      <c r="M19" s="33">
        <v>-0.38650000000000001</v>
      </c>
      <c r="N19" s="24">
        <v>3.4759999999999999E-2</v>
      </c>
      <c r="O19" s="27">
        <f>M19/N19</f>
        <v>-11.119102416570772</v>
      </c>
      <c r="P19" s="83"/>
    </row>
    <row r="20" spans="1:16">
      <c r="A20" s="31">
        <v>2</v>
      </c>
      <c r="B20" s="47">
        <v>-4.5</v>
      </c>
      <c r="C20" s="42">
        <v>0.27400000000000002</v>
      </c>
      <c r="D20" s="43">
        <f>0.05</f>
        <v>0.05</v>
      </c>
      <c r="E20" s="34">
        <f t="shared" ref="E20:E32" si="1">(C20*9.81)/($J$12*$F$11)</f>
        <v>0.2686803280718062</v>
      </c>
      <c r="F20" s="25">
        <f t="shared" si="0"/>
        <v>4.9029256947409894E-2</v>
      </c>
      <c r="G20" s="28">
        <f t="shared" ref="G20:G32" si="2">E20/F20</f>
        <v>5.4799999999999995</v>
      </c>
      <c r="I20" s="31">
        <v>2</v>
      </c>
      <c r="J20" s="70">
        <v>-4.5</v>
      </c>
      <c r="K20" s="75">
        <f t="shared" ref="K20:K32" si="3">($L$14*$F$8*M20)/9.81</f>
        <v>-0.30169061469833425</v>
      </c>
      <c r="L20" s="73">
        <f t="shared" ref="L20:L32" si="4">($L$14*$F$8*N20)/9.81</f>
        <v>4.7743602066908225E-2</v>
      </c>
      <c r="M20" s="34">
        <v>-0.17749999999999999</v>
      </c>
      <c r="N20" s="25">
        <v>2.809E-2</v>
      </c>
      <c r="O20" s="28">
        <f t="shared" ref="O20:O32" si="5">M20/N20</f>
        <v>-6.3189747241011034</v>
      </c>
      <c r="P20" s="83"/>
    </row>
    <row r="21" spans="1:16">
      <c r="A21" s="31">
        <v>3</v>
      </c>
      <c r="B21" s="47">
        <v>-3</v>
      </c>
      <c r="C21" s="42">
        <v>0.39400000000000002</v>
      </c>
      <c r="D21" s="43">
        <f>0.063</f>
        <v>6.3E-2</v>
      </c>
      <c r="E21" s="34">
        <f t="shared" si="1"/>
        <v>0.38635054474558994</v>
      </c>
      <c r="F21" s="25">
        <f t="shared" si="0"/>
        <v>6.177686375373647E-2</v>
      </c>
      <c r="G21" s="28">
        <f t="shared" si="2"/>
        <v>6.2539682539682531</v>
      </c>
      <c r="I21" s="31">
        <v>3</v>
      </c>
      <c r="J21" s="70">
        <v>-3</v>
      </c>
      <c r="K21" s="75">
        <f t="shared" si="3"/>
        <v>8.8212636072358033E-2</v>
      </c>
      <c r="L21" s="73">
        <f t="shared" si="4"/>
        <v>4.0265074153259375E-2</v>
      </c>
      <c r="M21" s="34">
        <v>5.1900000000000002E-2</v>
      </c>
      <c r="N21" s="25">
        <v>2.3689999999999999E-2</v>
      </c>
      <c r="O21" s="28">
        <f t="shared" si="5"/>
        <v>2.1907978049810048</v>
      </c>
      <c r="P21" s="83"/>
    </row>
    <row r="22" spans="1:16">
      <c r="A22" s="31">
        <v>4</v>
      </c>
      <c r="B22" s="47">
        <v>-1.5</v>
      </c>
      <c r="C22" s="42">
        <v>0.61899999999999999</v>
      </c>
      <c r="D22" s="43">
        <f>0.069</f>
        <v>6.9000000000000006E-2</v>
      </c>
      <c r="E22" s="34">
        <f t="shared" si="1"/>
        <v>0.60698220100893452</v>
      </c>
      <c r="F22" s="25">
        <f t="shared" si="0"/>
        <v>6.7660374587425659E-2</v>
      </c>
      <c r="G22" s="28">
        <f t="shared" si="2"/>
        <v>8.9710144927536231</v>
      </c>
      <c r="I22" s="31">
        <v>4</v>
      </c>
      <c r="J22" s="70">
        <v>-1.5</v>
      </c>
      <c r="K22" s="75">
        <f t="shared" si="3"/>
        <v>0.41692793118592336</v>
      </c>
      <c r="L22" s="73">
        <f t="shared" si="4"/>
        <v>3.3874332117959448E-2</v>
      </c>
      <c r="M22" s="34">
        <v>0.24529999999999999</v>
      </c>
      <c r="N22" s="25">
        <v>1.993E-2</v>
      </c>
      <c r="O22" s="28">
        <f t="shared" si="5"/>
        <v>12.308078273958856</v>
      </c>
      <c r="P22" s="83"/>
    </row>
    <row r="23" spans="1:16">
      <c r="A23" s="31">
        <v>5</v>
      </c>
      <c r="B23" s="47">
        <v>0</v>
      </c>
      <c r="C23" s="42">
        <v>0.75800000000000001</v>
      </c>
      <c r="D23" s="43">
        <f>0.06</f>
        <v>0.06</v>
      </c>
      <c r="E23" s="34">
        <f t="shared" si="1"/>
        <v>0.74328353532273395</v>
      </c>
      <c r="F23" s="25">
        <f t="shared" si="0"/>
        <v>5.8835108336891866E-2</v>
      </c>
      <c r="G23" s="28">
        <f t="shared" si="2"/>
        <v>12.633333333333335</v>
      </c>
      <c r="I23" s="31">
        <v>5</v>
      </c>
      <c r="J23" s="70">
        <v>0</v>
      </c>
      <c r="K23" s="75">
        <f t="shared" si="3"/>
        <v>0.84694328622073234</v>
      </c>
      <c r="L23" s="73">
        <f t="shared" si="4"/>
        <v>2.9302232098024125E-2</v>
      </c>
      <c r="M23" s="34">
        <v>0.49830000000000002</v>
      </c>
      <c r="N23" s="25">
        <v>1.7239999999999998E-2</v>
      </c>
      <c r="O23" s="28">
        <f t="shared" si="5"/>
        <v>28.903712296983763</v>
      </c>
      <c r="P23" s="83"/>
    </row>
    <row r="24" spans="1:16">
      <c r="A24" s="31">
        <v>6</v>
      </c>
      <c r="B24" s="47">
        <v>1.5</v>
      </c>
      <c r="C24" s="42">
        <v>0.88</v>
      </c>
      <c r="D24" s="43">
        <f>0.048</f>
        <v>4.8000000000000001E-2</v>
      </c>
      <c r="E24" s="34">
        <f t="shared" si="1"/>
        <v>0.86291492227441413</v>
      </c>
      <c r="F24" s="25">
        <f t="shared" si="0"/>
        <v>4.7068086669513495E-2</v>
      </c>
      <c r="G24" s="28">
        <f t="shared" si="2"/>
        <v>18.333333333333336</v>
      </c>
      <c r="I24" s="31">
        <v>6</v>
      </c>
      <c r="J24" s="70">
        <v>1.5</v>
      </c>
      <c r="K24" s="75">
        <f t="shared" si="3"/>
        <v>1.0862561794574956</v>
      </c>
      <c r="L24" s="73">
        <f t="shared" si="4"/>
        <v>3.0254044741579438E-2</v>
      </c>
      <c r="M24" s="34">
        <v>0.6391</v>
      </c>
      <c r="N24" s="25">
        <v>1.78E-2</v>
      </c>
      <c r="O24" s="28">
        <f t="shared" si="5"/>
        <v>35.90449438202247</v>
      </c>
      <c r="P24" s="83"/>
    </row>
    <row r="25" spans="1:16">
      <c r="A25" s="31">
        <v>7</v>
      </c>
      <c r="B25" s="47">
        <v>3</v>
      </c>
      <c r="C25" s="42">
        <v>1.07</v>
      </c>
      <c r="D25" s="43">
        <f>0.084</f>
        <v>8.4000000000000005E-2</v>
      </c>
      <c r="E25" s="34">
        <f t="shared" si="1"/>
        <v>1.0492260986745716</v>
      </c>
      <c r="F25" s="25">
        <f t="shared" si="0"/>
        <v>8.2369151671648627E-2</v>
      </c>
      <c r="G25" s="28">
        <f t="shared" si="2"/>
        <v>12.738095238095235</v>
      </c>
      <c r="I25" s="31">
        <v>7</v>
      </c>
      <c r="J25" s="70">
        <v>3</v>
      </c>
      <c r="K25" s="75">
        <f t="shared" si="3"/>
        <v>1.3400162288910804</v>
      </c>
      <c r="L25" s="73">
        <f t="shared" si="4"/>
        <v>3.2599583041769305E-2</v>
      </c>
      <c r="M25" s="34">
        <v>0.78839999999999999</v>
      </c>
      <c r="N25" s="25">
        <v>1.9179999999999999E-2</v>
      </c>
      <c r="O25" s="28">
        <f t="shared" si="5"/>
        <v>41.105318039624613</v>
      </c>
      <c r="P25" s="83"/>
    </row>
    <row r="26" spans="1:16">
      <c r="A26" s="31">
        <v>8</v>
      </c>
      <c r="B26" s="47">
        <v>4.5</v>
      </c>
      <c r="C26" s="42">
        <v>1.25</v>
      </c>
      <c r="D26" s="43">
        <f>0.069</f>
        <v>6.9000000000000006E-2</v>
      </c>
      <c r="E26" s="34">
        <f t="shared" si="1"/>
        <v>1.2257314236852472</v>
      </c>
      <c r="F26" s="25">
        <f t="shared" si="0"/>
        <v>6.7660374587425659E-2</v>
      </c>
      <c r="G26" s="28">
        <f t="shared" si="2"/>
        <v>18.115942028985504</v>
      </c>
      <c r="I26" s="31">
        <v>8</v>
      </c>
      <c r="J26" s="70">
        <v>4.5</v>
      </c>
      <c r="K26" s="75">
        <f t="shared" si="3"/>
        <v>1.6049940701951384</v>
      </c>
      <c r="L26" s="73">
        <f t="shared" si="4"/>
        <v>3.5523007589832033E-2</v>
      </c>
      <c r="M26" s="34">
        <v>0.94430000000000003</v>
      </c>
      <c r="N26" s="25">
        <v>2.0899999999999998E-2</v>
      </c>
      <c r="O26" s="28">
        <f t="shared" si="5"/>
        <v>45.181818181818187</v>
      </c>
      <c r="P26" s="83"/>
    </row>
    <row r="27" spans="1:16">
      <c r="A27" s="31">
        <v>9</v>
      </c>
      <c r="B27" s="47">
        <v>6</v>
      </c>
      <c r="C27" s="42">
        <v>1.37</v>
      </c>
      <c r="D27" s="43">
        <f>0.084</f>
        <v>8.4000000000000005E-2</v>
      </c>
      <c r="E27" s="34">
        <f t="shared" si="1"/>
        <v>1.3434016403590312</v>
      </c>
      <c r="F27" s="25">
        <f t="shared" si="0"/>
        <v>8.2369151671648627E-2</v>
      </c>
      <c r="G27" s="28">
        <f t="shared" si="2"/>
        <v>16.30952380952381</v>
      </c>
      <c r="I27" s="31">
        <v>9</v>
      </c>
      <c r="J27" s="70">
        <v>6</v>
      </c>
      <c r="K27" s="75">
        <f t="shared" si="3"/>
        <v>1.8514455582585663</v>
      </c>
      <c r="L27" s="73">
        <f t="shared" si="4"/>
        <v>3.9279268201005663E-2</v>
      </c>
      <c r="M27" s="34">
        <v>1.0892999999999999</v>
      </c>
      <c r="N27" s="25">
        <v>2.3109999999999999E-2</v>
      </c>
      <c r="O27" s="28">
        <f t="shared" si="5"/>
        <v>47.135439203807877</v>
      </c>
      <c r="P27" s="83"/>
    </row>
    <row r="28" spans="1:16">
      <c r="A28" s="31">
        <v>10</v>
      </c>
      <c r="B28" s="47">
        <v>7.5</v>
      </c>
      <c r="C28" s="42">
        <v>1.55</v>
      </c>
      <c r="D28" s="43">
        <f>0.113</f>
        <v>0.113</v>
      </c>
      <c r="E28" s="34">
        <f t="shared" si="1"/>
        <v>1.5199069653697066</v>
      </c>
      <c r="F28" s="25">
        <f t="shared" si="0"/>
        <v>0.11080612070114636</v>
      </c>
      <c r="G28" s="28">
        <f t="shared" si="2"/>
        <v>13.716814159292035</v>
      </c>
      <c r="I28" s="31">
        <v>10</v>
      </c>
      <c r="J28" s="70">
        <v>7.5</v>
      </c>
      <c r="K28" s="75">
        <f t="shared" si="3"/>
        <v>2.0917782507562817</v>
      </c>
      <c r="L28" s="73">
        <f t="shared" si="4"/>
        <v>4.3001535503480882E-2</v>
      </c>
      <c r="M28" s="34">
        <v>1.2306999999999999</v>
      </c>
      <c r="N28" s="25">
        <v>2.53E-2</v>
      </c>
      <c r="O28" s="28">
        <f t="shared" si="5"/>
        <v>48.644268774703555</v>
      </c>
      <c r="P28" s="83"/>
    </row>
    <row r="29" spans="1:16">
      <c r="A29" s="31">
        <v>11</v>
      </c>
      <c r="B29" s="47">
        <v>9</v>
      </c>
      <c r="C29" s="42">
        <v>1.6</v>
      </c>
      <c r="D29" s="43">
        <f>0.109</f>
        <v>0.109</v>
      </c>
      <c r="E29" s="34">
        <f t="shared" si="1"/>
        <v>1.5689362223171166</v>
      </c>
      <c r="F29" s="25">
        <f t="shared" si="0"/>
        <v>0.10688378014535356</v>
      </c>
      <c r="G29" s="28">
        <f t="shared" si="2"/>
        <v>14.678899082568808</v>
      </c>
      <c r="I29" s="31">
        <v>11</v>
      </c>
      <c r="J29" s="70">
        <v>9</v>
      </c>
      <c r="K29" s="75">
        <f t="shared" si="3"/>
        <v>2.3157941550787631</v>
      </c>
      <c r="L29" s="73">
        <f t="shared" si="4"/>
        <v>4.5822980125448415E-2</v>
      </c>
      <c r="M29" s="34">
        <v>1.3625</v>
      </c>
      <c r="N29" s="25">
        <v>2.6960000000000001E-2</v>
      </c>
      <c r="O29" s="28">
        <f t="shared" si="5"/>
        <v>50.537833827893174</v>
      </c>
      <c r="P29" s="83"/>
    </row>
    <row r="30" spans="1:16">
      <c r="A30" s="31">
        <v>12</v>
      </c>
      <c r="B30" s="47">
        <v>10.5</v>
      </c>
      <c r="C30" s="42">
        <v>1.71</v>
      </c>
      <c r="D30" s="43">
        <f>0.09</f>
        <v>0.09</v>
      </c>
      <c r="E30" s="34">
        <f t="shared" si="1"/>
        <v>1.6768005876014185</v>
      </c>
      <c r="F30" s="25">
        <f t="shared" si="0"/>
        <v>8.8252662505337809E-2</v>
      </c>
      <c r="G30" s="28">
        <f t="shared" si="2"/>
        <v>19</v>
      </c>
      <c r="I30" s="31">
        <v>12</v>
      </c>
      <c r="J30" s="70">
        <v>10.5</v>
      </c>
      <c r="K30" s="75">
        <f t="shared" si="3"/>
        <v>2.4677442449606284</v>
      </c>
      <c r="L30" s="73">
        <f t="shared" si="4"/>
        <v>4.8729408019161945E-2</v>
      </c>
      <c r="M30" s="34">
        <v>1.4519</v>
      </c>
      <c r="N30" s="25">
        <v>2.8670000000000001E-2</v>
      </c>
      <c r="O30" s="28">
        <f t="shared" si="5"/>
        <v>50.641785838855945</v>
      </c>
      <c r="P30" s="83"/>
    </row>
    <row r="31" spans="1:16">
      <c r="A31" s="31">
        <v>13</v>
      </c>
      <c r="B31" s="47">
        <v>12</v>
      </c>
      <c r="C31" s="42">
        <v>1.73</v>
      </c>
      <c r="D31" s="43">
        <f>0.08</f>
        <v>0.08</v>
      </c>
      <c r="E31" s="34">
        <f t="shared" si="1"/>
        <v>1.696412290380382</v>
      </c>
      <c r="F31" s="25">
        <f t="shared" si="0"/>
        <v>7.844681111585583E-2</v>
      </c>
      <c r="G31" s="28">
        <f t="shared" si="2"/>
        <v>21.624999999999996</v>
      </c>
      <c r="I31" s="31">
        <v>13</v>
      </c>
      <c r="J31" s="70">
        <v>12</v>
      </c>
      <c r="K31" s="75">
        <f t="shared" si="3"/>
        <v>2.5005477878545883</v>
      </c>
      <c r="L31" s="73">
        <f t="shared" si="4"/>
        <v>5.6258925895858389E-2</v>
      </c>
      <c r="M31" s="34">
        <v>1.4712000000000001</v>
      </c>
      <c r="N31" s="25">
        <v>3.3099999999999997E-2</v>
      </c>
      <c r="O31" s="28">
        <f t="shared" si="5"/>
        <v>44.447129909365565</v>
      </c>
      <c r="P31" s="83"/>
    </row>
    <row r="32" spans="1:16" ht="15" thickBot="1">
      <c r="A32" s="32">
        <v>14</v>
      </c>
      <c r="B32" s="48">
        <v>13.5</v>
      </c>
      <c r="C32" s="44">
        <v>1.71</v>
      </c>
      <c r="D32" s="45">
        <f>0.086</f>
        <v>8.5999999999999993E-2</v>
      </c>
      <c r="E32" s="35">
        <f t="shared" si="1"/>
        <v>1.6768005876014185</v>
      </c>
      <c r="F32" s="26">
        <f t="shared" si="0"/>
        <v>8.4330321949545012E-2</v>
      </c>
      <c r="G32" s="29">
        <f t="shared" si="2"/>
        <v>19.88372093023256</v>
      </c>
      <c r="I32" s="32">
        <v>14</v>
      </c>
      <c r="J32" s="71">
        <v>13.5</v>
      </c>
      <c r="K32" s="76">
        <f t="shared" si="3"/>
        <v>2.4580561519815833</v>
      </c>
      <c r="L32" s="74">
        <f t="shared" si="4"/>
        <v>7.6009038249631053E-2</v>
      </c>
      <c r="M32" s="35">
        <v>1.4461999999999999</v>
      </c>
      <c r="N32" s="26">
        <v>4.4720000000000003E-2</v>
      </c>
      <c r="O32" s="29">
        <f t="shared" si="5"/>
        <v>32.33899821109123</v>
      </c>
      <c r="P32" s="83"/>
    </row>
    <row r="33" spans="1:15">
      <c r="A33" t="s">
        <v>48</v>
      </c>
      <c r="B33" s="82">
        <v>16</v>
      </c>
    </row>
    <row r="34" spans="1:15" ht="15" thickBot="1"/>
    <row r="35" spans="1:15" ht="15" thickBot="1">
      <c r="A35" s="49" t="s">
        <v>37</v>
      </c>
      <c r="B35" s="64">
        <f>J8</f>
        <v>210395.80436449777</v>
      </c>
      <c r="I35" s="49" t="s">
        <v>42</v>
      </c>
      <c r="J35" s="64">
        <v>208000</v>
      </c>
    </row>
    <row r="36" spans="1:15" ht="16.2" thickBot="1">
      <c r="A36" s="20" t="s">
        <v>46</v>
      </c>
      <c r="B36" s="37" t="s">
        <v>30</v>
      </c>
      <c r="C36" s="38" t="s">
        <v>22</v>
      </c>
      <c r="D36" s="39" t="s">
        <v>23</v>
      </c>
      <c r="E36" s="36" t="s">
        <v>31</v>
      </c>
      <c r="F36" s="22" t="s">
        <v>32</v>
      </c>
      <c r="G36" s="23" t="s">
        <v>33</v>
      </c>
      <c r="I36" s="20" t="s">
        <v>46</v>
      </c>
      <c r="J36" s="37" t="s">
        <v>30</v>
      </c>
      <c r="K36" s="38" t="s">
        <v>22</v>
      </c>
      <c r="L36" s="39" t="s">
        <v>23</v>
      </c>
      <c r="M36" s="36" t="s">
        <v>31</v>
      </c>
      <c r="N36" s="22" t="s">
        <v>32</v>
      </c>
      <c r="O36" s="23" t="s">
        <v>33</v>
      </c>
    </row>
    <row r="37" spans="1:15">
      <c r="A37" s="30">
        <v>1</v>
      </c>
      <c r="B37" s="46">
        <v>-6</v>
      </c>
      <c r="C37" s="40"/>
      <c r="D37" s="41"/>
      <c r="E37" s="33">
        <f t="shared" ref="E37:E50" si="6">(C37*9.81)/($J$12*$F$11)</f>
        <v>0</v>
      </c>
      <c r="F37" s="24">
        <f t="shared" ref="F37:F50" si="7">(D37*9.81)/($J$12*$F$11)</f>
        <v>0</v>
      </c>
      <c r="G37" s="27" t="e">
        <f>E37/F37</f>
        <v>#DIV/0!</v>
      </c>
      <c r="I37" s="30">
        <v>1</v>
      </c>
      <c r="J37" s="46">
        <v>-6</v>
      </c>
      <c r="K37" s="66">
        <f>($L$15*$F$8*M37)/9.81</f>
        <v>-1.3799040717436444</v>
      </c>
      <c r="L37" s="66">
        <f>($L$15*$F$8*N37)/9.81</f>
        <v>0.12500307473442426</v>
      </c>
      <c r="M37" s="33">
        <v>-0.221</v>
      </c>
      <c r="N37" s="24">
        <v>2.002E-2</v>
      </c>
      <c r="O37" s="27">
        <f>M37/N37</f>
        <v>-11.038961038961039</v>
      </c>
    </row>
    <row r="38" spans="1:15">
      <c r="A38" s="31">
        <v>2</v>
      </c>
      <c r="B38" s="47">
        <v>-4.5</v>
      </c>
      <c r="C38" s="42"/>
      <c r="D38" s="43"/>
      <c r="E38" s="34">
        <f t="shared" si="6"/>
        <v>0</v>
      </c>
      <c r="F38" s="25">
        <f t="shared" si="7"/>
        <v>0</v>
      </c>
      <c r="G38" s="28" t="e">
        <f t="shared" ref="G38:G50" si="8">E38/F38</f>
        <v>#DIV/0!</v>
      </c>
      <c r="I38" s="31">
        <v>2</v>
      </c>
      <c r="J38" s="47">
        <v>-4.5</v>
      </c>
      <c r="K38" s="77">
        <f t="shared" ref="K38:K50" si="9">($L$15*$F$8*M38)/9.81</f>
        <v>-0.20042950544330762</v>
      </c>
      <c r="L38" s="77">
        <f t="shared" ref="L38:L50" si="10">($L$15*$F$8*N38)/9.81</f>
        <v>0.10308695124202522</v>
      </c>
      <c r="M38" s="34">
        <v>-3.2099999999999997E-2</v>
      </c>
      <c r="N38" s="25">
        <v>1.651E-2</v>
      </c>
      <c r="O38" s="28">
        <f t="shared" ref="O38:O50" si="11">M38/N38</f>
        <v>-1.9442761962446999</v>
      </c>
    </row>
    <row r="39" spans="1:15">
      <c r="A39" s="31">
        <v>3</v>
      </c>
      <c r="B39" s="47">
        <v>-3</v>
      </c>
      <c r="C39" s="42"/>
      <c r="D39" s="43"/>
      <c r="E39" s="34">
        <f t="shared" si="6"/>
        <v>0</v>
      </c>
      <c r="F39" s="25">
        <f t="shared" si="7"/>
        <v>0</v>
      </c>
      <c r="G39" s="28" t="e">
        <f t="shared" si="8"/>
        <v>#DIV/0!</v>
      </c>
      <c r="I39" s="31">
        <v>3</v>
      </c>
      <c r="J39" s="47">
        <v>-3</v>
      </c>
      <c r="K39" s="77">
        <f t="shared" si="9"/>
        <v>0.86540590200755252</v>
      </c>
      <c r="L39" s="77">
        <f t="shared" si="10"/>
        <v>8.8039128559209895E-2</v>
      </c>
      <c r="M39" s="34">
        <v>0.1386</v>
      </c>
      <c r="N39" s="25">
        <v>1.41E-2</v>
      </c>
      <c r="O39" s="28">
        <f t="shared" si="11"/>
        <v>9.8297872340425538</v>
      </c>
    </row>
    <row r="40" spans="1:15">
      <c r="A40" s="31">
        <v>4</v>
      </c>
      <c r="B40" s="47">
        <v>-1.5</v>
      </c>
      <c r="C40" s="42"/>
      <c r="D40" s="43"/>
      <c r="E40" s="34">
        <f t="shared" si="6"/>
        <v>0</v>
      </c>
      <c r="F40" s="25">
        <f t="shared" si="7"/>
        <v>0</v>
      </c>
      <c r="G40" s="28" t="e">
        <f t="shared" si="8"/>
        <v>#DIV/0!</v>
      </c>
      <c r="I40" s="31">
        <v>4</v>
      </c>
      <c r="J40" s="47">
        <v>-1.5</v>
      </c>
      <c r="K40" s="77">
        <f t="shared" si="9"/>
        <v>1.8956510234451149</v>
      </c>
      <c r="L40" s="77">
        <f t="shared" si="10"/>
        <v>7.7799116443103222E-2</v>
      </c>
      <c r="M40" s="34">
        <v>0.30359999999999998</v>
      </c>
      <c r="N40" s="25">
        <v>1.2460000000000001E-2</v>
      </c>
      <c r="O40" s="28">
        <f t="shared" si="11"/>
        <v>24.365971107544137</v>
      </c>
    </row>
    <row r="41" spans="1:15">
      <c r="A41" s="31">
        <v>5</v>
      </c>
      <c r="B41" s="47">
        <v>0</v>
      </c>
      <c r="C41" s="42"/>
      <c r="D41" s="43"/>
      <c r="E41" s="34">
        <f t="shared" si="6"/>
        <v>0</v>
      </c>
      <c r="F41" s="25">
        <f t="shared" si="7"/>
        <v>0</v>
      </c>
      <c r="G41" s="28" t="e">
        <f t="shared" si="8"/>
        <v>#DIV/0!</v>
      </c>
      <c r="I41" s="31">
        <v>5</v>
      </c>
      <c r="J41" s="47">
        <v>0</v>
      </c>
      <c r="K41" s="77">
        <f t="shared" si="9"/>
        <v>2.8341106704273313</v>
      </c>
      <c r="L41" s="77">
        <f t="shared" si="10"/>
        <v>6.88078862923754E-2</v>
      </c>
      <c r="M41" s="34">
        <v>0.45390000000000003</v>
      </c>
      <c r="N41" s="25">
        <v>1.102E-2</v>
      </c>
      <c r="O41" s="28">
        <f t="shared" si="11"/>
        <v>41.188747731397463</v>
      </c>
    </row>
    <row r="42" spans="1:15">
      <c r="A42" s="31">
        <v>6</v>
      </c>
      <c r="B42" s="47">
        <v>1.5</v>
      </c>
      <c r="C42" s="42"/>
      <c r="D42" s="43"/>
      <c r="E42" s="34">
        <f t="shared" si="6"/>
        <v>0</v>
      </c>
      <c r="F42" s="25">
        <f t="shared" si="7"/>
        <v>0</v>
      </c>
      <c r="G42" s="28" t="e">
        <f t="shared" si="8"/>
        <v>#DIV/0!</v>
      </c>
      <c r="I42" s="31">
        <v>6</v>
      </c>
      <c r="J42" s="47">
        <v>1.5</v>
      </c>
      <c r="K42" s="77">
        <f t="shared" si="9"/>
        <v>4.1715561553480942</v>
      </c>
      <c r="L42" s="77">
        <f t="shared" si="10"/>
        <v>7.3116184072932466E-2</v>
      </c>
      <c r="M42" s="34">
        <v>0.66810000000000003</v>
      </c>
      <c r="N42" s="25">
        <v>1.171E-2</v>
      </c>
      <c r="O42" s="28">
        <f t="shared" si="11"/>
        <v>57.053800170794197</v>
      </c>
    </row>
    <row r="43" spans="1:15">
      <c r="A43" s="31">
        <v>7</v>
      </c>
      <c r="B43" s="47">
        <v>3</v>
      </c>
      <c r="C43" s="42"/>
      <c r="D43" s="43"/>
      <c r="E43" s="34">
        <f t="shared" si="6"/>
        <v>0</v>
      </c>
      <c r="F43" s="25">
        <f t="shared" si="7"/>
        <v>0</v>
      </c>
      <c r="G43" s="28" t="e">
        <f t="shared" si="8"/>
        <v>#DIV/0!</v>
      </c>
      <c r="I43" s="31">
        <v>7</v>
      </c>
      <c r="J43" s="47">
        <v>3</v>
      </c>
      <c r="K43" s="77">
        <f t="shared" si="9"/>
        <v>5.0744255163170129</v>
      </c>
      <c r="L43" s="77">
        <f t="shared" si="10"/>
        <v>7.9922045784247289E-2</v>
      </c>
      <c r="M43" s="34">
        <v>0.81269999999999998</v>
      </c>
      <c r="N43" s="25">
        <v>1.2800000000000001E-2</v>
      </c>
      <c r="O43" s="28">
        <f t="shared" si="11"/>
        <v>63.492187499999993</v>
      </c>
    </row>
    <row r="44" spans="1:15">
      <c r="A44" s="31">
        <v>8</v>
      </c>
      <c r="B44" s="47">
        <v>4.5</v>
      </c>
      <c r="C44" s="42"/>
      <c r="D44" s="43"/>
      <c r="E44" s="34">
        <f t="shared" si="6"/>
        <v>0</v>
      </c>
      <c r="F44" s="25">
        <f t="shared" si="7"/>
        <v>0</v>
      </c>
      <c r="G44" s="28" t="e">
        <f t="shared" si="8"/>
        <v>#DIV/0!</v>
      </c>
      <c r="I44" s="31">
        <v>8</v>
      </c>
      <c r="J44" s="47">
        <v>4.5</v>
      </c>
      <c r="K44" s="77">
        <f t="shared" si="9"/>
        <v>6.0041436895415767</v>
      </c>
      <c r="L44" s="77">
        <f t="shared" si="10"/>
        <v>8.7976689460940949E-2</v>
      </c>
      <c r="M44" s="34">
        <v>0.96160000000000001</v>
      </c>
      <c r="N44" s="25">
        <v>1.409E-2</v>
      </c>
      <c r="O44" s="28">
        <f t="shared" si="11"/>
        <v>68.246983676366213</v>
      </c>
    </row>
    <row r="45" spans="1:15">
      <c r="A45" s="31">
        <v>9</v>
      </c>
      <c r="B45" s="47">
        <v>6</v>
      </c>
      <c r="C45" s="42"/>
      <c r="D45" s="43"/>
      <c r="E45" s="34">
        <f t="shared" si="6"/>
        <v>0</v>
      </c>
      <c r="F45" s="25">
        <f t="shared" si="7"/>
        <v>0</v>
      </c>
      <c r="G45" s="28" t="e">
        <f t="shared" si="8"/>
        <v>#DIV/0!</v>
      </c>
      <c r="I45" s="31">
        <v>9</v>
      </c>
      <c r="J45" s="47">
        <v>6</v>
      </c>
      <c r="K45" s="77">
        <f t="shared" si="9"/>
        <v>6.9513448102814452</v>
      </c>
      <c r="L45" s="77">
        <f t="shared" si="10"/>
        <v>9.7404993299551365E-2</v>
      </c>
      <c r="M45" s="34">
        <v>1.1133</v>
      </c>
      <c r="N45" s="25">
        <v>1.5599999999999999E-2</v>
      </c>
      <c r="O45" s="28">
        <f t="shared" si="11"/>
        <v>71.365384615384613</v>
      </c>
    </row>
    <row r="46" spans="1:15">
      <c r="A46" s="31">
        <v>10</v>
      </c>
      <c r="B46" s="47">
        <v>7.5</v>
      </c>
      <c r="C46" s="42"/>
      <c r="D46" s="43"/>
      <c r="E46" s="34">
        <f t="shared" si="6"/>
        <v>0</v>
      </c>
      <c r="F46" s="25">
        <f t="shared" si="7"/>
        <v>0</v>
      </c>
      <c r="G46" s="28" t="e">
        <f t="shared" si="8"/>
        <v>#DIV/0!</v>
      </c>
      <c r="I46" s="31">
        <v>10</v>
      </c>
      <c r="J46" s="47">
        <v>7.5</v>
      </c>
      <c r="K46" s="77">
        <f t="shared" si="9"/>
        <v>7.8111311934447913</v>
      </c>
      <c r="L46" s="77">
        <f t="shared" si="10"/>
        <v>0.10652110164681707</v>
      </c>
      <c r="M46" s="34">
        <v>1.2509999999999999</v>
      </c>
      <c r="N46" s="25">
        <v>1.7059999999999999E-2</v>
      </c>
      <c r="O46" s="28">
        <f t="shared" si="11"/>
        <v>73.329425556858141</v>
      </c>
    </row>
    <row r="47" spans="1:15">
      <c r="A47" s="31">
        <v>11</v>
      </c>
      <c r="B47" s="47">
        <v>9</v>
      </c>
      <c r="C47" s="42"/>
      <c r="D47" s="43"/>
      <c r="E47" s="34">
        <f t="shared" si="6"/>
        <v>0</v>
      </c>
      <c r="F47" s="25">
        <f t="shared" si="7"/>
        <v>0</v>
      </c>
      <c r="G47" s="28" t="e">
        <f t="shared" si="8"/>
        <v>#DIV/0!</v>
      </c>
      <c r="I47" s="31">
        <v>11</v>
      </c>
      <c r="J47" s="47">
        <v>9</v>
      </c>
      <c r="K47" s="77">
        <f t="shared" si="9"/>
        <v>8.5348003423818444</v>
      </c>
      <c r="L47" s="77">
        <f t="shared" si="10"/>
        <v>0.11663623556638586</v>
      </c>
      <c r="M47" s="34">
        <v>1.3669</v>
      </c>
      <c r="N47" s="25">
        <v>1.8679999999999999E-2</v>
      </c>
      <c r="O47" s="28">
        <f t="shared" si="11"/>
        <v>73.174518201284798</v>
      </c>
    </row>
    <row r="48" spans="1:15">
      <c r="A48" s="31">
        <v>12</v>
      </c>
      <c r="B48" s="47">
        <v>10.5</v>
      </c>
      <c r="C48" s="42"/>
      <c r="D48" s="43"/>
      <c r="E48" s="34">
        <f t="shared" si="6"/>
        <v>0</v>
      </c>
      <c r="F48" s="25">
        <f t="shared" si="7"/>
        <v>0</v>
      </c>
      <c r="G48" s="28" t="e">
        <f t="shared" si="8"/>
        <v>#DIV/0!</v>
      </c>
      <c r="I48" s="31">
        <v>12</v>
      </c>
      <c r="J48" s="47">
        <v>10.5</v>
      </c>
      <c r="K48" s="77">
        <f t="shared" si="9"/>
        <v>8.9843618499182352</v>
      </c>
      <c r="L48" s="77">
        <f t="shared" si="10"/>
        <v>0.13349479209900053</v>
      </c>
      <c r="M48" s="34">
        <v>1.4389000000000001</v>
      </c>
      <c r="N48" s="25">
        <v>2.138E-2</v>
      </c>
      <c r="O48" s="28">
        <f t="shared" si="11"/>
        <v>67.30121608980356</v>
      </c>
    </row>
    <row r="49" spans="1:15">
      <c r="A49" s="31">
        <v>13</v>
      </c>
      <c r="B49" s="47">
        <v>12</v>
      </c>
      <c r="C49" s="42"/>
      <c r="D49" s="43"/>
      <c r="E49" s="34">
        <f t="shared" si="6"/>
        <v>0</v>
      </c>
      <c r="F49" s="25">
        <f t="shared" si="7"/>
        <v>0</v>
      </c>
      <c r="G49" s="28" t="e">
        <f t="shared" si="8"/>
        <v>#DIV/0!</v>
      </c>
      <c r="I49" s="31">
        <v>13</v>
      </c>
      <c r="J49" s="47">
        <v>12</v>
      </c>
      <c r="K49" s="77">
        <f t="shared" si="9"/>
        <v>9.2041474758249144</v>
      </c>
      <c r="L49" s="77">
        <f t="shared" si="10"/>
        <v>0.17351825408939311</v>
      </c>
      <c r="M49" s="34">
        <v>1.4741</v>
      </c>
      <c r="N49" s="25">
        <v>2.7789999999999999E-2</v>
      </c>
      <c r="O49" s="28">
        <f t="shared" si="11"/>
        <v>53.044260525368841</v>
      </c>
    </row>
    <row r="50" spans="1:15" ht="15" thickBot="1">
      <c r="A50" s="32">
        <v>14</v>
      </c>
      <c r="B50" s="48">
        <v>13.5</v>
      </c>
      <c r="C50" s="44"/>
      <c r="D50" s="45"/>
      <c r="E50" s="35">
        <f t="shared" si="6"/>
        <v>0</v>
      </c>
      <c r="F50" s="26">
        <f t="shared" si="7"/>
        <v>0</v>
      </c>
      <c r="G50" s="29" t="e">
        <f t="shared" si="8"/>
        <v>#DIV/0!</v>
      </c>
      <c r="I50" s="32">
        <v>14</v>
      </c>
      <c r="J50" s="48">
        <v>13.5</v>
      </c>
      <c r="K50" s="78">
        <f t="shared" si="9"/>
        <v>9.148576678365556</v>
      </c>
      <c r="L50" s="78">
        <f t="shared" si="10"/>
        <v>0.25369005626671615</v>
      </c>
      <c r="M50" s="35">
        <v>1.4652000000000001</v>
      </c>
      <c r="N50" s="26">
        <v>4.0629999999999999E-2</v>
      </c>
      <c r="O50" s="29">
        <f t="shared" si="11"/>
        <v>36.062023135614083</v>
      </c>
    </row>
  </sheetData>
  <mergeCells count="7">
    <mergeCell ref="E13:G13"/>
    <mergeCell ref="A6:C6"/>
    <mergeCell ref="E6:G6"/>
    <mergeCell ref="I6:J6"/>
    <mergeCell ref="I11:K11"/>
    <mergeCell ref="E10:G10"/>
    <mergeCell ref="A13:C1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B5C35-4F30-4C90-AC55-9FE112FE39A8}">
  <dimension ref="A1:W68"/>
  <sheetViews>
    <sheetView tabSelected="1" topLeftCell="A11" zoomScale="86" zoomScaleNormal="60" workbookViewId="0">
      <selection activeCell="D30" sqref="D30"/>
    </sheetView>
  </sheetViews>
  <sheetFormatPr baseColWidth="10" defaultRowHeight="14.4"/>
  <cols>
    <col min="2" max="2" width="13.6640625" customWidth="1"/>
  </cols>
  <sheetData>
    <row r="1" spans="1:23" ht="15" thickBot="1">
      <c r="A1" s="1" t="s">
        <v>13</v>
      </c>
      <c r="C1" s="80">
        <v>45538</v>
      </c>
      <c r="D1" s="101"/>
    </row>
    <row r="2" spans="1:23" ht="15" thickBot="1">
      <c r="A2" s="1" t="s">
        <v>16</v>
      </c>
      <c r="C2" s="2" t="s">
        <v>47</v>
      </c>
      <c r="D2" s="102"/>
    </row>
    <row r="3" spans="1:23" ht="15" thickBot="1">
      <c r="A3" s="1" t="s">
        <v>14</v>
      </c>
      <c r="C3" s="81">
        <v>0.33333333333333331</v>
      </c>
      <c r="D3" s="103"/>
    </row>
    <row r="4" spans="1:23" ht="15" thickBot="1">
      <c r="A4" s="49" t="s">
        <v>25</v>
      </c>
      <c r="B4" s="39" t="s">
        <v>40</v>
      </c>
    </row>
    <row r="5" spans="1:23" ht="15" thickBot="1"/>
    <row r="6" spans="1:23" ht="15" thickBot="1">
      <c r="A6" s="114" t="s">
        <v>3</v>
      </c>
      <c r="B6" s="115"/>
      <c r="C6" s="116"/>
      <c r="D6" s="84"/>
      <c r="F6" s="114" t="s">
        <v>4</v>
      </c>
      <c r="G6" s="115"/>
      <c r="H6" s="116"/>
      <c r="J6" s="117" t="s">
        <v>5</v>
      </c>
      <c r="K6" s="118"/>
    </row>
    <row r="7" spans="1:23" ht="15" thickBot="1">
      <c r="A7" s="3" t="s">
        <v>15</v>
      </c>
      <c r="B7" s="2">
        <v>100</v>
      </c>
      <c r="C7" s="4" t="s">
        <v>34</v>
      </c>
      <c r="F7" s="3" t="s">
        <v>1</v>
      </c>
      <c r="G7" s="2">
        <v>0.5</v>
      </c>
      <c r="H7" s="4" t="s">
        <v>0</v>
      </c>
      <c r="J7" s="62" t="s">
        <v>36</v>
      </c>
      <c r="K7" s="63">
        <f>($B$14*$G$14*$G$8)/$B$10</f>
        <v>174668.76725467248</v>
      </c>
      <c r="M7" s="50"/>
    </row>
    <row r="8" spans="1:23" ht="16.8" thickBot="1">
      <c r="A8" s="6" t="s">
        <v>28</v>
      </c>
      <c r="B8" s="2">
        <v>101727.12</v>
      </c>
      <c r="C8" s="7" t="s">
        <v>7</v>
      </c>
      <c r="F8" s="8" t="s">
        <v>2</v>
      </c>
      <c r="G8" s="2">
        <f>68/1000</f>
        <v>6.8000000000000005E-2</v>
      </c>
      <c r="H8" s="9" t="s">
        <v>0</v>
      </c>
      <c r="J8" s="51" t="s">
        <v>37</v>
      </c>
      <c r="K8" s="29">
        <f>($B$14*$G$15*$G$8)/$B$10</f>
        <v>0</v>
      </c>
    </row>
    <row r="9" spans="1:23" ht="16.8" thickBot="1">
      <c r="A9" s="6" t="s">
        <v>29</v>
      </c>
      <c r="B9" s="2">
        <v>295.25</v>
      </c>
      <c r="C9" s="7" t="s">
        <v>8</v>
      </c>
    </row>
    <row r="10" spans="1:23" ht="16.8" thickBot="1">
      <c r="A10" s="10" t="s">
        <v>21</v>
      </c>
      <c r="B10" s="11">
        <f>0.000001456*(SQRT(B9))/(1+(110/B9))</f>
        <v>1.8227336483224767E-5</v>
      </c>
      <c r="C10" s="12" t="s">
        <v>26</v>
      </c>
      <c r="F10" s="114" t="s">
        <v>12</v>
      </c>
      <c r="G10" s="115"/>
      <c r="H10" s="116"/>
    </row>
    <row r="11" spans="1:23" ht="16.8" thickBot="1">
      <c r="A11" s="15" t="s">
        <v>17</v>
      </c>
      <c r="B11" s="16">
        <v>287</v>
      </c>
      <c r="C11" s="17" t="s">
        <v>27</v>
      </c>
      <c r="F11" s="5" t="s">
        <v>45</v>
      </c>
      <c r="G11" s="21">
        <f>G7*G8</f>
        <v>3.4000000000000002E-2</v>
      </c>
      <c r="H11" s="14" t="s">
        <v>20</v>
      </c>
      <c r="J11" s="114" t="s">
        <v>11</v>
      </c>
      <c r="K11" s="115"/>
      <c r="L11" s="116"/>
    </row>
    <row r="12" spans="1:23" ht="16.8" thickBot="1">
      <c r="J12" s="5" t="s">
        <v>18</v>
      </c>
      <c r="K12" s="13">
        <f>0.5*B14*G14^2</f>
        <v>912.98609823954769</v>
      </c>
      <c r="L12" s="14" t="s">
        <v>7</v>
      </c>
      <c r="O12" t="s">
        <v>70</v>
      </c>
    </row>
    <row r="13" spans="1:23" ht="15" thickBot="1">
      <c r="A13" s="114" t="s">
        <v>6</v>
      </c>
      <c r="B13" s="115"/>
      <c r="C13" s="116"/>
      <c r="D13" s="84"/>
      <c r="F13" s="111" t="s">
        <v>9</v>
      </c>
      <c r="G13" s="112"/>
      <c r="H13" s="113"/>
      <c r="S13" t="s">
        <v>68</v>
      </c>
      <c r="T13" t="s">
        <v>69</v>
      </c>
      <c r="V13" s="69">
        <v>-6</v>
      </c>
      <c r="W13">
        <v>0.30305521380638545</v>
      </c>
    </row>
    <row r="14" spans="1:23" ht="16.8" thickBot="1">
      <c r="A14" s="18" t="s">
        <v>24</v>
      </c>
      <c r="B14" s="19">
        <f>B8/(B9*B11)</f>
        <v>1.2005076899928306</v>
      </c>
      <c r="C14" s="14" t="s">
        <v>19</v>
      </c>
      <c r="F14" s="123" t="s">
        <v>38</v>
      </c>
      <c r="G14" s="124">
        <v>39</v>
      </c>
      <c r="H14" s="14" t="s">
        <v>10</v>
      </c>
      <c r="I14" s="125">
        <v>60</v>
      </c>
      <c r="J14" s="14" t="s">
        <v>35</v>
      </c>
      <c r="L14" s="126" t="s">
        <v>44</v>
      </c>
      <c r="M14" s="127">
        <f>(1/2)*$B$14*(G14^2)</f>
        <v>912.98609823954769</v>
      </c>
      <c r="N14" s="14" t="s">
        <v>7</v>
      </c>
      <c r="P14" s="93" t="s">
        <v>67</v>
      </c>
      <c r="Q14" s="14">
        <v>0.96785790629621726</v>
      </c>
      <c r="S14" s="83" t="e">
        <f>(#REF!^2)/($Q$14*PI()*6)</f>
        <v>#REF!</v>
      </c>
      <c r="T14" s="100">
        <v>3.4759999999999999E-2</v>
      </c>
      <c r="V14" s="70">
        <v>-4.5</v>
      </c>
      <c r="W14">
        <v>0.25627185526053159</v>
      </c>
    </row>
    <row r="15" spans="1:23" ht="15" thickBot="1">
      <c r="F15" s="120"/>
      <c r="G15" s="122"/>
      <c r="H15" s="121"/>
      <c r="I15" s="120"/>
      <c r="J15" s="121"/>
      <c r="L15" s="120"/>
      <c r="M15" s="121"/>
      <c r="N15" s="121"/>
      <c r="P15" s="93" t="s">
        <v>66</v>
      </c>
      <c r="Q15" s="14">
        <v>4.1069175957590804</v>
      </c>
      <c r="S15" s="83" t="e">
        <f>(#REF!^2)/($Q$14*PI()*6)</f>
        <v>#REF!</v>
      </c>
      <c r="T15" s="100">
        <v>2.809E-2</v>
      </c>
      <c r="V15" s="70">
        <v>-3</v>
      </c>
      <c r="W15">
        <v>0.52730715109906323</v>
      </c>
    </row>
    <row r="16" spans="1:23" ht="15" thickBot="1">
      <c r="Q16">
        <v>7.0800000000000002E-2</v>
      </c>
      <c r="S16" s="83" t="e">
        <f>(#REF!^2)/($Q$14*PI()*6)</f>
        <v>#REF!</v>
      </c>
      <c r="T16" s="100">
        <v>2.3689999999999999E-2</v>
      </c>
      <c r="V16" s="70">
        <v>-1.5</v>
      </c>
      <c r="W16">
        <v>0.49656907326832433</v>
      </c>
    </row>
    <row r="17" spans="1:23" ht="15" thickBot="1">
      <c r="A17" s="49" t="s">
        <v>36</v>
      </c>
      <c r="B17" s="64">
        <f>K7</f>
        <v>174668.76725467248</v>
      </c>
      <c r="J17" s="49" t="s">
        <v>41</v>
      </c>
      <c r="K17" s="64">
        <v>108000</v>
      </c>
      <c r="Q17">
        <f>Q16*180/PI()</f>
        <v>4.0565411895262287</v>
      </c>
      <c r="S17" s="83" t="e">
        <f>(#REF!^2)/($Q$14*PI()*6)</f>
        <v>#REF!</v>
      </c>
      <c r="T17" s="100">
        <v>1.993E-2</v>
      </c>
      <c r="V17" s="70">
        <v>0</v>
      </c>
      <c r="W17">
        <v>0.50960746568451931</v>
      </c>
    </row>
    <row r="18" spans="1:23" ht="16.2" thickBot="1">
      <c r="A18" s="20" t="s">
        <v>46</v>
      </c>
      <c r="B18" s="65" t="s">
        <v>30</v>
      </c>
      <c r="C18" s="38" t="s">
        <v>22</v>
      </c>
      <c r="D18" s="39" t="s">
        <v>23</v>
      </c>
      <c r="E18" s="36" t="s">
        <v>31</v>
      </c>
      <c r="F18" s="22" t="s">
        <v>32</v>
      </c>
      <c r="G18" s="23" t="s">
        <v>33</v>
      </c>
      <c r="I18" s="20" t="s">
        <v>46</v>
      </c>
      <c r="J18" s="65" t="s">
        <v>30</v>
      </c>
      <c r="K18" s="52" t="s">
        <v>22</v>
      </c>
      <c r="L18" s="67" t="s">
        <v>23</v>
      </c>
      <c r="M18" s="89" t="s">
        <v>31</v>
      </c>
      <c r="N18" s="22" t="s">
        <v>32</v>
      </c>
      <c r="O18" s="23" t="s">
        <v>33</v>
      </c>
      <c r="P18" s="110"/>
      <c r="R18" s="83" t="e">
        <f>(#REF!^2)/($Q$14*PI()*6)</f>
        <v>#REF!</v>
      </c>
      <c r="S18" s="100">
        <v>1.7239999999999998E-2</v>
      </c>
      <c r="U18" s="70">
        <v>1.5</v>
      </c>
      <c r="V18">
        <v>0.49305696186143499</v>
      </c>
    </row>
    <row r="19" spans="1:23">
      <c r="A19" s="31">
        <v>7</v>
      </c>
      <c r="B19" s="47">
        <v>3</v>
      </c>
      <c r="C19" s="42">
        <v>3.62</v>
      </c>
      <c r="D19" s="104">
        <v>0.74299999999999999</v>
      </c>
      <c r="E19" s="33">
        <f t="shared" ref="E19:E26" si="0">(C19*9.81)/($K$12*$G$11)</f>
        <v>1.1440223160048462</v>
      </c>
      <c r="F19" s="24">
        <f>(D19*9.81)/($K$12*$G$11)</f>
        <v>0.23480900021867421</v>
      </c>
      <c r="G19" s="28">
        <f>E19/F19</f>
        <v>4.8721399730821</v>
      </c>
      <c r="H19" s="108"/>
      <c r="I19" s="31">
        <v>7</v>
      </c>
      <c r="J19" s="70">
        <v>3</v>
      </c>
      <c r="K19" s="75">
        <f>($M$14*$G$8*M19)/9.81</f>
        <v>2.8755318237847716</v>
      </c>
      <c r="L19" s="87">
        <f t="shared" ref="L19:L26" si="1">($M$14*$G$8*N19)/9.81</f>
        <v>0.19299911503580522</v>
      </c>
      <c r="M19" s="91">
        <f>($Q$15)*((RADIANS(J19))-(RADIANS(-3.339)))</f>
        <v>0.45437466530274773</v>
      </c>
      <c r="N19" s="98">
        <f>S20+R20</f>
        <v>3.0496587647810443E-2</v>
      </c>
      <c r="O19" s="95">
        <f>M19/N19</f>
        <v>14.89919693803416</v>
      </c>
      <c r="R19" s="83" t="e">
        <f>(#REF!^2)/($Q$14*PI()*6)</f>
        <v>#REF!</v>
      </c>
      <c r="S19" s="100">
        <v>1.78E-2</v>
      </c>
      <c r="U19" s="70">
        <v>3</v>
      </c>
      <c r="V19">
        <v>0.4824778581511453</v>
      </c>
    </row>
    <row r="20" spans="1:23">
      <c r="A20" s="31">
        <v>8</v>
      </c>
      <c r="B20" s="47">
        <v>4.5</v>
      </c>
      <c r="C20" s="42">
        <v>4</v>
      </c>
      <c r="D20" s="104">
        <v>0.67700000000000005</v>
      </c>
      <c r="E20" s="33">
        <f t="shared" si="0"/>
        <v>1.264113056358946</v>
      </c>
      <c r="F20" s="24">
        <f>(D20*9.81)/($K$12*$G$11)</f>
        <v>0.21395113478875163</v>
      </c>
      <c r="G20" s="28">
        <f>E20/F20</f>
        <v>5.9084194977843421</v>
      </c>
      <c r="H20" s="108"/>
      <c r="I20" s="31">
        <v>8</v>
      </c>
      <c r="J20" s="70">
        <v>4.5</v>
      </c>
      <c r="K20" s="75">
        <f>($M$14*$G$8*M20)/9.81</f>
        <v>3.5559700215568424</v>
      </c>
      <c r="L20" s="87">
        <f t="shared" si="1"/>
        <v>0.241788151544195</v>
      </c>
      <c r="M20" s="91">
        <f>($Q$15)*((RADIANS(J20))-(RADIANS(-3.339)))</f>
        <v>0.56189351653387587</v>
      </c>
      <c r="N20" s="98">
        <f>S21+R21</f>
        <v>3.8205944904989048E-2</v>
      </c>
      <c r="O20" s="95">
        <f>M20/N20</f>
        <v>14.706965576461954</v>
      </c>
      <c r="R20" s="83">
        <f>(M19^2)/($Q$14*PI()*6)</f>
        <v>1.1316587647810442E-2</v>
      </c>
      <c r="S20" s="100">
        <v>1.9179999999999999E-2</v>
      </c>
      <c r="U20" s="70">
        <v>4.5</v>
      </c>
      <c r="V20">
        <v>0.46357583320745521</v>
      </c>
    </row>
    <row r="21" spans="1:23">
      <c r="A21" s="31">
        <v>9</v>
      </c>
      <c r="B21" s="47">
        <v>6</v>
      </c>
      <c r="C21" s="42">
        <v>4.58</v>
      </c>
      <c r="D21" s="104">
        <v>0.58599999999999997</v>
      </c>
      <c r="E21" s="33">
        <f t="shared" si="0"/>
        <v>1.447409449530993</v>
      </c>
      <c r="F21" s="24">
        <f>(D21*9.81)/($K$12*$G$11)</f>
        <v>0.18519256275658558</v>
      </c>
      <c r="G21" s="28">
        <f>E21/F21</f>
        <v>7.8156996587030712</v>
      </c>
      <c r="H21" s="108"/>
      <c r="I21" s="31">
        <v>9</v>
      </c>
      <c r="J21" s="70">
        <v>6</v>
      </c>
      <c r="K21" s="75">
        <f>($M$14*$G$8*M21)/9.81</f>
        <v>4.2364082193289141</v>
      </c>
      <c r="L21" s="87">
        <f t="shared" si="1"/>
        <v>0.30169847574218583</v>
      </c>
      <c r="M21" s="91">
        <f>($Q$15)*((RADIANS(J21))-(RADIANS(-3.339)))</f>
        <v>0.66941236776500412</v>
      </c>
      <c r="N21" s="98">
        <f>S22+R22</f>
        <v>4.7672622783661231E-2</v>
      </c>
      <c r="O21" s="95">
        <f>M21/N21</f>
        <v>14.041861527166297</v>
      </c>
      <c r="R21" s="83">
        <f>(M20^2)/($Q$14*PI()*6)</f>
        <v>1.7305944904989046E-2</v>
      </c>
      <c r="S21" s="100">
        <v>2.0899999999999998E-2</v>
      </c>
      <c r="U21" s="70">
        <v>6</v>
      </c>
      <c r="V21">
        <v>0.45858622240338764</v>
      </c>
    </row>
    <row r="22" spans="1:23">
      <c r="A22" s="31">
        <v>10</v>
      </c>
      <c r="B22" s="47">
        <v>7.5</v>
      </c>
      <c r="C22" s="42">
        <v>5.0599999999999996</v>
      </c>
      <c r="D22" s="104">
        <v>0.54400000000000004</v>
      </c>
      <c r="E22" s="33">
        <f t="shared" si="0"/>
        <v>1.5991030162940665</v>
      </c>
      <c r="F22" s="24">
        <f>(D22*9.81)/($K$12*$G$11)</f>
        <v>0.17191937566481669</v>
      </c>
      <c r="G22" s="28">
        <f>E22/F22</f>
        <v>9.3014705882352917</v>
      </c>
      <c r="H22" s="108"/>
      <c r="I22" s="31">
        <v>10</v>
      </c>
      <c r="J22" s="70">
        <v>7.5</v>
      </c>
      <c r="K22" s="75">
        <f>($M$14*$G$8*M22)/9.81</f>
        <v>4.9168464171009845</v>
      </c>
      <c r="L22" s="87">
        <f t="shared" si="1"/>
        <v>0.3695025282121478</v>
      </c>
      <c r="M22" s="91">
        <f>($Q$15)*((RADIANS(J22))-(RADIANS(-3.339)))</f>
        <v>0.77693121899613227</v>
      </c>
      <c r="N22" s="98">
        <f>S23+R23</f>
        <v>5.8386621283826975E-2</v>
      </c>
      <c r="O22" s="95">
        <f>M22/N22</f>
        <v>13.306665155692803</v>
      </c>
      <c r="R22" s="83">
        <f>(M21^2)/($Q$14*PI()*6)</f>
        <v>2.4562622783661229E-2</v>
      </c>
      <c r="S22" s="100">
        <v>2.3109999999999999E-2</v>
      </c>
      <c r="U22" s="70">
        <v>7.5</v>
      </c>
      <c r="V22">
        <v>0.45055846414798456</v>
      </c>
    </row>
    <row r="23" spans="1:23">
      <c r="A23" s="31">
        <v>11</v>
      </c>
      <c r="B23" s="47">
        <v>9</v>
      </c>
      <c r="C23" s="42">
        <v>5.22</v>
      </c>
      <c r="D23" s="104">
        <v>0.46</v>
      </c>
      <c r="E23" s="33">
        <f t="shared" si="0"/>
        <v>1.6496675385484243</v>
      </c>
      <c r="F23" s="24">
        <f>(D23*9.81)/($K$12*$G$11)</f>
        <v>0.1453730014812788</v>
      </c>
      <c r="G23" s="28">
        <f>E23/F23</f>
        <v>11.34782608695652</v>
      </c>
      <c r="H23" s="108"/>
      <c r="I23" s="31">
        <v>11</v>
      </c>
      <c r="J23" s="70">
        <v>9</v>
      </c>
      <c r="K23" s="75">
        <f>($M$14*$G$8*M23)/9.81</f>
        <v>5.5972846148730548</v>
      </c>
      <c r="L23" s="87">
        <f t="shared" si="1"/>
        <v>0.44197274953645127</v>
      </c>
      <c r="M23" s="91">
        <f>($Q$15)*((RADIANS(J23))-(RADIANS(-3.339)))</f>
        <v>0.88445007022726052</v>
      </c>
      <c r="N23" s="98">
        <f>S24+R24</f>
        <v>6.9837940405486298E-2</v>
      </c>
      <c r="O23" s="95">
        <f>M23/N23</f>
        <v>12.664320641359868</v>
      </c>
      <c r="R23" s="83">
        <f>(M22^2)/($Q$14*PI()*6)</f>
        <v>3.3086621283826972E-2</v>
      </c>
      <c r="S23" s="100">
        <v>2.53E-2</v>
      </c>
      <c r="U23" s="70">
        <v>9</v>
      </c>
      <c r="V23">
        <v>0.45746312003220407</v>
      </c>
    </row>
    <row r="24" spans="1:23">
      <c r="A24" s="31">
        <v>12</v>
      </c>
      <c r="B24" s="47">
        <v>10.5</v>
      </c>
      <c r="C24" s="106">
        <v>5.27</v>
      </c>
      <c r="D24" s="107">
        <v>0.45400000000000001</v>
      </c>
      <c r="E24" s="33">
        <f t="shared" si="0"/>
        <v>1.6654689517529111</v>
      </c>
      <c r="F24" s="24">
        <f>(D24*9.81)/($K$12*$G$11)</f>
        <v>0.14347683189674038</v>
      </c>
      <c r="G24" s="28">
        <f>E24/F24</f>
        <v>11.607929515418499</v>
      </c>
      <c r="H24" s="108"/>
      <c r="I24" s="31">
        <v>12</v>
      </c>
      <c r="J24" s="70">
        <v>10.5</v>
      </c>
      <c r="K24" s="75">
        <f>($M$14*$G$8*M24)/9.81</f>
        <v>6.277722812645127</v>
      </c>
      <c r="L24" s="87">
        <f t="shared" si="1"/>
        <v>0.52277969748416542</v>
      </c>
      <c r="M24" s="91">
        <f>($Q$15)*((RADIANS(J24))-(RADIANS(-3.339)))</f>
        <v>0.99196892145838877</v>
      </c>
      <c r="N24" s="98">
        <f>S25+R25</f>
        <v>8.2606580148639183E-2</v>
      </c>
      <c r="O24" s="95">
        <f>M24/N24</f>
        <v>12.008352357324043</v>
      </c>
      <c r="R24" s="83">
        <f>(M23^2)/($Q$14*PI()*6)</f>
        <v>4.2877940405486294E-2</v>
      </c>
      <c r="S24" s="100">
        <v>2.6960000000000001E-2</v>
      </c>
      <c r="U24" s="70">
        <v>10.5</v>
      </c>
      <c r="V24">
        <v>0.45454402785318132</v>
      </c>
    </row>
    <row r="25" spans="1:23">
      <c r="A25" s="31">
        <v>13</v>
      </c>
      <c r="B25" s="47">
        <v>12</v>
      </c>
      <c r="C25" s="42">
        <v>5.37</v>
      </c>
      <c r="D25" s="104">
        <v>0.40300000000000002</v>
      </c>
      <c r="E25" s="33">
        <f t="shared" si="0"/>
        <v>1.6970717781618851</v>
      </c>
      <c r="F25" s="24">
        <f>(D25*9.81)/($K$12*$G$11)</f>
        <v>0.12735939042816383</v>
      </c>
      <c r="G25" s="28">
        <f>E25/F25</f>
        <v>13.325062034739453</v>
      </c>
      <c r="H25" s="108"/>
      <c r="I25" s="31">
        <v>13</v>
      </c>
      <c r="J25" s="70">
        <v>12</v>
      </c>
      <c r="K25" s="75">
        <f>($M$14*$G$8*M25)/9.81</f>
        <v>6.9581610104171991</v>
      </c>
      <c r="L25" s="87">
        <f t="shared" si="1"/>
        <v>0.62882059488876341</v>
      </c>
      <c r="M25" s="91">
        <f>($Q$15)*((RADIANS(J25))-(RADIANS(-3.339)))</f>
        <v>1.0994877726895171</v>
      </c>
      <c r="N25" s="98">
        <f>S26+R26</f>
        <v>9.9362540513285663E-2</v>
      </c>
      <c r="O25" s="95">
        <f>M25/N25</f>
        <v>11.065415266254245</v>
      </c>
      <c r="R25" s="83">
        <f>(M24^2)/($Q$14*PI()*6)</f>
        <v>5.3936580148639182E-2</v>
      </c>
      <c r="S25" s="100">
        <v>2.8670000000000001E-2</v>
      </c>
      <c r="U25" s="70">
        <v>12</v>
      </c>
      <c r="V25">
        <v>0.43644494736615347</v>
      </c>
    </row>
    <row r="26" spans="1:23" ht="15" thickBot="1">
      <c r="A26" s="32">
        <v>14</v>
      </c>
      <c r="B26" s="48">
        <v>13.5</v>
      </c>
      <c r="C26" s="42">
        <v>5.29</v>
      </c>
      <c r="D26" s="104">
        <v>0.45400000000000001</v>
      </c>
      <c r="E26" s="33">
        <f t="shared" si="0"/>
        <v>1.6717895170347059</v>
      </c>
      <c r="F26" s="24">
        <f>(D26*9.81)/($K$12*$G$11)</f>
        <v>0.14347683189674038</v>
      </c>
      <c r="G26" s="29">
        <f>E26/F26</f>
        <v>11.651982378854624</v>
      </c>
      <c r="H26" s="108"/>
      <c r="I26" s="32">
        <v>14</v>
      </c>
      <c r="J26" s="71">
        <v>13.5</v>
      </c>
      <c r="K26" s="76">
        <f>($M$14*$G$8*M26)/9.81</f>
        <v>7.6385992081892669</v>
      </c>
      <c r="L26" s="88">
        <f t="shared" si="1"/>
        <v>0.78838405076358753</v>
      </c>
      <c r="M26" s="92">
        <f>($Q$15)*((RADIANS(J26))-(RADIANS(-3.339)))</f>
        <v>1.2070066239206449</v>
      </c>
      <c r="N26" s="99">
        <f>S27+R27</f>
        <v>0.12457582149942564</v>
      </c>
      <c r="O26" s="96">
        <f>M26/N26</f>
        <v>9.6889316834744683</v>
      </c>
      <c r="R26" s="83">
        <f>(M25^2)/($Q$14*PI()*6)</f>
        <v>6.6262540513285659E-2</v>
      </c>
      <c r="S26" s="100">
        <v>3.3099999999999997E-2</v>
      </c>
      <c r="U26" s="71">
        <v>13.5</v>
      </c>
      <c r="V26">
        <v>0.41973809382176219</v>
      </c>
    </row>
    <row r="27" spans="1:23">
      <c r="A27" t="s">
        <v>48</v>
      </c>
      <c r="B27" s="82">
        <v>16</v>
      </c>
      <c r="H27" s="108"/>
      <c r="I27" s="119"/>
      <c r="R27" s="83">
        <f>(M26^2)/($Q$14*PI()*6)</f>
        <v>7.9855821499425633E-2</v>
      </c>
      <c r="S27" s="100">
        <v>4.4720000000000003E-2</v>
      </c>
    </row>
    <row r="28" spans="1:23">
      <c r="B28" t="s">
        <v>71</v>
      </c>
      <c r="C28" s="128">
        <v>-6.5</v>
      </c>
      <c r="D28" t="s">
        <v>72</v>
      </c>
      <c r="H28" s="108"/>
    </row>
    <row r="29" spans="1:23">
      <c r="H29" s="108"/>
    </row>
    <row r="30" spans="1:23">
      <c r="D30" t="s">
        <v>73</v>
      </c>
      <c r="H30" s="108"/>
    </row>
    <row r="31" spans="1:23">
      <c r="H31" s="108"/>
    </row>
    <row r="32" spans="1:23">
      <c r="H32" s="108"/>
    </row>
    <row r="64" spans="3:4">
      <c r="C64">
        <v>2</v>
      </c>
      <c r="D64">
        <v>1.22</v>
      </c>
    </row>
    <row r="65" spans="3:4">
      <c r="C65">
        <v>4</v>
      </c>
      <c r="D65">
        <v>4.4400000000000004</v>
      </c>
    </row>
    <row r="66" spans="3:4">
      <c r="C66">
        <v>6</v>
      </c>
      <c r="D66">
        <v>6.09</v>
      </c>
    </row>
    <row r="67" spans="3:4">
      <c r="C67">
        <v>8</v>
      </c>
      <c r="D67">
        <v>6.8</v>
      </c>
    </row>
    <row r="68" spans="3:4">
      <c r="C68">
        <v>10</v>
      </c>
      <c r="D68">
        <v>8.73</v>
      </c>
    </row>
  </sheetData>
  <mergeCells count="7">
    <mergeCell ref="A6:C6"/>
    <mergeCell ref="F6:H6"/>
    <mergeCell ref="J6:K6"/>
    <mergeCell ref="F10:H10"/>
    <mergeCell ref="J11:L11"/>
    <mergeCell ref="A13:C13"/>
    <mergeCell ref="F13:H1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E74FC-4ED4-41A7-A769-014538DE53D8}">
  <dimension ref="A1:W74"/>
  <sheetViews>
    <sheetView topLeftCell="A7" zoomScale="48" zoomScaleNormal="60" workbookViewId="0">
      <selection activeCell="V29" sqref="V29"/>
    </sheetView>
  </sheetViews>
  <sheetFormatPr baseColWidth="10" defaultRowHeight="14.4"/>
  <sheetData>
    <row r="1" spans="1:23" ht="15" thickBot="1">
      <c r="A1" s="1" t="s">
        <v>13</v>
      </c>
      <c r="C1" s="80">
        <v>45538</v>
      </c>
      <c r="D1" s="101"/>
    </row>
    <row r="2" spans="1:23" ht="15" thickBot="1">
      <c r="A2" s="1" t="s">
        <v>16</v>
      </c>
      <c r="C2" s="2" t="s">
        <v>47</v>
      </c>
      <c r="D2" s="102"/>
    </row>
    <row r="3" spans="1:23" ht="15" thickBot="1">
      <c r="A3" s="1" t="s">
        <v>14</v>
      </c>
      <c r="C3" s="81">
        <v>0.33333333333333331</v>
      </c>
      <c r="D3" s="103"/>
    </row>
    <row r="4" spans="1:23" ht="15" thickBot="1">
      <c r="A4" s="49" t="s">
        <v>25</v>
      </c>
      <c r="B4" s="39" t="s">
        <v>40</v>
      </c>
    </row>
    <row r="5" spans="1:23" ht="15" thickBot="1"/>
    <row r="6" spans="1:23" ht="15" thickBot="1">
      <c r="A6" s="114" t="s">
        <v>3</v>
      </c>
      <c r="B6" s="115"/>
      <c r="C6" s="116"/>
      <c r="D6" s="84"/>
      <c r="F6" s="114" t="s">
        <v>4</v>
      </c>
      <c r="G6" s="115"/>
      <c r="H6" s="116"/>
      <c r="J6" s="117" t="s">
        <v>5</v>
      </c>
      <c r="K6" s="118"/>
    </row>
    <row r="7" spans="1:23" ht="15" thickBot="1">
      <c r="A7" s="3" t="s">
        <v>15</v>
      </c>
      <c r="B7" s="2">
        <v>100</v>
      </c>
      <c r="C7" s="4" t="s">
        <v>34</v>
      </c>
      <c r="F7" s="3" t="s">
        <v>1</v>
      </c>
      <c r="G7" s="2">
        <v>0.4</v>
      </c>
      <c r="H7" s="4" t="s">
        <v>0</v>
      </c>
      <c r="J7" s="62" t="s">
        <v>36</v>
      </c>
      <c r="K7" s="63">
        <f>($B$14*$G$14*$G$8)/$B$10</f>
        <v>154119.50051882863</v>
      </c>
      <c r="M7" s="50"/>
    </row>
    <row r="8" spans="1:23" ht="16.8" thickBot="1">
      <c r="A8" s="6" t="s">
        <v>28</v>
      </c>
      <c r="B8" s="2">
        <v>101727.12</v>
      </c>
      <c r="C8" s="7" t="s">
        <v>7</v>
      </c>
      <c r="F8" s="8" t="s">
        <v>2</v>
      </c>
      <c r="G8" s="2">
        <v>0.06</v>
      </c>
      <c r="H8" s="9" t="s">
        <v>0</v>
      </c>
      <c r="J8" s="51" t="s">
        <v>37</v>
      </c>
      <c r="K8" s="29">
        <f>($B$14*$G$15*$G$8)/$B$10</f>
        <v>94842.769550048382</v>
      </c>
    </row>
    <row r="9" spans="1:23" ht="16.8" thickBot="1">
      <c r="A9" s="6" t="s">
        <v>29</v>
      </c>
      <c r="B9" s="2">
        <v>295.25</v>
      </c>
      <c r="C9" s="7" t="s">
        <v>8</v>
      </c>
    </row>
    <row r="10" spans="1:23" ht="16.8" thickBot="1">
      <c r="A10" s="10" t="s">
        <v>21</v>
      </c>
      <c r="B10" s="11">
        <f>0.000001456*(SQRT(B9))/(1+(110/B9))</f>
        <v>1.8227336483224767E-5</v>
      </c>
      <c r="C10" s="12" t="s">
        <v>26</v>
      </c>
      <c r="F10" s="114" t="s">
        <v>12</v>
      </c>
      <c r="G10" s="115"/>
      <c r="H10" s="116"/>
    </row>
    <row r="11" spans="1:23" ht="16.8" thickBot="1">
      <c r="A11" s="15" t="s">
        <v>17</v>
      </c>
      <c r="B11" s="16">
        <v>287</v>
      </c>
      <c r="C11" s="17" t="s">
        <v>27</v>
      </c>
      <c r="F11" s="5" t="s">
        <v>45</v>
      </c>
      <c r="G11" s="21">
        <f>G7*G8</f>
        <v>2.4E-2</v>
      </c>
      <c r="H11" s="14" t="s">
        <v>20</v>
      </c>
      <c r="J11" s="114" t="s">
        <v>11</v>
      </c>
      <c r="K11" s="115"/>
      <c r="L11" s="116"/>
    </row>
    <row r="12" spans="1:23" ht="16.8" thickBot="1">
      <c r="J12" s="5" t="s">
        <v>18</v>
      </c>
      <c r="K12" s="13">
        <f>0.5*B14*G14^2</f>
        <v>912.98609823954769</v>
      </c>
      <c r="L12" s="14" t="s">
        <v>7</v>
      </c>
      <c r="O12" t="s">
        <v>70</v>
      </c>
    </row>
    <row r="13" spans="1:23" ht="15" thickBot="1">
      <c r="A13" s="114" t="s">
        <v>6</v>
      </c>
      <c r="B13" s="115"/>
      <c r="C13" s="116"/>
      <c r="D13" s="84"/>
      <c r="F13" s="111" t="s">
        <v>9</v>
      </c>
      <c r="G13" s="112"/>
      <c r="H13" s="113"/>
      <c r="S13" t="s">
        <v>68</v>
      </c>
      <c r="T13" t="s">
        <v>69</v>
      </c>
      <c r="V13" s="69">
        <v>-6</v>
      </c>
      <c r="W13">
        <v>0.30305521380638545</v>
      </c>
    </row>
    <row r="14" spans="1:23" ht="16.8" thickBot="1">
      <c r="A14" s="18" t="s">
        <v>24</v>
      </c>
      <c r="B14" s="19">
        <f>B8/(B9*B11)</f>
        <v>1.2005076899928306</v>
      </c>
      <c r="C14" s="14" t="s">
        <v>19</v>
      </c>
      <c r="F14" s="53" t="s">
        <v>38</v>
      </c>
      <c r="G14" s="54">
        <v>39</v>
      </c>
      <c r="H14" s="56" t="s">
        <v>10</v>
      </c>
      <c r="I14" s="58">
        <v>60</v>
      </c>
      <c r="J14" s="56" t="s">
        <v>35</v>
      </c>
      <c r="L14" s="79" t="s">
        <v>44</v>
      </c>
      <c r="M14" s="55">
        <f>(1/2)*$B$14*(G14^2)</f>
        <v>912.98609823954769</v>
      </c>
      <c r="N14" s="56" t="s">
        <v>7</v>
      </c>
      <c r="P14" s="93" t="s">
        <v>67</v>
      </c>
      <c r="Q14" s="14">
        <v>0.96785790629621726</v>
      </c>
      <c r="S14" s="83">
        <f t="shared" ref="S14:S27" si="0">(N19^2)/($Q$14*PI()*6)</f>
        <v>1.9941771561037482E-3</v>
      </c>
      <c r="T14" s="100">
        <v>3.4759999999999999E-2</v>
      </c>
      <c r="V14" s="70">
        <v>-4.5</v>
      </c>
      <c r="W14">
        <v>0.25627185526053159</v>
      </c>
    </row>
    <row r="15" spans="1:23" ht="15" thickBot="1">
      <c r="F15" s="59" t="s">
        <v>39</v>
      </c>
      <c r="G15" s="61">
        <v>24</v>
      </c>
      <c r="H15" s="17" t="s">
        <v>10</v>
      </c>
      <c r="I15" s="60">
        <v>115</v>
      </c>
      <c r="J15" s="17" t="s">
        <v>35</v>
      </c>
      <c r="L15" s="59" t="s">
        <v>43</v>
      </c>
      <c r="M15" s="57">
        <f>(1/2)*$B$14*(G15^2)</f>
        <v>345.74621471793523</v>
      </c>
      <c r="N15" s="17" t="s">
        <v>7</v>
      </c>
      <c r="P15" s="93" t="s">
        <v>66</v>
      </c>
      <c r="Q15" s="14">
        <v>4.1069175957590804</v>
      </c>
      <c r="S15" s="83">
        <f t="shared" si="0"/>
        <v>3.7961068432094074E-4</v>
      </c>
      <c r="T15" s="100">
        <v>2.809E-2</v>
      </c>
      <c r="V15" s="70">
        <v>-3</v>
      </c>
      <c r="W15">
        <v>0.52730715109906323</v>
      </c>
    </row>
    <row r="16" spans="1:23" ht="15" thickBot="1">
      <c r="Q16">
        <v>7.0800000000000002E-2</v>
      </c>
      <c r="S16" s="83">
        <f t="shared" si="0"/>
        <v>3.2364834031702721E-5</v>
      </c>
      <c r="T16" s="100">
        <v>2.3689999999999999E-2</v>
      </c>
      <c r="V16" s="70">
        <v>-1.5</v>
      </c>
      <c r="W16">
        <v>0.49656907326832433</v>
      </c>
    </row>
    <row r="17" spans="1:23" ht="15" thickBot="1">
      <c r="A17" s="49" t="s">
        <v>36</v>
      </c>
      <c r="B17" s="64">
        <f>K7</f>
        <v>154119.50051882863</v>
      </c>
      <c r="J17" s="49" t="s">
        <v>41</v>
      </c>
      <c r="K17" s="64">
        <v>108000</v>
      </c>
      <c r="Q17">
        <f>Q16*180/PI()</f>
        <v>4.0565411895262287</v>
      </c>
      <c r="S17" s="83">
        <f t="shared" si="0"/>
        <v>9.5243960523603394E-4</v>
      </c>
      <c r="T17" s="100">
        <v>1.993E-2</v>
      </c>
      <c r="V17" s="70">
        <v>0</v>
      </c>
      <c r="W17">
        <v>0.50960746568451931</v>
      </c>
    </row>
    <row r="18" spans="1:23" ht="16.2" thickBot="1">
      <c r="A18" s="20" t="s">
        <v>46</v>
      </c>
      <c r="B18" s="65" t="s">
        <v>30</v>
      </c>
      <c r="C18" s="38" t="s">
        <v>22</v>
      </c>
      <c r="D18" s="38"/>
      <c r="E18" s="39" t="s">
        <v>23</v>
      </c>
      <c r="F18" s="36" t="s">
        <v>31</v>
      </c>
      <c r="G18" s="22" t="s">
        <v>32</v>
      </c>
      <c r="H18" s="23" t="s">
        <v>33</v>
      </c>
      <c r="J18" s="20" t="s">
        <v>46</v>
      </c>
      <c r="K18" s="65" t="s">
        <v>30</v>
      </c>
      <c r="L18" s="52" t="s">
        <v>22</v>
      </c>
      <c r="M18" s="67" t="s">
        <v>23</v>
      </c>
      <c r="N18" s="89" t="s">
        <v>31</v>
      </c>
      <c r="O18" s="22" t="s">
        <v>32</v>
      </c>
      <c r="P18" s="23" t="s">
        <v>33</v>
      </c>
      <c r="Q18" s="110">
        <f>((ABS(Q15-Q17))/Q15)*100</f>
        <v>1.226623253528921</v>
      </c>
      <c r="S18" s="83">
        <f t="shared" si="0"/>
        <v>3.139834997933934E-3</v>
      </c>
      <c r="T18" s="100">
        <v>1.7239999999999998E-2</v>
      </c>
      <c r="V18" s="70">
        <v>1.5</v>
      </c>
      <c r="W18">
        <v>0.49305696186143499</v>
      </c>
    </row>
    <row r="19" spans="1:23" ht="15" thickBot="1">
      <c r="A19" s="30">
        <v>1</v>
      </c>
      <c r="B19" s="46">
        <v>-6</v>
      </c>
      <c r="C19" s="40">
        <v>0.56999999999999995</v>
      </c>
      <c r="D19" s="41">
        <v>0.75900000000000001</v>
      </c>
      <c r="E19" s="105">
        <f>D19</f>
        <v>0.75900000000000001</v>
      </c>
      <c r="F19" s="33">
        <f>(C19*9.81)/($K$12*$G$11)-0.446</f>
        <v>-0.19080717674753783</v>
      </c>
      <c r="G19" s="24">
        <f>(D19*9.81)/($K$12*$G$11)-0.18</f>
        <v>0.1598093909624892</v>
      </c>
      <c r="H19" s="27">
        <f>F19/G19</f>
        <v>-1.1939672355820723</v>
      </c>
      <c r="I19" s="108">
        <f>G19-O19</f>
        <v>0.12305521380638546</v>
      </c>
      <c r="J19" s="30">
        <v>1</v>
      </c>
      <c r="K19" s="69">
        <v>-6</v>
      </c>
      <c r="L19" s="68">
        <f>($M$14*$G$8*N19)/9.81</f>
        <v>-1.0650859083949888</v>
      </c>
      <c r="M19" s="86">
        <f>($M$14*$G$8*O19)/9.81</f>
        <v>0.20523579691594049</v>
      </c>
      <c r="N19" s="90">
        <f>($Q$15)*((RADIANS(K19))-(RADIANS(-3.339)))</f>
        <v>-0.19073844208402144</v>
      </c>
      <c r="O19" s="97">
        <f t="shared" ref="O19:O32" si="1">T14+S14</f>
        <v>3.6754177156103747E-2</v>
      </c>
      <c r="P19" s="94">
        <f>N19/O19</f>
        <v>-5.1895718212901309</v>
      </c>
      <c r="S19" s="83">
        <f t="shared" si="0"/>
        <v>6.5945510121254054E-3</v>
      </c>
      <c r="T19" s="100">
        <v>1.78E-2</v>
      </c>
      <c r="V19" s="70">
        <v>3</v>
      </c>
      <c r="W19">
        <v>0.4824778581511453</v>
      </c>
    </row>
    <row r="20" spans="1:23" ht="15" thickBot="1">
      <c r="A20" s="31">
        <v>2</v>
      </c>
      <c r="B20" s="47">
        <v>-4.5</v>
      </c>
      <c r="C20" s="42">
        <v>0.78</v>
      </c>
      <c r="D20" s="104">
        <v>0.63600000000000001</v>
      </c>
      <c r="E20" s="105">
        <f t="shared" ref="E20:E32" si="2">D20</f>
        <v>0.63600000000000001</v>
      </c>
      <c r="F20" s="33">
        <f t="shared" ref="F20:F32" si="3">(C20*9.81)/($K$12*$G$11)-0.446</f>
        <v>-9.6788768180841145E-2</v>
      </c>
      <c r="G20" s="24">
        <f t="shared" ref="G20:G32" si="4">(D20*9.81)/($K$12*$G$11)-0.18</f>
        <v>0.10474146594485256</v>
      </c>
      <c r="H20" s="28">
        <f t="shared" ref="H20:H32" si="5">F20/G20</f>
        <v>-0.92407307180330478</v>
      </c>
      <c r="I20" s="108">
        <f>G20-O20</f>
        <v>7.6271855260531624E-2</v>
      </c>
      <c r="J20" s="31">
        <v>2</v>
      </c>
      <c r="K20" s="70">
        <v>-4.5</v>
      </c>
      <c r="L20" s="75">
        <f t="shared" ref="L20:M32" si="6">($M$14*$G$8*N20)/9.81</f>
        <v>-0.46469926330198486</v>
      </c>
      <c r="M20" s="87">
        <f t="shared" si="6"/>
        <v>0.15897467141943189</v>
      </c>
      <c r="N20" s="91">
        <f t="shared" ref="N20:N32" si="7">($Q$15)*((RADIANS(K20))-(RADIANS(-3.339)))</f>
        <v>-8.3219590852893224E-2</v>
      </c>
      <c r="O20" s="98">
        <f t="shared" si="1"/>
        <v>2.846961068432094E-2</v>
      </c>
      <c r="P20" s="95">
        <f t="shared" ref="P20:P32" si="8">N20/O20</f>
        <v>-2.923102524149539</v>
      </c>
      <c r="S20" s="83">
        <f t="shared" si="0"/>
        <v>1.1316587647810442E-2</v>
      </c>
      <c r="T20" s="100">
        <v>1.9179999999999999E-2</v>
      </c>
      <c r="V20" s="70">
        <v>4.5</v>
      </c>
      <c r="W20">
        <v>0.46357583320745521</v>
      </c>
    </row>
    <row r="21" spans="1:23" ht="15" thickBot="1">
      <c r="A21" s="31">
        <v>3</v>
      </c>
      <c r="B21" s="47">
        <v>-3</v>
      </c>
      <c r="C21" s="42">
        <v>1.03</v>
      </c>
      <c r="D21" s="104">
        <v>0.55400000000000005</v>
      </c>
      <c r="E21" s="105">
        <f t="shared" si="2"/>
        <v>0.55400000000000005</v>
      </c>
      <c r="F21" s="33">
        <f t="shared" si="3"/>
        <v>1.5137908684273838E-2</v>
      </c>
      <c r="G21" s="24">
        <f t="shared" si="4"/>
        <v>6.8029515933094892E-2</v>
      </c>
      <c r="H21" s="28">
        <f t="shared" si="5"/>
        <v>0.22251971775253471</v>
      </c>
      <c r="I21" s="108">
        <f t="shared" ref="I21:I32" si="9">G21-O21</f>
        <v>4.4307151099063191E-2</v>
      </c>
      <c r="J21" s="31">
        <v>3</v>
      </c>
      <c r="K21" s="70">
        <v>-3</v>
      </c>
      <c r="L21" s="75">
        <f t="shared" si="6"/>
        <v>0.13568738179101875</v>
      </c>
      <c r="M21" s="87">
        <f t="shared" si="6"/>
        <v>0.13246598966873185</v>
      </c>
      <c r="N21" s="91">
        <f t="shared" si="7"/>
        <v>2.4299260378234953E-2</v>
      </c>
      <c r="O21" s="98">
        <f t="shared" si="1"/>
        <v>2.3722364834031701E-2</v>
      </c>
      <c r="P21" s="95">
        <f t="shared" si="8"/>
        <v>1.0243186355255631</v>
      </c>
      <c r="S21" s="83">
        <f t="shared" si="0"/>
        <v>1.7305944904989046E-2</v>
      </c>
      <c r="T21" s="100">
        <v>2.0899999999999998E-2</v>
      </c>
      <c r="V21" s="70">
        <v>6</v>
      </c>
      <c r="W21">
        <v>0.45858622240338764</v>
      </c>
    </row>
    <row r="22" spans="1:23" ht="15" thickBot="1">
      <c r="A22" s="31">
        <v>4</v>
      </c>
      <c r="B22" s="47">
        <v>-1.5</v>
      </c>
      <c r="C22" s="42">
        <v>1.4</v>
      </c>
      <c r="D22" s="104">
        <v>0.47899999999999998</v>
      </c>
      <c r="E22" s="105">
        <f t="shared" si="2"/>
        <v>0.47899999999999998</v>
      </c>
      <c r="F22" s="33">
        <f t="shared" si="3"/>
        <v>0.18078939044464409</v>
      </c>
      <c r="G22" s="24">
        <f t="shared" si="4"/>
        <v>3.445151287356038E-2</v>
      </c>
      <c r="H22" s="28">
        <f t="shared" si="5"/>
        <v>5.2476473561017372</v>
      </c>
      <c r="I22" s="108">
        <f t="shared" si="9"/>
        <v>1.3569073268324346E-2</v>
      </c>
      <c r="J22" s="31">
        <v>4</v>
      </c>
      <c r="K22" s="70">
        <v>-1.5</v>
      </c>
      <c r="L22" s="75">
        <f t="shared" si="6"/>
        <v>0.73607402688402257</v>
      </c>
      <c r="M22" s="87">
        <f t="shared" si="6"/>
        <v>0.11660781074561129</v>
      </c>
      <c r="N22" s="91">
        <f t="shared" si="7"/>
        <v>0.13181811160936316</v>
      </c>
      <c r="O22" s="98">
        <f t="shared" si="1"/>
        <v>2.0882439605236034E-2</v>
      </c>
      <c r="P22" s="95">
        <f t="shared" si="8"/>
        <v>6.3123904151654422</v>
      </c>
      <c r="S22" s="83">
        <f t="shared" si="0"/>
        <v>2.4562622783661229E-2</v>
      </c>
      <c r="T22" s="100">
        <v>2.3109999999999999E-2</v>
      </c>
      <c r="V22" s="70">
        <v>7.5</v>
      </c>
      <c r="W22">
        <v>0.45055846414798456</v>
      </c>
    </row>
    <row r="23" spans="1:23" ht="15" thickBot="1">
      <c r="A23" s="31">
        <v>5</v>
      </c>
      <c r="B23" s="47">
        <v>0</v>
      </c>
      <c r="C23" s="42">
        <v>1.52</v>
      </c>
      <c r="D23" s="104">
        <v>0.50700000000000001</v>
      </c>
      <c r="E23" s="105">
        <f t="shared" si="2"/>
        <v>0.50700000000000001</v>
      </c>
      <c r="F23" s="33">
        <f t="shared" si="3"/>
        <v>0.23451419533989931</v>
      </c>
      <c r="G23" s="24">
        <f t="shared" si="4"/>
        <v>4.6987300682453242E-2</v>
      </c>
      <c r="H23" s="28">
        <f t="shared" si="5"/>
        <v>4.9910122934019787</v>
      </c>
      <c r="I23" s="108">
        <f t="shared" si="9"/>
        <v>2.660746568451931E-2</v>
      </c>
      <c r="J23" s="31">
        <v>5</v>
      </c>
      <c r="K23" s="70">
        <v>0</v>
      </c>
      <c r="L23" s="75">
        <f t="shared" si="6"/>
        <v>1.3364606719770264</v>
      </c>
      <c r="M23" s="87">
        <f t="shared" si="6"/>
        <v>0.11380126016837602</v>
      </c>
      <c r="N23" s="91">
        <f t="shared" si="7"/>
        <v>0.23933696284049136</v>
      </c>
      <c r="O23" s="98">
        <f t="shared" si="1"/>
        <v>2.0379834997933933E-2</v>
      </c>
      <c r="P23" s="95">
        <f t="shared" si="8"/>
        <v>11.743812590472634</v>
      </c>
      <c r="S23" s="83">
        <f t="shared" si="0"/>
        <v>3.3086621283826972E-2</v>
      </c>
      <c r="T23" s="100">
        <v>2.53E-2</v>
      </c>
      <c r="V23" s="70">
        <v>9</v>
      </c>
      <c r="W23">
        <v>0.45746312003220407</v>
      </c>
    </row>
    <row r="24" spans="1:23" ht="15" thickBot="1">
      <c r="A24" s="31">
        <v>6</v>
      </c>
      <c r="B24" s="47">
        <v>1.5</v>
      </c>
      <c r="C24" s="42">
        <v>1.77</v>
      </c>
      <c r="D24" s="104">
        <v>0.47899999999999998</v>
      </c>
      <c r="E24" s="105">
        <f t="shared" si="2"/>
        <v>0.47899999999999998</v>
      </c>
      <c r="F24" s="33">
        <f t="shared" si="3"/>
        <v>0.34644087220501435</v>
      </c>
      <c r="G24" s="24">
        <f t="shared" si="4"/>
        <v>3.445151287356038E-2</v>
      </c>
      <c r="H24" s="28">
        <f t="shared" si="5"/>
        <v>10.055897210565997</v>
      </c>
      <c r="I24" s="108">
        <f t="shared" si="9"/>
        <v>1.0056961861434975E-2</v>
      </c>
      <c r="J24" s="31">
        <v>6</v>
      </c>
      <c r="K24" s="70">
        <v>1.5</v>
      </c>
      <c r="L24" s="75">
        <f t="shared" si="6"/>
        <v>1.9368473170700304</v>
      </c>
      <c r="M24" s="87">
        <f t="shared" si="6"/>
        <v>0.1362194859135534</v>
      </c>
      <c r="N24" s="91">
        <f t="shared" si="7"/>
        <v>0.34685581407161958</v>
      </c>
      <c r="O24" s="98">
        <f t="shared" si="1"/>
        <v>2.4394551012125405E-2</v>
      </c>
      <c r="P24" s="95">
        <f t="shared" si="8"/>
        <v>14.218577497048974</v>
      </c>
      <c r="S24" s="83">
        <f t="shared" si="0"/>
        <v>4.2877940405486294E-2</v>
      </c>
      <c r="T24" s="100">
        <v>2.6960000000000001E-2</v>
      </c>
      <c r="V24" s="70">
        <v>10.5</v>
      </c>
      <c r="W24">
        <v>0.45454402785318132</v>
      </c>
    </row>
    <row r="25" spans="1:23" ht="15" thickBot="1">
      <c r="A25" s="31">
        <v>7</v>
      </c>
      <c r="B25" s="47">
        <v>3</v>
      </c>
      <c r="C25" s="42">
        <v>1.86</v>
      </c>
      <c r="D25" s="104">
        <v>0.46899999999999997</v>
      </c>
      <c r="E25" s="105">
        <f t="shared" si="2"/>
        <v>0.46899999999999997</v>
      </c>
      <c r="F25" s="33">
        <f t="shared" si="3"/>
        <v>0.38673447587645565</v>
      </c>
      <c r="G25" s="24">
        <f t="shared" si="4"/>
        <v>2.9974445798955751E-2</v>
      </c>
      <c r="H25" s="28">
        <f t="shared" si="5"/>
        <v>12.902139324621931</v>
      </c>
      <c r="I25" s="108">
        <f t="shared" si="9"/>
        <v>-5.2214184885469167E-4</v>
      </c>
      <c r="J25" s="31">
        <v>7</v>
      </c>
      <c r="K25" s="70">
        <v>3</v>
      </c>
      <c r="L25" s="75">
        <f t="shared" si="6"/>
        <v>2.5372339621630338</v>
      </c>
      <c r="M25" s="87">
        <f t="shared" si="6"/>
        <v>0.17029333679629871</v>
      </c>
      <c r="N25" s="91">
        <f>($Q$15)*((RADIANS(K25))-(RADIANS(-3.339)))</f>
        <v>0.45437466530274773</v>
      </c>
      <c r="O25" s="98">
        <f t="shared" si="1"/>
        <v>3.0496587647810443E-2</v>
      </c>
      <c r="P25" s="95">
        <f t="shared" si="8"/>
        <v>14.89919693803416</v>
      </c>
      <c r="S25" s="83">
        <f t="shared" si="0"/>
        <v>5.3936580148639182E-2</v>
      </c>
      <c r="T25" s="100">
        <v>2.8670000000000001E-2</v>
      </c>
      <c r="V25" s="70">
        <v>12</v>
      </c>
      <c r="W25">
        <v>0.43644494736615347</v>
      </c>
    </row>
    <row r="26" spans="1:23" ht="15" thickBot="1">
      <c r="A26" s="31">
        <v>8</v>
      </c>
      <c r="B26" s="47">
        <v>4.5</v>
      </c>
      <c r="C26" s="42">
        <v>2.16</v>
      </c>
      <c r="D26" s="104">
        <v>0.44400000000000001</v>
      </c>
      <c r="E26" s="105">
        <f t="shared" si="2"/>
        <v>0.44400000000000001</v>
      </c>
      <c r="F26" s="33">
        <f t="shared" si="3"/>
        <v>0.52104648811459375</v>
      </c>
      <c r="G26" s="24">
        <f t="shared" si="4"/>
        <v>1.8781778112444275E-2</v>
      </c>
      <c r="H26" s="28">
        <f t="shared" si="5"/>
        <v>27.742127768475928</v>
      </c>
      <c r="I26" s="108">
        <f t="shared" si="9"/>
        <v>-1.9424166792544773E-2</v>
      </c>
      <c r="J26" s="31">
        <v>8</v>
      </c>
      <c r="K26" s="70">
        <v>4.5</v>
      </c>
      <c r="L26" s="75">
        <f t="shared" si="6"/>
        <v>3.1376206072560371</v>
      </c>
      <c r="M26" s="87">
        <f t="shared" si="6"/>
        <v>0.21334248665664265</v>
      </c>
      <c r="N26" s="91">
        <f t="shared" si="7"/>
        <v>0.56189351653387587</v>
      </c>
      <c r="O26" s="98">
        <f t="shared" si="1"/>
        <v>3.8205944904989048E-2</v>
      </c>
      <c r="P26" s="95">
        <f t="shared" si="8"/>
        <v>14.706965576461954</v>
      </c>
      <c r="S26" s="83">
        <f t="shared" si="0"/>
        <v>6.6262540513285659E-2</v>
      </c>
      <c r="T26" s="100">
        <v>3.3099999999999997E-2</v>
      </c>
      <c r="V26" s="71">
        <v>13.5</v>
      </c>
      <c r="W26">
        <v>0.41973809382176219</v>
      </c>
    </row>
    <row r="27" spans="1:23" ht="15" thickBot="1">
      <c r="A27" s="31">
        <v>9</v>
      </c>
      <c r="B27" s="47">
        <v>6</v>
      </c>
      <c r="C27" s="42">
        <v>2.42</v>
      </c>
      <c r="D27" s="104">
        <v>0.45400000000000001</v>
      </c>
      <c r="E27" s="105">
        <f t="shared" si="2"/>
        <v>0.45400000000000001</v>
      </c>
      <c r="F27" s="33">
        <f t="shared" si="3"/>
        <v>0.63745023205431339</v>
      </c>
      <c r="G27" s="24">
        <f t="shared" si="4"/>
        <v>2.3258845187048904E-2</v>
      </c>
      <c r="H27" s="28">
        <f t="shared" si="5"/>
        <v>27.406787694225734</v>
      </c>
      <c r="I27" s="108">
        <f t="shared" si="9"/>
        <v>-2.4413777596612327E-2</v>
      </c>
      <c r="J27" s="31">
        <v>9</v>
      </c>
      <c r="K27" s="70">
        <v>6</v>
      </c>
      <c r="L27" s="75">
        <f t="shared" si="6"/>
        <v>3.7380072523490409</v>
      </c>
      <c r="M27" s="87">
        <f t="shared" si="6"/>
        <v>0.26620453741957567</v>
      </c>
      <c r="N27" s="91">
        <f t="shared" si="7"/>
        <v>0.66941236776500412</v>
      </c>
      <c r="O27" s="98">
        <f t="shared" si="1"/>
        <v>4.7672622783661231E-2</v>
      </c>
      <c r="P27" s="95">
        <f t="shared" si="8"/>
        <v>14.041861527166297</v>
      </c>
      <c r="S27" s="83">
        <f t="shared" si="0"/>
        <v>7.9855821499425633E-2</v>
      </c>
      <c r="T27" s="100">
        <v>4.4720000000000003E-2</v>
      </c>
    </row>
    <row r="28" spans="1:23" ht="15" thickBot="1">
      <c r="A28" s="31">
        <v>10</v>
      </c>
      <c r="B28" s="47">
        <v>7.5</v>
      </c>
      <c r="C28" s="42">
        <v>2.78</v>
      </c>
      <c r="D28" s="104">
        <v>0.46</v>
      </c>
      <c r="E28" s="105">
        <f t="shared" si="2"/>
        <v>0.46</v>
      </c>
      <c r="F28" s="33">
        <f t="shared" si="3"/>
        <v>0.79862464674007883</v>
      </c>
      <c r="G28" s="24">
        <f t="shared" si="4"/>
        <v>2.5945085431811649E-2</v>
      </c>
      <c r="H28" s="28">
        <f t="shared" si="5"/>
        <v>30.781345809749137</v>
      </c>
      <c r="I28" s="108">
        <f t="shared" si="9"/>
        <v>-3.2441535852015327E-2</v>
      </c>
      <c r="J28" s="31">
        <v>10</v>
      </c>
      <c r="K28" s="70">
        <v>7.5</v>
      </c>
      <c r="L28" s="75">
        <f t="shared" si="6"/>
        <v>4.3383938974420442</v>
      </c>
      <c r="M28" s="87">
        <f t="shared" si="6"/>
        <v>0.32603164254013034</v>
      </c>
      <c r="N28" s="91">
        <f t="shared" si="7"/>
        <v>0.77693121899613227</v>
      </c>
      <c r="O28" s="98">
        <f t="shared" si="1"/>
        <v>5.8386621283826975E-2</v>
      </c>
      <c r="P28" s="95">
        <f t="shared" si="8"/>
        <v>13.306665155692803</v>
      </c>
    </row>
    <row r="29" spans="1:23" ht="15" thickBot="1">
      <c r="A29" s="31">
        <v>11</v>
      </c>
      <c r="B29" s="47">
        <v>9</v>
      </c>
      <c r="C29" s="42">
        <v>3.11</v>
      </c>
      <c r="D29" s="104">
        <v>0.501</v>
      </c>
      <c r="E29" s="105">
        <f t="shared" si="2"/>
        <v>0.501</v>
      </c>
      <c r="F29" s="33">
        <f t="shared" si="3"/>
        <v>0.94636786020203068</v>
      </c>
      <c r="G29" s="24">
        <f t="shared" si="4"/>
        <v>4.4301060437690498E-2</v>
      </c>
      <c r="H29" s="28">
        <f t="shared" si="5"/>
        <v>21.362194287269904</v>
      </c>
      <c r="I29" s="108">
        <f t="shared" si="9"/>
        <v>-2.55368799677958E-2</v>
      </c>
      <c r="J29" s="31">
        <v>11</v>
      </c>
      <c r="K29" s="70">
        <v>9</v>
      </c>
      <c r="L29" s="75">
        <f t="shared" si="6"/>
        <v>4.9387805425350493</v>
      </c>
      <c r="M29" s="87">
        <f t="shared" si="6"/>
        <v>0.38997595547333935</v>
      </c>
      <c r="N29" s="91">
        <f t="shared" si="7"/>
        <v>0.88445007022726052</v>
      </c>
      <c r="O29" s="98">
        <f t="shared" si="1"/>
        <v>6.9837940405486298E-2</v>
      </c>
      <c r="P29" s="95">
        <f t="shared" si="8"/>
        <v>12.664320641359868</v>
      </c>
    </row>
    <row r="30" spans="1:23" ht="15" thickBot="1">
      <c r="A30" s="31">
        <v>12</v>
      </c>
      <c r="B30" s="47">
        <v>10.5</v>
      </c>
      <c r="C30" s="106">
        <v>3.34</v>
      </c>
      <c r="D30" s="107">
        <v>0.52300000000000002</v>
      </c>
      <c r="E30" s="105">
        <f t="shared" si="2"/>
        <v>0.52300000000000002</v>
      </c>
      <c r="F30" s="33">
        <f t="shared" si="3"/>
        <v>1.0493404029179365</v>
      </c>
      <c r="G30" s="24">
        <f t="shared" si="4"/>
        <v>5.4150608001820616E-2</v>
      </c>
      <c r="H30" s="28">
        <f t="shared" si="5"/>
        <v>19.378183212322497</v>
      </c>
      <c r="I30" s="108">
        <f t="shared" si="9"/>
        <v>-2.8455972146818567E-2</v>
      </c>
      <c r="J30" s="31">
        <v>12</v>
      </c>
      <c r="K30" s="70">
        <v>10.5</v>
      </c>
      <c r="L30" s="75">
        <f t="shared" si="6"/>
        <v>5.5391671876280526</v>
      </c>
      <c r="M30" s="87">
        <f t="shared" si="6"/>
        <v>0.46127620366249883</v>
      </c>
      <c r="N30" s="91">
        <f t="shared" si="7"/>
        <v>0.99196892145838877</v>
      </c>
      <c r="O30" s="98">
        <f t="shared" si="1"/>
        <v>8.2606580148639183E-2</v>
      </c>
      <c r="P30" s="95">
        <f t="shared" si="8"/>
        <v>12.008352357324043</v>
      </c>
    </row>
    <row r="31" spans="1:23" ht="15" thickBot="1">
      <c r="A31" s="31">
        <v>13</v>
      </c>
      <c r="B31" s="47">
        <v>12</v>
      </c>
      <c r="C31" s="42">
        <v>3.34</v>
      </c>
      <c r="D31" s="104">
        <v>0.52</v>
      </c>
      <c r="E31" s="105">
        <f t="shared" si="2"/>
        <v>0.52</v>
      </c>
      <c r="F31" s="33">
        <f t="shared" si="3"/>
        <v>1.0493404029179365</v>
      </c>
      <c r="G31" s="24">
        <f t="shared" si="4"/>
        <v>5.280748787943923E-2</v>
      </c>
      <c r="H31" s="28">
        <f t="shared" si="5"/>
        <v>19.871053236116932</v>
      </c>
      <c r="I31" s="108">
        <f t="shared" si="9"/>
        <v>-4.6555052633846433E-2</v>
      </c>
      <c r="J31" s="31">
        <v>13</v>
      </c>
      <c r="K31" s="70">
        <v>12</v>
      </c>
      <c r="L31" s="75">
        <f t="shared" si="6"/>
        <v>6.1395538327210577</v>
      </c>
      <c r="M31" s="87">
        <f t="shared" si="6"/>
        <v>0.55484170137243827</v>
      </c>
      <c r="N31" s="91">
        <f t="shared" si="7"/>
        <v>1.0994877726895171</v>
      </c>
      <c r="O31" s="98">
        <f t="shared" si="1"/>
        <v>9.9362540513285663E-2</v>
      </c>
      <c r="P31" s="95">
        <f t="shared" si="8"/>
        <v>11.065415266254245</v>
      </c>
    </row>
    <row r="32" spans="1:23" ht="15" thickBot="1">
      <c r="A32" s="32">
        <v>14</v>
      </c>
      <c r="B32" s="48">
        <v>13.5</v>
      </c>
      <c r="C32" s="42">
        <v>3.53</v>
      </c>
      <c r="D32" s="104">
        <v>0.53900000000000003</v>
      </c>
      <c r="E32" s="105">
        <f t="shared" si="2"/>
        <v>0.53900000000000003</v>
      </c>
      <c r="F32" s="33">
        <f t="shared" si="3"/>
        <v>1.1344046773354239</v>
      </c>
      <c r="G32" s="24">
        <f t="shared" si="4"/>
        <v>6.1313915321187989E-2</v>
      </c>
      <c r="H32" s="29">
        <f t="shared" si="5"/>
        <v>18.501586000387299</v>
      </c>
      <c r="I32" s="108">
        <f t="shared" si="9"/>
        <v>-6.3261906178237653E-2</v>
      </c>
      <c r="J32" s="32">
        <v>14</v>
      </c>
      <c r="K32" s="71">
        <v>13.5</v>
      </c>
      <c r="L32" s="76">
        <f t="shared" si="6"/>
        <v>6.7399404778140592</v>
      </c>
      <c r="M32" s="88">
        <f t="shared" si="6"/>
        <v>0.69563298596787138</v>
      </c>
      <c r="N32" s="92">
        <f t="shared" si="7"/>
        <v>1.2070066239206449</v>
      </c>
      <c r="O32" s="99">
        <f t="shared" si="1"/>
        <v>0.12457582149942564</v>
      </c>
      <c r="P32" s="96">
        <f t="shared" si="8"/>
        <v>9.6889316834744683</v>
      </c>
    </row>
    <row r="33" spans="1:9">
      <c r="A33" t="s">
        <v>48</v>
      </c>
      <c r="B33" s="82">
        <v>16</v>
      </c>
      <c r="I33" s="109">
        <f>AVERAGE(I23:I32)</f>
        <v>-2.0394700547077128E-2</v>
      </c>
    </row>
    <row r="70" spans="3:4">
      <c r="C70">
        <v>2</v>
      </c>
      <c r="D70">
        <v>1.22</v>
      </c>
    </row>
    <row r="71" spans="3:4">
      <c r="C71">
        <v>4</v>
      </c>
      <c r="D71">
        <v>4.4400000000000004</v>
      </c>
    </row>
    <row r="72" spans="3:4">
      <c r="C72">
        <v>6</v>
      </c>
      <c r="D72">
        <v>6.09</v>
      </c>
    </row>
    <row r="73" spans="3:4">
      <c r="C73">
        <v>8</v>
      </c>
      <c r="D73">
        <v>6.8</v>
      </c>
    </row>
    <row r="74" spans="3:4">
      <c r="C74">
        <v>10</v>
      </c>
      <c r="D74">
        <v>8.73</v>
      </c>
    </row>
  </sheetData>
  <mergeCells count="7">
    <mergeCell ref="A13:C13"/>
    <mergeCell ref="F13:H13"/>
    <mergeCell ref="A6:C6"/>
    <mergeCell ref="F6:H6"/>
    <mergeCell ref="J6:K6"/>
    <mergeCell ref="F10:H10"/>
    <mergeCell ref="J11:L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Gráficos</vt:lpstr>
      </vt:variant>
      <vt:variant>
        <vt:i4>3</vt:i4>
      </vt:variant>
    </vt:vector>
  </HeadingPairs>
  <TitlesOfParts>
    <vt:vector size="7" baseType="lpstr">
      <vt:lpstr>Hoja1</vt:lpstr>
      <vt:lpstr>Airfoil aerodynamic data</vt:lpstr>
      <vt:lpstr>Prueba Modelo completo</vt:lpstr>
      <vt:lpstr>Prueba Modelo</vt:lpstr>
      <vt:lpstr>Graph 1</vt:lpstr>
      <vt:lpstr>Graph 2</vt:lpstr>
      <vt:lpstr>Graph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Alvarado Perilla</dc:creator>
  <cp:lastModifiedBy>Miguel Angel Rendon Hoyos</cp:lastModifiedBy>
  <dcterms:created xsi:type="dcterms:W3CDTF">2023-12-18T15:01:22Z</dcterms:created>
  <dcterms:modified xsi:type="dcterms:W3CDTF">2024-10-15T14:42:14Z</dcterms:modified>
</cp:coreProperties>
</file>