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ya\OneDrive\Documentos\Universidad\2024-2\Aerodinámica\"/>
    </mc:Choice>
  </mc:AlternateContent>
  <xr:revisionPtr revIDLastSave="0" documentId="13_ncr:1_{62A5FB8B-2060-4406-81A3-F9E5B94BC64D}" xr6:coauthVersionLast="47" xr6:coauthVersionMax="47" xr10:uidLastSave="{00000000-0000-0000-0000-000000000000}"/>
  <bookViews>
    <workbookView xWindow="-120" yWindow="-120" windowWidth="29040" windowHeight="15720" activeTab="1" xr2:uid="{DB62AD97-9451-4FD7-A814-3B54E514635F}"/>
  </bookViews>
  <sheets>
    <sheet name="Apendice A (Subsonico)" sheetId="1" r:id="rId1"/>
    <sheet name="Apendice B (Supersonico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H3" i="2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3" i="1"/>
</calcChain>
</file>

<file path=xl/sharedStrings.xml><?xml version="1.0" encoding="utf-8"?>
<sst xmlns="http://schemas.openxmlformats.org/spreadsheetml/2006/main" count="14" uniqueCount="14">
  <si>
    <t>M</t>
  </si>
  <si>
    <t>T0/T</t>
  </si>
  <si>
    <t>p0/p</t>
  </si>
  <si>
    <t>rho0/rho</t>
  </si>
  <si>
    <t>M2</t>
  </si>
  <si>
    <t>Mach detrás onda choque</t>
  </si>
  <si>
    <t>rho2/rho1</t>
  </si>
  <si>
    <t>M1</t>
  </si>
  <si>
    <t>p2/p1</t>
  </si>
  <si>
    <t>T2/T1</t>
  </si>
  <si>
    <t>CP</t>
  </si>
  <si>
    <t>kJ/KgK</t>
  </si>
  <si>
    <t>P0.2/P0.1</t>
  </si>
  <si>
    <t>S2-S1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</si>
</sst>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Valores</a:t>
            </a:r>
            <a:r>
              <a:rPr lang="es-CO" baseline="0"/>
              <a:t> de la relaciones en subsonico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'Apendice A (Subsonico)'!$C$2</c:f>
              <c:strCache>
                <c:ptCount val="1"/>
                <c:pt idx="0">
                  <c:v>T0/T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'Apendice A (Subsonico)'!$B$3:$B$23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'Apendice A (Subsonico)'!$C$3:$C$23</c:f>
              <c:numCache>
                <c:formatCode>General</c:formatCode>
                <c:ptCount val="21"/>
                <c:pt idx="0">
                  <c:v>1</c:v>
                </c:pt>
                <c:pt idx="1">
                  <c:v>1.0004999999999999</c:v>
                </c:pt>
                <c:pt idx="2">
                  <c:v>1.002</c:v>
                </c:pt>
                <c:pt idx="3">
                  <c:v>1.0044999999999999</c:v>
                </c:pt>
                <c:pt idx="4">
                  <c:v>1.008</c:v>
                </c:pt>
                <c:pt idx="5">
                  <c:v>1.0125</c:v>
                </c:pt>
                <c:pt idx="6">
                  <c:v>1.018</c:v>
                </c:pt>
                <c:pt idx="7">
                  <c:v>1.0245</c:v>
                </c:pt>
                <c:pt idx="8">
                  <c:v>1.032</c:v>
                </c:pt>
                <c:pt idx="9">
                  <c:v>1.0405</c:v>
                </c:pt>
                <c:pt idx="10">
                  <c:v>1.05</c:v>
                </c:pt>
                <c:pt idx="11">
                  <c:v>1.0605</c:v>
                </c:pt>
                <c:pt idx="12">
                  <c:v>1.0720000000000001</c:v>
                </c:pt>
                <c:pt idx="13">
                  <c:v>1.0845</c:v>
                </c:pt>
                <c:pt idx="14">
                  <c:v>1.0979999999999999</c:v>
                </c:pt>
                <c:pt idx="15">
                  <c:v>1.1125</c:v>
                </c:pt>
                <c:pt idx="16">
                  <c:v>1.1280000000000001</c:v>
                </c:pt>
                <c:pt idx="17">
                  <c:v>1.1444999999999999</c:v>
                </c:pt>
                <c:pt idx="18">
                  <c:v>1.1619999999999999</c:v>
                </c:pt>
                <c:pt idx="19">
                  <c:v>1.1804999999999999</c:v>
                </c:pt>
                <c:pt idx="20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BD-48FD-8A3F-9ABB301CB923}"/>
            </c:ext>
          </c:extLst>
        </c:ser>
        <c:ser>
          <c:idx val="1"/>
          <c:order val="1"/>
          <c:tx>
            <c:strRef>
              <c:f>'Apendice A (Subsonico)'!$D$2</c:f>
              <c:strCache>
                <c:ptCount val="1"/>
                <c:pt idx="0">
                  <c:v>p0/p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A (Subsonico)'!$B$3:$B$23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'Apendice A (Subsonico)'!$D$3:$D$23</c:f>
              <c:numCache>
                <c:formatCode>General</c:formatCode>
                <c:ptCount val="21"/>
                <c:pt idx="0">
                  <c:v>1</c:v>
                </c:pt>
                <c:pt idx="1">
                  <c:v>1.0017510940234544</c:v>
                </c:pt>
                <c:pt idx="2">
                  <c:v>1.0070175175043741</c:v>
                </c:pt>
                <c:pt idx="3">
                  <c:v>1.0158387931980133</c:v>
                </c:pt>
                <c:pt idx="4">
                  <c:v>1.0282811211191059</c:v>
                </c:pt>
                <c:pt idx="5">
                  <c:v>1.0444378728783388</c:v>
                </c:pt>
                <c:pt idx="6">
                  <c:v>1.0644302861529382</c:v>
                </c:pt>
                <c:pt idx="7">
                  <c:v>1.0884083616780784</c:v>
                </c:pt>
                <c:pt idx="8">
                  <c:v>1.1165519658097534</c:v>
                </c:pt>
                <c:pt idx="9">
                  <c:v>1.1490721423604813</c:v>
                </c:pt>
                <c:pt idx="10">
                  <c:v>1.1862126380443982</c:v>
                </c:pt>
                <c:pt idx="11">
                  <c:v>1.2282516464855568</c:v>
                </c:pt>
                <c:pt idx="12">
                  <c:v>1.2755037763406945</c:v>
                </c:pt>
                <c:pt idx="13">
                  <c:v>1.328322249663566</c:v>
                </c:pt>
                <c:pt idx="14">
                  <c:v>1.3871013371908145</c:v>
                </c:pt>
                <c:pt idx="15">
                  <c:v>1.4522790377580601</c:v>
                </c:pt>
                <c:pt idx="16">
                  <c:v>1.5243400095586486</c:v>
                </c:pt>
                <c:pt idx="17">
                  <c:v>1.603818761435756</c:v>
                </c:pt>
                <c:pt idx="18">
                  <c:v>1.691303112850931</c:v>
                </c:pt>
                <c:pt idx="19">
                  <c:v>1.7874379315987097</c:v>
                </c:pt>
                <c:pt idx="20">
                  <c:v>1.8929291587378541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BD-48FD-8A3F-9ABB301CB923}"/>
            </c:ext>
          </c:extLst>
        </c:ser>
        <c:ser>
          <c:idx val="2"/>
          <c:order val="2"/>
          <c:tx>
            <c:strRef>
              <c:f>'Apendice A (Subsonico)'!$E$2</c:f>
              <c:strCache>
                <c:ptCount val="1"/>
                <c:pt idx="0">
                  <c:v>rho0/rho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 (Subsonico)'!$B$3:$B$23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'Apendice A (Subsonico)'!$E$3:$E$23</c:f>
              <c:numCache>
                <c:formatCode>General</c:formatCode>
                <c:ptCount val="21"/>
                <c:pt idx="0">
                  <c:v>1</c:v>
                </c:pt>
                <c:pt idx="1">
                  <c:v>1.00125046878906</c:v>
                </c:pt>
                <c:pt idx="2">
                  <c:v>1.0050075024993754</c:v>
                </c:pt>
                <c:pt idx="3">
                  <c:v>1.0112879972105659</c:v>
                </c:pt>
                <c:pt idx="4">
                  <c:v>1.0201201598403828</c:v>
                </c:pt>
                <c:pt idx="5">
                  <c:v>1.0315435781514459</c:v>
                </c:pt>
                <c:pt idx="6">
                  <c:v>1.0456093184213537</c:v>
                </c:pt>
                <c:pt idx="7">
                  <c:v>1.0623800504422436</c:v>
                </c:pt>
                <c:pt idx="8">
                  <c:v>1.0819301994280557</c:v>
                </c:pt>
                <c:pt idx="9">
                  <c:v>1.1043461243253063</c:v>
                </c:pt>
                <c:pt idx="10">
                  <c:v>1.1297263219470459</c:v>
                </c:pt>
                <c:pt idx="11">
                  <c:v>1.1581816562805816</c:v>
                </c:pt>
                <c:pt idx="12">
                  <c:v>1.1898356122581104</c:v>
                </c:pt>
                <c:pt idx="13">
                  <c:v>1.2248245732259715</c:v>
                </c:pt>
                <c:pt idx="14">
                  <c:v>1.26329812130311</c:v>
                </c:pt>
                <c:pt idx="15">
                  <c:v>1.3054193597825259</c:v>
                </c:pt>
                <c:pt idx="16">
                  <c:v>1.3513652567009296</c:v>
                </c:pt>
                <c:pt idx="17">
                  <c:v>1.4013270086813072</c:v>
                </c:pt>
                <c:pt idx="18">
                  <c:v>1.4555104241402159</c:v>
                </c:pt>
                <c:pt idx="19">
                  <c:v>1.5141363249459634</c:v>
                </c:pt>
                <c:pt idx="20">
                  <c:v>1.5774409656148785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BD-48FD-8A3F-9ABB301CB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734896"/>
        <c:axId val="709735856"/>
      </c:scatterChart>
      <c:valAx>
        <c:axId val="70973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9735856"/>
        <c:crosses val="autoZero"/>
        <c:crossBetween val="midCat"/>
      </c:valAx>
      <c:valAx>
        <c:axId val="70973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valor de la relación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0973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</xdr:row>
      <xdr:rowOff>23811</xdr:rowOff>
    </xdr:from>
    <xdr:to>
      <xdr:col>12</xdr:col>
      <xdr:colOff>171450</xdr:colOff>
      <xdr:row>20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CDE890-BBDC-3568-00D9-3F3895141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0F751-EE95-4BF5-AF99-C7C276F2A99C}">
  <dimension ref="B2:E23"/>
  <sheetViews>
    <sheetView workbookViewId="0">
      <selection activeCell="B3" sqref="B3:B23"/>
    </sheetView>
  </sheetViews>
  <sheetFormatPr baseColWidth="10" defaultRowHeight="15" x14ac:dyDescent="0.25"/>
  <sheetData>
    <row r="2" spans="2:5" x14ac:dyDescent="0.25">
      <c r="B2" t="s">
        <v>0</v>
      </c>
      <c r="C2" t="s">
        <v>1</v>
      </c>
      <c r="D2" t="s">
        <v>2</v>
      </c>
      <c r="E2" t="s">
        <v>3</v>
      </c>
    </row>
    <row r="3" spans="2:5" x14ac:dyDescent="0.25">
      <c r="B3">
        <v>0</v>
      </c>
      <c r="C3">
        <f>1+((1.4-1)/2)*(B3^2)</f>
        <v>1</v>
      </c>
      <c r="D3">
        <f>(1+((1.4-1)/2)*(B3^2))^(1.4/(1.4-1))</f>
        <v>1</v>
      </c>
      <c r="E3">
        <f>(1+((1.4-1)/2)*(B3^2))^(1/(1.4-1))</f>
        <v>1</v>
      </c>
    </row>
    <row r="4" spans="2:5" x14ac:dyDescent="0.25">
      <c r="B4">
        <v>0.05</v>
      </c>
      <c r="C4">
        <f t="shared" ref="C4:C23" si="0">1+((1.4-1)/2)*(B4^2)</f>
        <v>1.0004999999999999</v>
      </c>
      <c r="D4">
        <f t="shared" ref="D4:D23" si="1">(1+((1.4-1)/2)*(B4^2))^(1.4/(1.4-1))</f>
        <v>1.0017510940234544</v>
      </c>
      <c r="E4">
        <f t="shared" ref="E4:E23" si="2">(1+((1.4-1)/2)*(B4^2))^(1/(1.4-1))</f>
        <v>1.00125046878906</v>
      </c>
    </row>
    <row r="5" spans="2:5" x14ac:dyDescent="0.25">
      <c r="B5">
        <v>0.1</v>
      </c>
      <c r="C5">
        <f t="shared" si="0"/>
        <v>1.002</v>
      </c>
      <c r="D5">
        <f t="shared" si="1"/>
        <v>1.0070175175043741</v>
      </c>
      <c r="E5">
        <f t="shared" si="2"/>
        <v>1.0050075024993754</v>
      </c>
    </row>
    <row r="6" spans="2:5" x14ac:dyDescent="0.25">
      <c r="B6">
        <v>0.15</v>
      </c>
      <c r="C6">
        <f t="shared" si="0"/>
        <v>1.0044999999999999</v>
      </c>
      <c r="D6">
        <f t="shared" si="1"/>
        <v>1.0158387931980133</v>
      </c>
      <c r="E6">
        <f t="shared" si="2"/>
        <v>1.0112879972105659</v>
      </c>
    </row>
    <row r="7" spans="2:5" x14ac:dyDescent="0.25">
      <c r="B7">
        <v>0.2</v>
      </c>
      <c r="C7">
        <f t="shared" si="0"/>
        <v>1.008</v>
      </c>
      <c r="D7">
        <f t="shared" si="1"/>
        <v>1.0282811211191059</v>
      </c>
      <c r="E7">
        <f t="shared" si="2"/>
        <v>1.0201201598403828</v>
      </c>
    </row>
    <row r="8" spans="2:5" x14ac:dyDescent="0.25">
      <c r="B8">
        <v>0.25</v>
      </c>
      <c r="C8">
        <f t="shared" si="0"/>
        <v>1.0125</v>
      </c>
      <c r="D8">
        <f t="shared" si="1"/>
        <v>1.0444378728783388</v>
      </c>
      <c r="E8">
        <f t="shared" si="2"/>
        <v>1.0315435781514459</v>
      </c>
    </row>
    <row r="9" spans="2:5" x14ac:dyDescent="0.25">
      <c r="B9">
        <v>0.3</v>
      </c>
      <c r="C9">
        <f t="shared" si="0"/>
        <v>1.018</v>
      </c>
      <c r="D9">
        <f t="shared" si="1"/>
        <v>1.0644302861529382</v>
      </c>
      <c r="E9">
        <f t="shared" si="2"/>
        <v>1.0456093184213537</v>
      </c>
    </row>
    <row r="10" spans="2:5" x14ac:dyDescent="0.25">
      <c r="B10">
        <v>0.35</v>
      </c>
      <c r="C10">
        <f t="shared" si="0"/>
        <v>1.0245</v>
      </c>
      <c r="D10">
        <f t="shared" si="1"/>
        <v>1.0884083616780784</v>
      </c>
      <c r="E10">
        <f t="shared" si="2"/>
        <v>1.0623800504422436</v>
      </c>
    </row>
    <row r="11" spans="2:5" x14ac:dyDescent="0.25">
      <c r="B11">
        <v>0.4</v>
      </c>
      <c r="C11">
        <f t="shared" si="0"/>
        <v>1.032</v>
      </c>
      <c r="D11">
        <f t="shared" si="1"/>
        <v>1.1165519658097534</v>
      </c>
      <c r="E11">
        <f t="shared" si="2"/>
        <v>1.0819301994280557</v>
      </c>
    </row>
    <row r="12" spans="2:5" x14ac:dyDescent="0.25">
      <c r="B12">
        <v>0.45</v>
      </c>
      <c r="C12">
        <f t="shared" si="0"/>
        <v>1.0405</v>
      </c>
      <c r="D12">
        <f t="shared" si="1"/>
        <v>1.1490721423604813</v>
      </c>
      <c r="E12">
        <f t="shared" si="2"/>
        <v>1.1043461243253063</v>
      </c>
    </row>
    <row r="13" spans="2:5" x14ac:dyDescent="0.25">
      <c r="B13">
        <v>0.5</v>
      </c>
      <c r="C13">
        <f t="shared" si="0"/>
        <v>1.05</v>
      </c>
      <c r="D13">
        <f t="shared" si="1"/>
        <v>1.1862126380443982</v>
      </c>
      <c r="E13">
        <f t="shared" si="2"/>
        <v>1.1297263219470459</v>
      </c>
    </row>
    <row r="14" spans="2:5" x14ac:dyDescent="0.25">
      <c r="B14">
        <v>0.55000000000000004</v>
      </c>
      <c r="C14">
        <f t="shared" si="0"/>
        <v>1.0605</v>
      </c>
      <c r="D14">
        <f t="shared" si="1"/>
        <v>1.2282516464855568</v>
      </c>
      <c r="E14">
        <f t="shared" si="2"/>
        <v>1.1581816562805816</v>
      </c>
    </row>
    <row r="15" spans="2:5" x14ac:dyDescent="0.25">
      <c r="B15">
        <v>0.6</v>
      </c>
      <c r="C15">
        <f t="shared" si="0"/>
        <v>1.0720000000000001</v>
      </c>
      <c r="D15">
        <f t="shared" si="1"/>
        <v>1.2755037763406945</v>
      </c>
      <c r="E15">
        <f t="shared" si="2"/>
        <v>1.1898356122581104</v>
      </c>
    </row>
    <row r="16" spans="2:5" x14ac:dyDescent="0.25">
      <c r="B16">
        <v>0.65</v>
      </c>
      <c r="C16">
        <f t="shared" si="0"/>
        <v>1.0845</v>
      </c>
      <c r="D16">
        <f t="shared" si="1"/>
        <v>1.328322249663566</v>
      </c>
      <c r="E16">
        <f t="shared" si="2"/>
        <v>1.2248245732259715</v>
      </c>
    </row>
    <row r="17" spans="2:5" x14ac:dyDescent="0.25">
      <c r="B17">
        <v>0.7</v>
      </c>
      <c r="C17">
        <f t="shared" si="0"/>
        <v>1.0979999999999999</v>
      </c>
      <c r="D17">
        <f t="shared" si="1"/>
        <v>1.3871013371908145</v>
      </c>
      <c r="E17">
        <f t="shared" si="2"/>
        <v>1.26329812130311</v>
      </c>
    </row>
    <row r="18" spans="2:5" x14ac:dyDescent="0.25">
      <c r="B18">
        <v>0.75</v>
      </c>
      <c r="C18">
        <f t="shared" si="0"/>
        <v>1.1125</v>
      </c>
      <c r="D18">
        <f t="shared" si="1"/>
        <v>1.4522790377580601</v>
      </c>
      <c r="E18">
        <f t="shared" si="2"/>
        <v>1.3054193597825259</v>
      </c>
    </row>
    <row r="19" spans="2:5" x14ac:dyDescent="0.25">
      <c r="B19">
        <v>0.8</v>
      </c>
      <c r="C19">
        <f t="shared" si="0"/>
        <v>1.1280000000000001</v>
      </c>
      <c r="D19">
        <f t="shared" si="1"/>
        <v>1.5243400095586486</v>
      </c>
      <c r="E19">
        <f t="shared" si="2"/>
        <v>1.3513652567009296</v>
      </c>
    </row>
    <row r="20" spans="2:5" x14ac:dyDescent="0.25">
      <c r="B20">
        <v>0.85</v>
      </c>
      <c r="C20">
        <f t="shared" si="0"/>
        <v>1.1444999999999999</v>
      </c>
      <c r="D20">
        <f t="shared" si="1"/>
        <v>1.603818761435756</v>
      </c>
      <c r="E20">
        <f t="shared" si="2"/>
        <v>1.4013270086813072</v>
      </c>
    </row>
    <row r="21" spans="2:5" x14ac:dyDescent="0.25">
      <c r="B21">
        <v>0.9</v>
      </c>
      <c r="C21">
        <f t="shared" si="0"/>
        <v>1.1619999999999999</v>
      </c>
      <c r="D21">
        <f t="shared" si="1"/>
        <v>1.691303112850931</v>
      </c>
      <c r="E21">
        <f t="shared" si="2"/>
        <v>1.4555104241402159</v>
      </c>
    </row>
    <row r="22" spans="2:5" x14ac:dyDescent="0.25">
      <c r="B22">
        <v>0.95</v>
      </c>
      <c r="C22">
        <f t="shared" si="0"/>
        <v>1.1804999999999999</v>
      </c>
      <c r="D22">
        <f t="shared" si="1"/>
        <v>1.7874379315987097</v>
      </c>
      <c r="E22">
        <f t="shared" si="2"/>
        <v>1.5141363249459634</v>
      </c>
    </row>
    <row r="23" spans="2:5" x14ac:dyDescent="0.25">
      <c r="B23">
        <v>1</v>
      </c>
      <c r="C23">
        <f t="shared" si="0"/>
        <v>1.2</v>
      </c>
      <c r="D23">
        <f t="shared" si="1"/>
        <v>1.8929291587378541</v>
      </c>
      <c r="E23">
        <f t="shared" si="2"/>
        <v>1.5774409656148785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2CE0-0237-465A-9C72-3B0655786777}">
  <dimension ref="B1:K39"/>
  <sheetViews>
    <sheetView tabSelected="1" workbookViewId="0">
      <selection activeCell="K10" sqref="K10"/>
    </sheetView>
  </sheetViews>
  <sheetFormatPr baseColWidth="10" defaultRowHeight="15" x14ac:dyDescent="0.25"/>
  <cols>
    <col min="3" max="3" width="26.5703125" customWidth="1"/>
    <col min="4" max="4" width="16.42578125" customWidth="1"/>
    <col min="5" max="5" width="18.28515625" customWidth="1"/>
    <col min="6" max="6" width="16.140625" customWidth="1"/>
    <col min="7" max="7" width="13.28515625" customWidth="1"/>
  </cols>
  <sheetData>
    <row r="1" spans="2:11" x14ac:dyDescent="0.25">
      <c r="C1" t="s">
        <v>5</v>
      </c>
      <c r="I1" t="s">
        <v>10</v>
      </c>
      <c r="J1">
        <v>1.0049999999999999</v>
      </c>
      <c r="K1" t="s">
        <v>11</v>
      </c>
    </row>
    <row r="2" spans="2:11" x14ac:dyDescent="0.25">
      <c r="B2" t="s">
        <v>7</v>
      </c>
      <c r="C2" t="s">
        <v>4</v>
      </c>
      <c r="D2" t="s">
        <v>6</v>
      </c>
      <c r="E2" t="s">
        <v>8</v>
      </c>
      <c r="F2" t="s">
        <v>9</v>
      </c>
      <c r="G2" t="s">
        <v>13</v>
      </c>
      <c r="H2" t="s">
        <v>12</v>
      </c>
    </row>
    <row r="3" spans="2:11" x14ac:dyDescent="0.25">
      <c r="B3">
        <v>1</v>
      </c>
      <c r="C3">
        <f t="shared" ref="C3:C39" si="0">SQRT((1+((1.4-1)/2)*(B3^2))/(1.4*(B3^2)-(1.4-1)/2))</f>
        <v>1</v>
      </c>
      <c r="D3">
        <f t="shared" ref="D3:D39" si="1">(1.4+1)*(B3^2)/(2+(1.4-1)*(B3^2))</f>
        <v>1</v>
      </c>
      <c r="E3">
        <f>1+(((2*1.4)/(1.4+1))*((B3^2)-1))</f>
        <v>1</v>
      </c>
      <c r="F3">
        <f>(1+(((2*1.4)/(1.4+1))*((B3^2)-1)))*((2+(1.4-1)*(B3^2))/((1.4+1)*(B3^2)))</f>
        <v>1</v>
      </c>
      <c r="G3">
        <f>(J1*LN(F3))-(287*LN(E3))</f>
        <v>0</v>
      </c>
      <c r="H3">
        <f>EXP(-G3/287)</f>
        <v>1</v>
      </c>
    </row>
    <row r="4" spans="2:11" x14ac:dyDescent="0.25">
      <c r="B4">
        <v>1.25</v>
      </c>
      <c r="C4">
        <f t="shared" si="0"/>
        <v>0.81263605537200112</v>
      </c>
      <c r="D4">
        <f t="shared" si="1"/>
        <v>1.4285714285714286</v>
      </c>
      <c r="E4">
        <f t="shared" ref="E4:E39" si="2">1+(((2*1.4)/(1.4+1))*((B4^2)-1))</f>
        <v>1.65625</v>
      </c>
      <c r="F4">
        <f t="shared" ref="F4:F39" si="3">(1+(((2*1.4)/(1.4+1))*((B4^2)-1)))*((2+(1.4-1)*(B4^2))/((1.4+1)*(B4^2)))</f>
        <v>1.1593749999999998</v>
      </c>
      <c r="G4">
        <f t="shared" ref="G4:G39" si="4">(J2*LN(F4))-(287*LN(E4))</f>
        <v>-144.80757508593746</v>
      </c>
      <c r="H4">
        <f t="shared" ref="H4:H39" si="5">EXP(-G4/287)</f>
        <v>1.65625</v>
      </c>
    </row>
    <row r="5" spans="2:11" x14ac:dyDescent="0.25">
      <c r="B5">
        <v>1.5</v>
      </c>
      <c r="C5">
        <f t="shared" si="0"/>
        <v>0.70108874169309943</v>
      </c>
      <c r="D5">
        <f t="shared" si="1"/>
        <v>1.8620689655172413</v>
      </c>
      <c r="E5">
        <f t="shared" si="2"/>
        <v>2.4583333333333335</v>
      </c>
      <c r="F5">
        <f t="shared" si="3"/>
        <v>1.3202160493827162</v>
      </c>
      <c r="G5">
        <f t="shared" si="4"/>
        <v>-258.15179709108111</v>
      </c>
      <c r="H5">
        <f t="shared" si="5"/>
        <v>2.4583333333333335</v>
      </c>
    </row>
    <row r="6" spans="2:11" x14ac:dyDescent="0.25">
      <c r="B6">
        <v>1.75</v>
      </c>
      <c r="C6">
        <f t="shared" si="0"/>
        <v>0.62808869822982538</v>
      </c>
      <c r="D6">
        <f t="shared" si="1"/>
        <v>2.2790697674418605</v>
      </c>
      <c r="E6">
        <f t="shared" si="2"/>
        <v>3.40625</v>
      </c>
      <c r="F6">
        <f t="shared" si="3"/>
        <v>1.494579081632653</v>
      </c>
      <c r="G6">
        <f t="shared" si="4"/>
        <v>-351.75063809624271</v>
      </c>
      <c r="H6">
        <f t="shared" si="5"/>
        <v>3.40625</v>
      </c>
    </row>
    <row r="7" spans="2:11" x14ac:dyDescent="0.25">
      <c r="B7">
        <v>2</v>
      </c>
      <c r="C7">
        <f t="shared" si="0"/>
        <v>0.57735026918962573</v>
      </c>
      <c r="D7">
        <f t="shared" si="1"/>
        <v>2.666666666666667</v>
      </c>
      <c r="E7">
        <f t="shared" si="2"/>
        <v>4.5</v>
      </c>
      <c r="F7">
        <f t="shared" si="3"/>
        <v>1.6875</v>
      </c>
      <c r="G7">
        <f t="shared" si="4"/>
        <v>-431.67021287479071</v>
      </c>
      <c r="H7">
        <f t="shared" si="5"/>
        <v>4.5</v>
      </c>
    </row>
    <row r="8" spans="2:11" x14ac:dyDescent="0.25">
      <c r="B8">
        <v>2.25</v>
      </c>
      <c r="C8">
        <f t="shared" si="0"/>
        <v>0.54055157687266819</v>
      </c>
      <c r="D8">
        <f t="shared" si="1"/>
        <v>3.0186335403726714</v>
      </c>
      <c r="E8">
        <f t="shared" si="2"/>
        <v>5.7395833333333339</v>
      </c>
      <c r="F8">
        <f t="shared" si="3"/>
        <v>1.9013846021947871</v>
      </c>
      <c r="G8">
        <f t="shared" si="4"/>
        <v>-501.49995927561747</v>
      </c>
      <c r="H8">
        <f t="shared" si="5"/>
        <v>5.7395833333333339</v>
      </c>
    </row>
    <row r="9" spans="2:11" x14ac:dyDescent="0.25">
      <c r="B9">
        <v>2.5</v>
      </c>
      <c r="C9">
        <f t="shared" si="0"/>
        <v>0.51298917604257699</v>
      </c>
      <c r="D9">
        <f t="shared" si="1"/>
        <v>3.3333333333333335</v>
      </c>
      <c r="E9">
        <f t="shared" si="2"/>
        <v>7.125</v>
      </c>
      <c r="F9">
        <f t="shared" si="3"/>
        <v>2.1374999999999997</v>
      </c>
      <c r="G9">
        <f t="shared" si="4"/>
        <v>-563.555991406403</v>
      </c>
      <c r="H9">
        <f t="shared" si="5"/>
        <v>7.1250000000000009</v>
      </c>
    </row>
    <row r="10" spans="2:11" x14ac:dyDescent="0.25">
      <c r="B10">
        <v>2.75</v>
      </c>
      <c r="C10">
        <f t="shared" si="0"/>
        <v>0.49181018321877956</v>
      </c>
      <c r="D10">
        <f t="shared" si="1"/>
        <v>3.6119402985074629</v>
      </c>
      <c r="E10">
        <f t="shared" si="2"/>
        <v>8.65625</v>
      </c>
      <c r="F10">
        <f t="shared" si="3"/>
        <v>2.3965650826446279</v>
      </c>
      <c r="G10">
        <f t="shared" si="4"/>
        <v>-619.42682017224467</v>
      </c>
      <c r="H10">
        <f t="shared" si="5"/>
        <v>8.65625</v>
      </c>
      <c r="K10" s="1"/>
    </row>
    <row r="11" spans="2:11" x14ac:dyDescent="0.25">
      <c r="B11">
        <v>3</v>
      </c>
      <c r="C11">
        <f t="shared" si="0"/>
        <v>0.47519096331149141</v>
      </c>
      <c r="D11">
        <f t="shared" si="1"/>
        <v>3.8571428571428572</v>
      </c>
      <c r="E11">
        <f t="shared" si="2"/>
        <v>10.333333333333334</v>
      </c>
      <c r="F11">
        <f t="shared" si="3"/>
        <v>2.6790123456790123</v>
      </c>
      <c r="G11">
        <f t="shared" si="4"/>
        <v>-670.25260083948956</v>
      </c>
      <c r="H11">
        <f t="shared" si="5"/>
        <v>10.333333333333336</v>
      </c>
    </row>
    <row r="12" spans="2:11" x14ac:dyDescent="0.25">
      <c r="B12">
        <v>3.25</v>
      </c>
      <c r="C12">
        <f t="shared" si="0"/>
        <v>0.46191731863451346</v>
      </c>
      <c r="D12">
        <f t="shared" si="1"/>
        <v>4.0722891566265069</v>
      </c>
      <c r="E12">
        <f t="shared" si="2"/>
        <v>12.15625</v>
      </c>
      <c r="F12">
        <f t="shared" si="3"/>
        <v>2.9851146449704138</v>
      </c>
      <c r="G12">
        <f t="shared" si="4"/>
        <v>-716.88106751497253</v>
      </c>
      <c r="H12">
        <f t="shared" si="5"/>
        <v>12.15625</v>
      </c>
    </row>
    <row r="13" spans="2:11" x14ac:dyDescent="0.25">
      <c r="B13">
        <v>3.5</v>
      </c>
      <c r="C13">
        <f t="shared" si="0"/>
        <v>0.45115387952321712</v>
      </c>
      <c r="D13">
        <f t="shared" si="1"/>
        <v>4.2608695652173916</v>
      </c>
      <c r="E13">
        <f t="shared" si="2"/>
        <v>14.125</v>
      </c>
      <c r="F13">
        <f t="shared" si="3"/>
        <v>3.3150510204081627</v>
      </c>
      <c r="G13">
        <f t="shared" si="4"/>
        <v>-759.9605815083288</v>
      </c>
      <c r="H13">
        <f t="shared" si="5"/>
        <v>14.125</v>
      </c>
    </row>
    <row r="14" spans="2:11" x14ac:dyDescent="0.25">
      <c r="B14">
        <v>3.75</v>
      </c>
      <c r="C14">
        <f t="shared" si="0"/>
        <v>0.44231010573395335</v>
      </c>
      <c r="D14">
        <f t="shared" si="1"/>
        <v>4.4262295081967222</v>
      </c>
      <c r="E14">
        <f t="shared" si="2"/>
        <v>16.239583333333336</v>
      </c>
      <c r="F14">
        <f t="shared" si="3"/>
        <v>3.6689429012345678</v>
      </c>
      <c r="G14">
        <f t="shared" si="4"/>
        <v>-799.99863146831296</v>
      </c>
      <c r="H14">
        <f t="shared" si="5"/>
        <v>16.239583333333336</v>
      </c>
    </row>
    <row r="15" spans="2:11" x14ac:dyDescent="0.25">
      <c r="B15">
        <v>4</v>
      </c>
      <c r="C15">
        <f t="shared" si="0"/>
        <v>0.43495883620084003</v>
      </c>
      <c r="D15">
        <f t="shared" si="1"/>
        <v>4.5714285714285721</v>
      </c>
      <c r="E15">
        <f t="shared" si="2"/>
        <v>18.5</v>
      </c>
      <c r="F15">
        <f t="shared" si="3"/>
        <v>4.0468749999999991</v>
      </c>
      <c r="G15">
        <f t="shared" si="4"/>
        <v>-837.40020010818807</v>
      </c>
      <c r="H15">
        <f t="shared" si="5"/>
        <v>18.499999999999996</v>
      </c>
    </row>
    <row r="16" spans="2:11" x14ac:dyDescent="0.25">
      <c r="B16">
        <v>4.25</v>
      </c>
      <c r="C16">
        <f t="shared" si="0"/>
        <v>0.42878491372966054</v>
      </c>
      <c r="D16">
        <f t="shared" si="1"/>
        <v>4.6991869918699196</v>
      </c>
      <c r="E16">
        <f t="shared" si="2"/>
        <v>20.90625</v>
      </c>
      <c r="F16">
        <f t="shared" si="3"/>
        <v>4.4489078719723176</v>
      </c>
      <c r="G16">
        <f t="shared" si="4"/>
        <v>-872.49382115328001</v>
      </c>
      <c r="H16">
        <f t="shared" si="5"/>
        <v>20.90625</v>
      </c>
    </row>
    <row r="17" spans="2:8" x14ac:dyDescent="0.25">
      <c r="B17">
        <v>4.5</v>
      </c>
      <c r="C17">
        <f t="shared" si="0"/>
        <v>0.42355175877612</v>
      </c>
      <c r="D17">
        <f t="shared" si="1"/>
        <v>4.8118811881188126</v>
      </c>
      <c r="E17">
        <f t="shared" si="2"/>
        <v>23.458333333333336</v>
      </c>
      <c r="F17">
        <f t="shared" si="3"/>
        <v>4.8750857338820293</v>
      </c>
      <c r="G17">
        <f t="shared" si="4"/>
        <v>-905.5498039662308</v>
      </c>
      <c r="H17">
        <f t="shared" si="5"/>
        <v>23.458333333333336</v>
      </c>
    </row>
    <row r="18" spans="2:8" x14ac:dyDescent="0.25">
      <c r="B18">
        <v>4.75</v>
      </c>
      <c r="C18">
        <f t="shared" si="0"/>
        <v>0.41907903806247476</v>
      </c>
      <c r="D18">
        <f t="shared" si="1"/>
        <v>4.9115646258503407</v>
      </c>
      <c r="E18">
        <f t="shared" si="2"/>
        <v>26.15625</v>
      </c>
      <c r="F18">
        <f t="shared" si="3"/>
        <v>5.3254414819944591</v>
      </c>
      <c r="G18">
        <f t="shared" si="4"/>
        <v>-936.79330412695788</v>
      </c>
      <c r="H18">
        <f t="shared" si="5"/>
        <v>26.156250000000004</v>
      </c>
    </row>
    <row r="19" spans="2:8" x14ac:dyDescent="0.25">
      <c r="B19">
        <v>5</v>
      </c>
      <c r="C19">
        <f t="shared" si="0"/>
        <v>0.41522739926869984</v>
      </c>
      <c r="D19">
        <f t="shared" si="1"/>
        <v>5.0000000000000009</v>
      </c>
      <c r="E19">
        <f t="shared" si="2"/>
        <v>29</v>
      </c>
      <c r="F19">
        <f t="shared" si="3"/>
        <v>5.8</v>
      </c>
      <c r="G19">
        <f t="shared" si="4"/>
        <v>-966.41390320611811</v>
      </c>
      <c r="H19">
        <f t="shared" si="5"/>
        <v>29.000000000000004</v>
      </c>
    </row>
    <row r="20" spans="2:8" x14ac:dyDescent="0.25">
      <c r="B20">
        <v>5.25</v>
      </c>
      <c r="C20">
        <f t="shared" si="0"/>
        <v>0.41188782367306453</v>
      </c>
      <c r="D20">
        <f t="shared" si="1"/>
        <v>5.0786948176583495</v>
      </c>
      <c r="E20">
        <f t="shared" si="2"/>
        <v>31.989583333333336</v>
      </c>
      <c r="F20">
        <f t="shared" si="3"/>
        <v>6.2987803917863436</v>
      </c>
      <c r="G20">
        <f t="shared" si="4"/>
        <v>-994.57276441524698</v>
      </c>
      <c r="H20">
        <f t="shared" si="5"/>
        <v>31.989583333333332</v>
      </c>
    </row>
    <row r="21" spans="2:8" x14ac:dyDescent="0.25">
      <c r="B21">
        <v>5.5</v>
      </c>
      <c r="C21">
        <f t="shared" si="0"/>
        <v>0.40897406577540873</v>
      </c>
      <c r="D21">
        <f t="shared" si="1"/>
        <v>5.1489361702127665</v>
      </c>
      <c r="E21">
        <f t="shared" si="2"/>
        <v>35.125</v>
      </c>
      <c r="F21">
        <f t="shared" si="3"/>
        <v>6.821797520661157</v>
      </c>
      <c r="G21">
        <f t="shared" si="4"/>
        <v>-1021.4080676366721</v>
      </c>
      <c r="H21">
        <f t="shared" si="5"/>
        <v>35.124999999999993</v>
      </c>
    </row>
    <row r="22" spans="2:8" x14ac:dyDescent="0.25">
      <c r="B22">
        <v>5.75</v>
      </c>
      <c r="C22">
        <f t="shared" si="0"/>
        <v>0.40641719817790223</v>
      </c>
      <c r="D22">
        <f t="shared" si="1"/>
        <v>5.2118226600985222</v>
      </c>
      <c r="E22">
        <f t="shared" si="2"/>
        <v>38.40625</v>
      </c>
      <c r="F22">
        <f t="shared" si="3"/>
        <v>7.3690630907372396</v>
      </c>
      <c r="G22">
        <f t="shared" si="4"/>
        <v>-1047.0391993419305</v>
      </c>
      <c r="H22">
        <f t="shared" si="5"/>
        <v>38.40625</v>
      </c>
    </row>
    <row r="23" spans="2:8" x14ac:dyDescent="0.25">
      <c r="B23">
        <v>6</v>
      </c>
      <c r="C23">
        <f t="shared" si="0"/>
        <v>0.4041616181007503</v>
      </c>
      <c r="D23">
        <f t="shared" si="1"/>
        <v>5.2682926829268295</v>
      </c>
      <c r="E23">
        <f t="shared" si="2"/>
        <v>41.833333333333336</v>
      </c>
      <c r="F23">
        <f t="shared" si="3"/>
        <v>7.9405864197530871</v>
      </c>
      <c r="G23">
        <f t="shared" si="4"/>
        <v>-1071.5700258623701</v>
      </c>
      <c r="H23">
        <f t="shared" si="5"/>
        <v>41.833333333333321</v>
      </c>
    </row>
    <row r="24" spans="2:8" x14ac:dyDescent="0.25">
      <c r="B24">
        <v>6.25</v>
      </c>
      <c r="C24">
        <f t="shared" si="0"/>
        <v>0.40216208515865881</v>
      </c>
      <c r="D24">
        <f t="shared" si="1"/>
        <v>5.3191489361702136</v>
      </c>
      <c r="E24">
        <f t="shared" si="2"/>
        <v>45.40625</v>
      </c>
      <c r="F24">
        <f t="shared" si="3"/>
        <v>8.5363749999999996</v>
      </c>
      <c r="G24">
        <f t="shared" si="4"/>
        <v>-1095.0914813411496</v>
      </c>
      <c r="H24">
        <f t="shared" si="5"/>
        <v>45.406249999999979</v>
      </c>
    </row>
    <row r="25" spans="2:8" x14ac:dyDescent="0.25">
      <c r="B25">
        <v>6.5</v>
      </c>
      <c r="C25">
        <f t="shared" si="0"/>
        <v>0.40038149746391921</v>
      </c>
      <c r="D25">
        <f t="shared" si="1"/>
        <v>5.3650793650793664</v>
      </c>
      <c r="E25">
        <f t="shared" si="2"/>
        <v>49.125</v>
      </c>
      <c r="F25">
        <f t="shared" si="3"/>
        <v>9.1564349112426022</v>
      </c>
      <c r="G25">
        <f t="shared" si="4"/>
        <v>-1117.6836361443652</v>
      </c>
      <c r="H25">
        <f t="shared" si="5"/>
        <v>49.125000000000028</v>
      </c>
    </row>
    <row r="26" spans="2:8" x14ac:dyDescent="0.25">
      <c r="B26">
        <v>6.75</v>
      </c>
      <c r="C26">
        <f t="shared" si="0"/>
        <v>0.39878920343866031</v>
      </c>
      <c r="D26">
        <f t="shared" si="1"/>
        <v>5.4066749072929552</v>
      </c>
      <c r="E26">
        <f t="shared" si="2"/>
        <v>52.989583333333336</v>
      </c>
      <c r="F26">
        <f t="shared" si="3"/>
        <v>9.8007711286389245</v>
      </c>
      <c r="G26">
        <f t="shared" si="4"/>
        <v>-1139.4173664128646</v>
      </c>
      <c r="H26">
        <f t="shared" si="5"/>
        <v>52.989583333333343</v>
      </c>
    </row>
    <row r="27" spans="2:8" x14ac:dyDescent="0.25">
      <c r="B27">
        <v>7</v>
      </c>
      <c r="C27">
        <f t="shared" si="0"/>
        <v>0.39735970711951313</v>
      </c>
      <c r="D27">
        <f t="shared" si="1"/>
        <v>5.4444444444444455</v>
      </c>
      <c r="E27">
        <f t="shared" si="2"/>
        <v>57</v>
      </c>
      <c r="F27">
        <f t="shared" si="3"/>
        <v>10.469387755102039</v>
      </c>
      <c r="G27">
        <f t="shared" si="4"/>
        <v>-1160.355713868516</v>
      </c>
      <c r="H27">
        <f t="shared" si="5"/>
        <v>57.000000000000007</v>
      </c>
    </row>
    <row r="28" spans="2:8" x14ac:dyDescent="0.25">
      <c r="B28">
        <v>7.25</v>
      </c>
      <c r="C28">
        <f t="shared" si="0"/>
        <v>0.39607166578204034</v>
      </c>
      <c r="D28">
        <f t="shared" si="1"/>
        <v>5.4788273615635186</v>
      </c>
      <c r="E28">
        <f t="shared" si="2"/>
        <v>61.156250000000007</v>
      </c>
      <c r="F28">
        <f t="shared" si="3"/>
        <v>11.162288198573126</v>
      </c>
      <c r="G28">
        <f t="shared" si="4"/>
        <v>-1180.5550025391524</v>
      </c>
      <c r="H28">
        <f t="shared" si="5"/>
        <v>61.156250000000021</v>
      </c>
    </row>
    <row r="29" spans="2:8" x14ac:dyDescent="0.25">
      <c r="B29">
        <v>7.5</v>
      </c>
      <c r="C29">
        <f t="shared" si="0"/>
        <v>0.39490710701373233</v>
      </c>
      <c r="D29">
        <f t="shared" si="1"/>
        <v>5.5102040816326543</v>
      </c>
      <c r="E29">
        <f t="shared" si="2"/>
        <v>65.458333333333343</v>
      </c>
      <c r="F29">
        <f t="shared" si="3"/>
        <v>11.879475308641975</v>
      </c>
      <c r="G29">
        <f t="shared" si="4"/>
        <v>-1200.065762869503</v>
      </c>
      <c r="H29">
        <f t="shared" si="5"/>
        <v>65.458333333333357</v>
      </c>
    </row>
    <row r="30" spans="2:8" x14ac:dyDescent="0.25">
      <c r="B30">
        <v>7.75</v>
      </c>
      <c r="C30">
        <f t="shared" si="0"/>
        <v>0.39385081214362855</v>
      </c>
      <c r="D30">
        <f t="shared" si="1"/>
        <v>5.5389048991354484</v>
      </c>
      <c r="E30">
        <f t="shared" si="2"/>
        <v>69.90625</v>
      </c>
      <c r="F30">
        <f t="shared" si="3"/>
        <v>12.620951482830382</v>
      </c>
      <c r="G30">
        <f t="shared" si="4"/>
        <v>-1218.9335018441457</v>
      </c>
      <c r="H30">
        <f t="shared" si="5"/>
        <v>69.90625</v>
      </c>
    </row>
    <row r="31" spans="2:8" x14ac:dyDescent="0.25">
      <c r="B31">
        <v>8</v>
      </c>
      <c r="C31">
        <f t="shared" si="0"/>
        <v>0.3928898269329234</v>
      </c>
      <c r="D31">
        <f t="shared" si="1"/>
        <v>5.5652173913043486</v>
      </c>
      <c r="E31">
        <f t="shared" si="2"/>
        <v>74.5</v>
      </c>
      <c r="F31">
        <f t="shared" si="3"/>
        <v>13.386718749999998</v>
      </c>
      <c r="G31">
        <f t="shared" si="4"/>
        <v>-1237.1993489856425</v>
      </c>
      <c r="H31">
        <f t="shared" si="5"/>
        <v>74.5</v>
      </c>
    </row>
    <row r="32" spans="2:8" x14ac:dyDescent="0.25">
      <c r="B32">
        <v>8.25</v>
      </c>
      <c r="C32">
        <f t="shared" si="0"/>
        <v>0.39201307045008987</v>
      </c>
      <c r="D32">
        <f t="shared" si="1"/>
        <v>5.5893926432848602</v>
      </c>
      <c r="E32">
        <f t="shared" si="2"/>
        <v>79.239583333333343</v>
      </c>
      <c r="F32">
        <f t="shared" si="3"/>
        <v>14.176778836343228</v>
      </c>
      <c r="G32">
        <f t="shared" si="4"/>
        <v>-1254.9006015329564</v>
      </c>
      <c r="H32">
        <f t="shared" si="5"/>
        <v>79.239583333333314</v>
      </c>
    </row>
    <row r="33" spans="2:8" x14ac:dyDescent="0.25">
      <c r="B33">
        <v>8.5</v>
      </c>
      <c r="C33">
        <f t="shared" si="0"/>
        <v>0.39121102030378979</v>
      </c>
      <c r="D33">
        <f t="shared" si="1"/>
        <v>5.6116504854368943</v>
      </c>
      <c r="E33">
        <f t="shared" si="2"/>
        <v>84.125</v>
      </c>
      <c r="F33">
        <f t="shared" si="3"/>
        <v>14.991133217993076</v>
      </c>
      <c r="G33">
        <f t="shared" si="4"/>
        <v>-1272.0711871459239</v>
      </c>
      <c r="H33">
        <f t="shared" si="5"/>
        <v>84.124999999999986</v>
      </c>
    </row>
    <row r="34" spans="2:8" x14ac:dyDescent="0.25">
      <c r="B34">
        <v>8.75</v>
      </c>
      <c r="C34">
        <f t="shared" si="0"/>
        <v>0.39047545770566955</v>
      </c>
      <c r="D34">
        <f t="shared" si="1"/>
        <v>5.6321839080459783</v>
      </c>
      <c r="E34">
        <f t="shared" si="2"/>
        <v>89.15625</v>
      </c>
      <c r="F34">
        <f t="shared" si="3"/>
        <v>15.829783163265303</v>
      </c>
      <c r="G34">
        <f t="shared" si="4"/>
        <v>-1288.742058694753</v>
      </c>
      <c r="H34">
        <f t="shared" si="5"/>
        <v>89.156249999999986</v>
      </c>
    </row>
    <row r="35" spans="2:8" x14ac:dyDescent="0.25">
      <c r="B35">
        <v>9</v>
      </c>
      <c r="C35">
        <f t="shared" si="0"/>
        <v>0.3897992597447133</v>
      </c>
      <c r="D35">
        <f t="shared" si="1"/>
        <v>5.6511627906976756</v>
      </c>
      <c r="E35">
        <f t="shared" si="2"/>
        <v>94.333333333333343</v>
      </c>
      <c r="F35">
        <f t="shared" si="3"/>
        <v>16.692729766803836</v>
      </c>
      <c r="G35">
        <f t="shared" si="4"/>
        <v>-1304.9415327758616</v>
      </c>
      <c r="H35">
        <f t="shared" si="5"/>
        <v>94.333333333333314</v>
      </c>
    </row>
    <row r="36" spans="2:8" x14ac:dyDescent="0.25">
      <c r="B36">
        <v>9.25</v>
      </c>
      <c r="C36">
        <f t="shared" si="0"/>
        <v>0.38917622916505418</v>
      </c>
      <c r="D36">
        <f t="shared" si="1"/>
        <v>5.6687370600414084</v>
      </c>
      <c r="E36">
        <f t="shared" si="2"/>
        <v>99.65625</v>
      </c>
      <c r="F36">
        <f t="shared" si="3"/>
        <v>17.579973977355731</v>
      </c>
      <c r="G36">
        <f t="shared" si="4"/>
        <v>-1320.6955813283648</v>
      </c>
      <c r="H36">
        <f t="shared" si="5"/>
        <v>99.656249999999972</v>
      </c>
    </row>
    <row r="37" spans="2:8" x14ac:dyDescent="0.25">
      <c r="B37">
        <v>9.5</v>
      </c>
      <c r="C37">
        <f t="shared" si="0"/>
        <v>0.38860095412360846</v>
      </c>
      <c r="D37">
        <f t="shared" si="1"/>
        <v>5.6850393700787407</v>
      </c>
      <c r="E37">
        <f t="shared" si="2"/>
        <v>105.125</v>
      </c>
      <c r="F37">
        <f t="shared" si="3"/>
        <v>18.491516620498615</v>
      </c>
      <c r="G37">
        <f t="shared" si="4"/>
        <v>-1336.0280839501231</v>
      </c>
      <c r="H37">
        <f t="shared" si="5"/>
        <v>105.125</v>
      </c>
    </row>
    <row r="38" spans="2:8" x14ac:dyDescent="0.25">
      <c r="B38">
        <v>9.75</v>
      </c>
      <c r="C38">
        <f t="shared" si="0"/>
        <v>0.38806869205656302</v>
      </c>
      <c r="D38">
        <f t="shared" si="1"/>
        <v>5.7001873828856979</v>
      </c>
      <c r="E38">
        <f t="shared" si="2"/>
        <v>110.73958333333334</v>
      </c>
      <c r="F38">
        <f t="shared" si="3"/>
        <v>19.427358417342386</v>
      </c>
      <c r="G38">
        <f t="shared" si="4"/>
        <v>-1350.9610471115607</v>
      </c>
      <c r="H38">
        <f t="shared" si="5"/>
        <v>110.73958333333334</v>
      </c>
    </row>
    <row r="39" spans="2:8" x14ac:dyDescent="0.25">
      <c r="B39">
        <v>10</v>
      </c>
      <c r="C39">
        <f t="shared" si="0"/>
        <v>0.38757527304341549</v>
      </c>
      <c r="D39">
        <f t="shared" si="1"/>
        <v>5.7142857142857153</v>
      </c>
      <c r="E39">
        <f t="shared" si="2"/>
        <v>116.50000000000001</v>
      </c>
      <c r="F39">
        <f t="shared" si="3"/>
        <v>20.387499999999999</v>
      </c>
      <c r="G39">
        <f t="shared" si="4"/>
        <v>-1365.5147953526518</v>
      </c>
      <c r="H39">
        <f t="shared" si="5"/>
        <v>116.50000000000004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Apendice A (Subsonico)</vt:lpstr>
      <vt:lpstr>Apendice B (Supersonico)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Atencia Tatis</dc:creator>
  <cp:lastModifiedBy>Tomas Atencia Tatis</cp:lastModifiedBy>
  <dcterms:created xsi:type="dcterms:W3CDTF">2024-10-30T15:39:58Z</dcterms:created>
  <dcterms:modified xsi:type="dcterms:W3CDTF">2024-10-30T16:26:20Z</dcterms:modified>
</cp:coreProperties>
</file>