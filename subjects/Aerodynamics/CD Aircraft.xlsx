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ya\OneDrive\Documentos\Universidad\2024-2\Aerodinámica\"/>
    </mc:Choice>
  </mc:AlternateContent>
  <xr:revisionPtr revIDLastSave="0" documentId="13_ncr:1_{95B8DC29-D0B3-458A-B7E2-77FE78B66BED}" xr6:coauthVersionLast="47" xr6:coauthVersionMax="47" xr10:uidLastSave="{00000000-0000-0000-0000-000000000000}"/>
  <bookViews>
    <workbookView xWindow="13260" yWindow="0" windowWidth="15645" windowHeight="15585" xr2:uid="{14CE1D0A-1AAC-4CE0-9183-513D52AFE0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" l="1"/>
  <c r="B34" i="1"/>
  <c r="B33" i="1"/>
  <c r="B32" i="1"/>
  <c r="B31" i="1"/>
  <c r="B25" i="1"/>
  <c r="B30" i="1"/>
  <c r="B27" i="1"/>
  <c r="B23" i="1"/>
  <c r="B21" i="1"/>
  <c r="B22" i="1" s="1"/>
</calcChain>
</file>

<file path=xl/sharedStrings.xml><?xml version="1.0" encoding="utf-8"?>
<sst xmlns="http://schemas.openxmlformats.org/spreadsheetml/2006/main" count="82" uniqueCount="69">
  <si>
    <t>Fuselage</t>
  </si>
  <si>
    <t>l_n</t>
  </si>
  <si>
    <t>l_h</t>
  </si>
  <si>
    <t>l_f</t>
  </si>
  <si>
    <t>d_f</t>
  </si>
  <si>
    <t>Wing</t>
  </si>
  <si>
    <t>C_root_w</t>
  </si>
  <si>
    <t>C_tip_w</t>
  </si>
  <si>
    <t>b</t>
  </si>
  <si>
    <t>(t/c)_max_w</t>
  </si>
  <si>
    <t>14.96%</t>
  </si>
  <si>
    <t>C_d_min_w</t>
  </si>
  <si>
    <t>H.S.</t>
  </si>
  <si>
    <t>C_root_HS</t>
  </si>
  <si>
    <t>C_tip_HS</t>
  </si>
  <si>
    <t>b_HS</t>
  </si>
  <si>
    <t>(t/c)_max_HS</t>
  </si>
  <si>
    <t>18%</t>
  </si>
  <si>
    <t>C_d_min_HS</t>
  </si>
  <si>
    <t>V.S.</t>
  </si>
  <si>
    <t>C_root_VS</t>
  </si>
  <si>
    <t>C_tip_VS</t>
  </si>
  <si>
    <t>b_VS</t>
  </si>
  <si>
    <t>(t/c)_max_VS</t>
  </si>
  <si>
    <t>C_d_min_VS</t>
  </si>
  <si>
    <t>HLD</t>
  </si>
  <si>
    <t>LG_main</t>
  </si>
  <si>
    <t>Number of wheels per LG</t>
  </si>
  <si>
    <t>Number of LG main</t>
  </si>
  <si>
    <t>d_g</t>
  </si>
  <si>
    <t>Struts_LGm</t>
  </si>
  <si>
    <t>wg</t>
  </si>
  <si>
    <t>number</t>
  </si>
  <si>
    <t>l_s</t>
  </si>
  <si>
    <t>d_s</t>
  </si>
  <si>
    <t>LG_nose</t>
  </si>
  <si>
    <t>Struts_LGn</t>
  </si>
  <si>
    <t>w_g</t>
  </si>
  <si>
    <t>(C_l / C_w)</t>
  </si>
  <si>
    <t>Type</t>
  </si>
  <si>
    <t>Pain flap</t>
  </si>
  <si>
    <t>Antennas</t>
  </si>
  <si>
    <t>C_tip</t>
  </si>
  <si>
    <t>(t/c)_max</t>
  </si>
  <si>
    <t>12%</t>
  </si>
  <si>
    <t>Pitot</t>
  </si>
  <si>
    <t>C_d_min</t>
  </si>
  <si>
    <t>l_pitot</t>
  </si>
  <si>
    <t>d_pitot</t>
  </si>
  <si>
    <t>D_pitot</t>
  </si>
  <si>
    <t>is</t>
  </si>
  <si>
    <t>Ds</t>
  </si>
  <si>
    <t>Nacelles</t>
  </si>
  <si>
    <t>d_n</t>
  </si>
  <si>
    <t>Number</t>
  </si>
  <si>
    <t>Croot</t>
  </si>
  <si>
    <t>Blade</t>
  </si>
  <si>
    <t>C medios</t>
  </si>
  <si>
    <t>Lambda</t>
  </si>
  <si>
    <t xml:space="preserve">S </t>
  </si>
  <si>
    <t>V</t>
  </si>
  <si>
    <t>rho</t>
  </si>
  <si>
    <t>Visc din</t>
  </si>
  <si>
    <t>Re (fusselage)</t>
  </si>
  <si>
    <t>Cff</t>
  </si>
  <si>
    <t>f1f/df</t>
  </si>
  <si>
    <t>M</t>
  </si>
  <si>
    <t>fMf</t>
  </si>
  <si>
    <t>Swet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</si>
</sst>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91179-4CE7-47CC-BF1D-DD55E5011BDE}">
  <dimension ref="A1:K35"/>
  <sheetViews>
    <sheetView tabSelected="1" workbookViewId="0">
      <selection activeCell="B36" sqref="B36"/>
    </sheetView>
  </sheetViews>
  <sheetFormatPr baseColWidth="10" defaultRowHeight="15" x14ac:dyDescent="0.25"/>
  <cols>
    <col min="1" max="1" width="14" customWidth="1"/>
    <col min="2" max="2" width="15.28515625" customWidth="1"/>
    <col min="6" max="6" width="17.42578125" customWidth="1"/>
    <col min="9" max="9" width="12.85546875" customWidth="1"/>
  </cols>
  <sheetData>
    <row r="1" spans="1:11" x14ac:dyDescent="0.25">
      <c r="A1" s="3" t="s">
        <v>0</v>
      </c>
      <c r="B1" s="1" t="s">
        <v>1</v>
      </c>
      <c r="C1" s="1">
        <v>5.05</v>
      </c>
      <c r="E1" s="3" t="s">
        <v>25</v>
      </c>
      <c r="F1" s="1" t="s">
        <v>39</v>
      </c>
      <c r="G1" s="1" t="s">
        <v>40</v>
      </c>
      <c r="I1" s="3" t="s">
        <v>52</v>
      </c>
      <c r="J1" s="1" t="s">
        <v>1</v>
      </c>
      <c r="K1" s="1">
        <v>1.5</v>
      </c>
    </row>
    <row r="2" spans="1:11" x14ac:dyDescent="0.25">
      <c r="A2" s="3"/>
      <c r="B2" s="1" t="s">
        <v>2</v>
      </c>
      <c r="C2" s="1">
        <v>7.57</v>
      </c>
      <c r="E2" s="3"/>
      <c r="F2" s="1" t="s">
        <v>38</v>
      </c>
      <c r="G2" s="2">
        <v>0.2</v>
      </c>
      <c r="I2" s="3"/>
      <c r="J2" s="1" t="s">
        <v>2</v>
      </c>
      <c r="K2" s="1">
        <v>1.5</v>
      </c>
    </row>
    <row r="3" spans="1:11" x14ac:dyDescent="0.25">
      <c r="A3" s="3"/>
      <c r="B3" s="1" t="s">
        <v>3</v>
      </c>
      <c r="C3" s="1">
        <v>10.61</v>
      </c>
      <c r="E3" s="3" t="s">
        <v>26</v>
      </c>
      <c r="F3" s="1" t="s">
        <v>27</v>
      </c>
      <c r="G3" s="1">
        <v>2</v>
      </c>
      <c r="I3" s="3"/>
      <c r="J3" s="1" t="s">
        <v>3</v>
      </c>
      <c r="K3" s="1">
        <v>1</v>
      </c>
    </row>
    <row r="4" spans="1:11" x14ac:dyDescent="0.25">
      <c r="A4" s="3"/>
      <c r="B4" s="1" t="s">
        <v>4</v>
      </c>
      <c r="C4" s="1">
        <v>4.57</v>
      </c>
      <c r="E4" s="3"/>
      <c r="F4" s="1" t="s">
        <v>28</v>
      </c>
      <c r="G4" s="1">
        <v>2</v>
      </c>
      <c r="I4" s="3"/>
      <c r="J4" s="1" t="s">
        <v>53</v>
      </c>
      <c r="K4" s="1">
        <v>1.2</v>
      </c>
    </row>
    <row r="5" spans="1:11" x14ac:dyDescent="0.25">
      <c r="A5" s="3" t="s">
        <v>5</v>
      </c>
      <c r="B5" s="1" t="s">
        <v>6</v>
      </c>
      <c r="C5" s="1">
        <v>3</v>
      </c>
      <c r="E5" s="3"/>
      <c r="F5" s="1" t="s">
        <v>29</v>
      </c>
      <c r="G5" s="1">
        <v>0.6</v>
      </c>
      <c r="I5" s="3" t="s">
        <v>41</v>
      </c>
      <c r="J5" s="1" t="s">
        <v>39</v>
      </c>
      <c r="K5" s="1" t="s">
        <v>56</v>
      </c>
    </row>
    <row r="6" spans="1:11" x14ac:dyDescent="0.25">
      <c r="A6" s="3"/>
      <c r="B6" s="1" t="s">
        <v>7</v>
      </c>
      <c r="C6" s="1">
        <v>1.8280000000000001</v>
      </c>
      <c r="E6" s="3"/>
      <c r="F6" s="1" t="s">
        <v>31</v>
      </c>
      <c r="G6" s="1">
        <v>0.25</v>
      </c>
      <c r="I6" s="3"/>
      <c r="J6" s="1" t="s">
        <v>54</v>
      </c>
      <c r="K6" s="1">
        <v>3</v>
      </c>
    </row>
    <row r="7" spans="1:11" x14ac:dyDescent="0.25">
      <c r="A7" s="3"/>
      <c r="B7" s="1" t="s">
        <v>8</v>
      </c>
      <c r="C7" s="1">
        <v>29</v>
      </c>
      <c r="E7" s="3" t="s">
        <v>30</v>
      </c>
      <c r="F7" s="1" t="s">
        <v>32</v>
      </c>
      <c r="G7" s="1">
        <v>2</v>
      </c>
      <c r="I7" s="3"/>
      <c r="J7" s="1" t="s">
        <v>55</v>
      </c>
      <c r="K7" s="1">
        <v>0.2</v>
      </c>
    </row>
    <row r="8" spans="1:11" x14ac:dyDescent="0.25">
      <c r="A8" s="3"/>
      <c r="B8" s="1" t="s">
        <v>9</v>
      </c>
      <c r="C8" s="1" t="s">
        <v>10</v>
      </c>
      <c r="E8" s="3"/>
      <c r="F8" s="1" t="s">
        <v>33</v>
      </c>
      <c r="G8" s="1">
        <v>2.7</v>
      </c>
      <c r="I8" s="3"/>
      <c r="J8" s="1" t="s">
        <v>42</v>
      </c>
      <c r="K8" s="1">
        <v>0.17</v>
      </c>
    </row>
    <row r="9" spans="1:11" x14ac:dyDescent="0.25">
      <c r="A9" s="3"/>
      <c r="B9" s="1" t="s">
        <v>11</v>
      </c>
      <c r="C9" s="1">
        <v>4.4999999999999997E-3</v>
      </c>
      <c r="E9" s="3"/>
      <c r="F9" s="1" t="s">
        <v>34</v>
      </c>
      <c r="G9" s="1">
        <v>0.4</v>
      </c>
      <c r="I9" s="3"/>
      <c r="J9" s="1" t="s">
        <v>8</v>
      </c>
      <c r="K9" s="1">
        <v>0.3</v>
      </c>
    </row>
    <row r="10" spans="1:11" x14ac:dyDescent="0.25">
      <c r="A10" s="3" t="s">
        <v>12</v>
      </c>
      <c r="B10" s="1" t="s">
        <v>13</v>
      </c>
      <c r="C10" s="1">
        <v>1.6</v>
      </c>
      <c r="E10" s="3" t="s">
        <v>35</v>
      </c>
      <c r="F10" s="1" t="s">
        <v>27</v>
      </c>
      <c r="G10" s="1">
        <v>2</v>
      </c>
      <c r="I10" s="3"/>
      <c r="J10" s="1" t="s">
        <v>43</v>
      </c>
      <c r="K10" s="1" t="s">
        <v>44</v>
      </c>
    </row>
    <row r="11" spans="1:11" x14ac:dyDescent="0.25">
      <c r="A11" s="3"/>
      <c r="B11" s="1" t="s">
        <v>14</v>
      </c>
      <c r="C11" s="1">
        <v>1</v>
      </c>
      <c r="E11" s="3"/>
      <c r="F11" s="1" t="s">
        <v>28</v>
      </c>
      <c r="G11" s="1">
        <v>1</v>
      </c>
      <c r="I11" s="3"/>
      <c r="J11" s="1" t="s">
        <v>46</v>
      </c>
      <c r="K11" s="1">
        <v>4.4999999999999997E-3</v>
      </c>
    </row>
    <row r="12" spans="1:11" x14ac:dyDescent="0.25">
      <c r="A12" s="3"/>
      <c r="B12" s="1" t="s">
        <v>15</v>
      </c>
      <c r="C12" s="1">
        <v>10</v>
      </c>
      <c r="E12" s="3"/>
      <c r="F12" s="1" t="s">
        <v>29</v>
      </c>
      <c r="G12" s="1">
        <v>0.5</v>
      </c>
      <c r="I12" s="3" t="s">
        <v>45</v>
      </c>
      <c r="J12" s="1" t="s">
        <v>32</v>
      </c>
      <c r="K12" s="1">
        <v>1</v>
      </c>
    </row>
    <row r="13" spans="1:11" x14ac:dyDescent="0.25">
      <c r="A13" s="3"/>
      <c r="B13" s="1" t="s">
        <v>16</v>
      </c>
      <c r="C13" s="1" t="s">
        <v>17</v>
      </c>
      <c r="E13" s="3"/>
      <c r="F13" s="1" t="s">
        <v>37</v>
      </c>
      <c r="G13" s="1">
        <v>0.2</v>
      </c>
      <c r="I13" s="3"/>
      <c r="J13" s="1" t="s">
        <v>47</v>
      </c>
      <c r="K13" s="1">
        <v>0.25</v>
      </c>
    </row>
    <row r="14" spans="1:11" x14ac:dyDescent="0.25">
      <c r="A14" s="3"/>
      <c r="B14" s="1" t="s">
        <v>18</v>
      </c>
      <c r="C14" s="1">
        <v>5.7999999999999996E-3</v>
      </c>
      <c r="E14" s="3" t="s">
        <v>36</v>
      </c>
      <c r="F14" s="1" t="s">
        <v>32</v>
      </c>
      <c r="G14" s="1">
        <v>1</v>
      </c>
      <c r="I14" s="3"/>
      <c r="J14" s="1" t="s">
        <v>48</v>
      </c>
      <c r="K14" s="1">
        <v>0.03</v>
      </c>
    </row>
    <row r="15" spans="1:11" x14ac:dyDescent="0.25">
      <c r="A15" s="3" t="s">
        <v>19</v>
      </c>
      <c r="B15" s="1" t="s">
        <v>20</v>
      </c>
      <c r="C15" s="1">
        <v>2.8</v>
      </c>
      <c r="E15" s="3"/>
      <c r="F15" s="1" t="s">
        <v>33</v>
      </c>
      <c r="G15" s="1">
        <v>0.6</v>
      </c>
      <c r="I15" s="3"/>
      <c r="J15" s="1" t="s">
        <v>49</v>
      </c>
      <c r="K15" s="1">
        <v>0.03</v>
      </c>
    </row>
    <row r="16" spans="1:11" x14ac:dyDescent="0.25">
      <c r="A16" s="3"/>
      <c r="B16" s="1" t="s">
        <v>21</v>
      </c>
      <c r="C16" s="1">
        <v>1.7</v>
      </c>
      <c r="E16" s="3"/>
      <c r="F16" s="1" t="s">
        <v>34</v>
      </c>
      <c r="G16" s="1">
        <v>0.25</v>
      </c>
      <c r="I16" s="3"/>
      <c r="J16" s="1" t="s">
        <v>50</v>
      </c>
      <c r="K16" s="1">
        <v>0.2</v>
      </c>
    </row>
    <row r="17" spans="1:11" x14ac:dyDescent="0.25">
      <c r="A17" s="3"/>
      <c r="B17" s="1" t="s">
        <v>22</v>
      </c>
      <c r="C17" s="1">
        <v>5</v>
      </c>
      <c r="I17" s="3"/>
      <c r="J17" s="1" t="s">
        <v>51</v>
      </c>
      <c r="K17" s="1">
        <v>0.03</v>
      </c>
    </row>
    <row r="18" spans="1:11" x14ac:dyDescent="0.25">
      <c r="A18" s="3"/>
      <c r="B18" s="1" t="s">
        <v>23</v>
      </c>
      <c r="C18" s="1" t="s">
        <v>17</v>
      </c>
    </row>
    <row r="19" spans="1:11" x14ac:dyDescent="0.25">
      <c r="A19" s="3"/>
      <c r="B19" s="1" t="s">
        <v>24</v>
      </c>
      <c r="C19" s="1">
        <v>5.7999999999999996E-3</v>
      </c>
    </row>
    <row r="21" spans="1:11" x14ac:dyDescent="0.25">
      <c r="A21" t="s">
        <v>58</v>
      </c>
      <c r="B21">
        <f>C6/C5</f>
        <v>0.60933333333333339</v>
      </c>
    </row>
    <row r="22" spans="1:11" x14ac:dyDescent="0.25">
      <c r="A22" t="s">
        <v>57</v>
      </c>
      <c r="B22">
        <f>(2/3)*C5*((1+B21+B21^2)/(1+B21))</f>
        <v>2.4614172880419773</v>
      </c>
    </row>
    <row r="23" spans="1:11" x14ac:dyDescent="0.25">
      <c r="A23" t="s">
        <v>59</v>
      </c>
      <c r="B23">
        <f>(C5+C6)*(C7/2)</f>
        <v>70.006</v>
      </c>
    </row>
    <row r="24" spans="1:11" x14ac:dyDescent="0.25">
      <c r="A24" t="s">
        <v>61</v>
      </c>
      <c r="B24">
        <v>1.2250000000000001</v>
      </c>
    </row>
    <row r="25" spans="1:11" x14ac:dyDescent="0.25">
      <c r="A25" t="s">
        <v>62</v>
      </c>
      <c r="B25">
        <f>1.81*10^(-5)</f>
        <v>1.8100000000000003E-5</v>
      </c>
    </row>
    <row r="27" spans="1:11" x14ac:dyDescent="0.25">
      <c r="A27" t="s">
        <v>60</v>
      </c>
      <c r="B27">
        <f>147.222</f>
        <v>147.22200000000001</v>
      </c>
    </row>
    <row r="30" spans="1:11" x14ac:dyDescent="0.25">
      <c r="A30" t="s">
        <v>63</v>
      </c>
      <c r="B30">
        <f>(B24*B27*C3)/B25</f>
        <v>105717190.02762429</v>
      </c>
    </row>
    <row r="31" spans="1:11" x14ac:dyDescent="0.25">
      <c r="A31" t="s">
        <v>64</v>
      </c>
      <c r="B31">
        <f>0.455/(LOG10(B30)^(2.58))</f>
        <v>2.1118471890883847E-3</v>
      </c>
    </row>
    <row r="32" spans="1:11" x14ac:dyDescent="0.25">
      <c r="A32" t="s">
        <v>65</v>
      </c>
      <c r="B32">
        <f>1+(60/((C3/C4)^(3)))+0.0025*(C3/C4)</f>
        <v>5.8004187064802197</v>
      </c>
    </row>
    <row r="33" spans="1:2" x14ac:dyDescent="0.25">
      <c r="A33" t="s">
        <v>66</v>
      </c>
      <c r="B33">
        <f>B27/331</f>
        <v>0.44477945619335352</v>
      </c>
    </row>
    <row r="34" spans="1:2" x14ac:dyDescent="0.25">
      <c r="A34" t="s">
        <v>67</v>
      </c>
      <c r="B34">
        <f>1-0.08*B33^(1.45)</f>
        <v>0.97528845890618088</v>
      </c>
    </row>
    <row r="35" spans="1:2" x14ac:dyDescent="0.25">
      <c r="A35" t="s">
        <v>68</v>
      </c>
      <c r="B35">
        <f>(PI()*((C4/2)+(C4*0.4/2))*SQRT(((C4/2)+(C4*0.4/2))^(2)))</f>
        <v>32.149805721369162</v>
      </c>
    </row>
  </sheetData>
  <mergeCells count="12">
    <mergeCell ref="I1:I4"/>
    <mergeCell ref="I5:I11"/>
    <mergeCell ref="I12:I17"/>
    <mergeCell ref="A1:A4"/>
    <mergeCell ref="A5:A9"/>
    <mergeCell ref="A10:A14"/>
    <mergeCell ref="A15:A19"/>
    <mergeCell ref="E1:E2"/>
    <mergeCell ref="E3:E6"/>
    <mergeCell ref="E7:E9"/>
    <mergeCell ref="E10:E13"/>
    <mergeCell ref="E14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Atencia Tatis</dc:creator>
  <cp:lastModifiedBy>Tomas Atencia Tatis</cp:lastModifiedBy>
  <dcterms:created xsi:type="dcterms:W3CDTF">2024-09-20T15:48:17Z</dcterms:created>
  <dcterms:modified xsi:type="dcterms:W3CDTF">2024-09-22T15:24:20Z</dcterms:modified>
</cp:coreProperties>
</file>