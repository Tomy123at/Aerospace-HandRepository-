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ya\OneDrive\Documentos\Universidad\2024-2\Aerodinámica\"/>
    </mc:Choice>
  </mc:AlternateContent>
  <xr:revisionPtr revIDLastSave="0" documentId="13_ncr:1_{6D90CDB1-0B89-4FF1-A024-F740D052DA21}" xr6:coauthVersionLast="47" xr6:coauthVersionMax="47" xr10:uidLastSave="{00000000-0000-0000-0000-000000000000}"/>
  <bookViews>
    <workbookView xWindow="-120" yWindow="-120" windowWidth="29040" windowHeight="15720" activeTab="2" xr2:uid="{013CA0CE-3F8E-4D6D-AAC9-AACAE3EB1D57}"/>
  </bookViews>
  <sheets>
    <sheet name="Hoja1" sheetId="1" r:id="rId1"/>
    <sheet name="Hoja2" sheetId="2" r:id="rId2"/>
    <sheet name="Hoja3" sheetId="3" r:id="rId3"/>
  </sheets>
  <definedNames>
    <definedName name="_xlnm.Print_Area" localSheetId="0">Hoja1!$A$1:$N$93</definedName>
    <definedName name="solver_adj" localSheetId="0" hidden="1">Hoja1!$E$34</definedName>
    <definedName name="solver_cvg" localSheetId="0" hidden="1">0.0001</definedName>
    <definedName name="solver_drv" localSheetId="0" hidden="1">1</definedName>
    <definedName name="solver_eng" localSheetId="0" hidden="1">3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Hoja1!$C$85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-0.25284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4" i="3" l="1"/>
  <c r="F75" i="3"/>
  <c r="F76" i="3"/>
  <c r="F77" i="3"/>
  <c r="F78" i="3"/>
  <c r="F79" i="3"/>
  <c r="F73" i="3"/>
  <c r="E74" i="3"/>
  <c r="E75" i="3"/>
  <c r="E76" i="3"/>
  <c r="E77" i="3"/>
  <c r="E78" i="3"/>
  <c r="E79" i="3"/>
  <c r="E73" i="3"/>
  <c r="D74" i="3"/>
  <c r="D75" i="3"/>
  <c r="D76" i="3"/>
  <c r="D77" i="3"/>
  <c r="D78" i="3"/>
  <c r="D79" i="3"/>
  <c r="D73" i="3"/>
  <c r="D110" i="2" l="1"/>
  <c r="C110" i="2"/>
  <c r="C104" i="2"/>
  <c r="B105" i="2"/>
  <c r="B106" i="2"/>
  <c r="B107" i="2"/>
  <c r="B108" i="2"/>
  <c r="B109" i="2"/>
  <c r="B110" i="2"/>
  <c r="B104" i="2"/>
  <c r="C101" i="2"/>
  <c r="C95" i="2"/>
  <c r="B97" i="2"/>
  <c r="B98" i="2"/>
  <c r="B99" i="2"/>
  <c r="B100" i="2"/>
  <c r="B101" i="2"/>
  <c r="B96" i="2"/>
  <c r="C93" i="2"/>
  <c r="D85" i="2"/>
  <c r="C85" i="2"/>
  <c r="D72" i="2"/>
  <c r="C80" i="2" s="1"/>
  <c r="D80" i="2" s="1"/>
  <c r="C26" i="2"/>
  <c r="C22" i="1"/>
  <c r="C23" i="1" s="1"/>
  <c r="C24" i="1" s="1"/>
  <c r="C56" i="1"/>
  <c r="E34" i="1"/>
  <c r="I56" i="1" s="1"/>
  <c r="C28" i="1"/>
  <c r="C25" i="1"/>
  <c r="C64" i="1"/>
  <c r="F57" i="1"/>
  <c r="G56" i="1"/>
  <c r="F56" i="1"/>
  <c r="E57" i="1"/>
  <c r="E56" i="1"/>
  <c r="D56" i="1"/>
  <c r="C31" i="2"/>
  <c r="D31" i="2" s="1"/>
  <c r="C32" i="2"/>
  <c r="D32" i="2" s="1"/>
  <c r="C33" i="2"/>
  <c r="D33" i="2" s="1"/>
  <c r="C30" i="2"/>
  <c r="F30" i="2" s="1"/>
  <c r="C5" i="2"/>
  <c r="C23" i="2"/>
  <c r="C11" i="2"/>
  <c r="C18" i="2" s="1"/>
  <c r="E17" i="2"/>
  <c r="E7" i="2"/>
  <c r="D74" i="2" l="1"/>
  <c r="C82" i="2" s="1"/>
  <c r="D82" i="2" s="1"/>
  <c r="D73" i="2"/>
  <c r="C81" i="2" s="1"/>
  <c r="C88" i="2"/>
  <c r="C96" i="2" s="1"/>
  <c r="C105" i="2" s="1"/>
  <c r="D105" i="2" s="1"/>
  <c r="D76" i="2"/>
  <c r="C84" i="2" s="1"/>
  <c r="D75" i="2"/>
  <c r="C83" i="2" s="1"/>
  <c r="F31" i="2"/>
  <c r="F33" i="2"/>
  <c r="F32" i="2"/>
  <c r="D30" i="2"/>
  <c r="E16" i="2"/>
  <c r="C90" i="2" l="1"/>
  <c r="C98" i="2" s="1"/>
  <c r="C107" i="2" s="1"/>
  <c r="D107" i="2" s="1"/>
  <c r="C92" i="2"/>
  <c r="C100" i="2" s="1"/>
  <c r="C109" i="2" s="1"/>
  <c r="D109" i="2" s="1"/>
  <c r="D84" i="2"/>
  <c r="D81" i="2"/>
  <c r="C89" i="2"/>
  <c r="C97" i="2" s="1"/>
  <c r="C106" i="2" s="1"/>
  <c r="D106" i="2" s="1"/>
  <c r="D83" i="2"/>
  <c r="C91" i="2"/>
  <c r="C99" i="2" s="1"/>
  <c r="C108" i="2" s="1"/>
  <c r="D108" i="2" s="1"/>
  <c r="G31" i="2"/>
  <c r="I31" i="2" s="1"/>
  <c r="G32" i="2"/>
  <c r="I32" i="2" s="1"/>
  <c r="G33" i="2"/>
  <c r="I33" i="2" s="1"/>
  <c r="G30" i="2"/>
  <c r="I30" i="2" s="1"/>
  <c r="C37" i="1" l="1"/>
  <c r="G57" i="1"/>
  <c r="G58" i="1"/>
  <c r="G59" i="1"/>
  <c r="E43" i="1"/>
  <c r="E42" i="1"/>
  <c r="D65" i="1"/>
  <c r="C65" i="1"/>
  <c r="E65" i="1"/>
  <c r="F65" i="1"/>
  <c r="C66" i="1"/>
  <c r="D66" i="1"/>
  <c r="E66" i="1"/>
  <c r="F66" i="1"/>
  <c r="C67" i="1"/>
  <c r="D67" i="1"/>
  <c r="E67" i="1"/>
  <c r="F67" i="1"/>
  <c r="D64" i="1"/>
  <c r="E64" i="1"/>
  <c r="C73" i="1" s="1" a="1"/>
  <c r="C73" i="1" s="1"/>
  <c r="F64" i="1"/>
  <c r="F58" i="1"/>
  <c r="F59" i="1"/>
  <c r="C42" i="1"/>
  <c r="C40" i="1"/>
  <c r="C41" i="1"/>
  <c r="C43" i="1"/>
  <c r="C35" i="1"/>
  <c r="C57" i="1" s="1"/>
  <c r="D57" i="1" s="1"/>
  <c r="E5" i="1"/>
  <c r="C26" i="1"/>
  <c r="C44" i="1" s="1"/>
  <c r="C19" i="1"/>
  <c r="E12" i="1"/>
  <c r="C14" i="1" s="1"/>
  <c r="C16" i="1" s="1"/>
  <c r="C10" i="1"/>
  <c r="I59" i="1" l="1"/>
  <c r="I58" i="1"/>
  <c r="I57" i="1"/>
  <c r="C49" i="1"/>
  <c r="C59" i="1"/>
  <c r="D59" i="1" s="1"/>
  <c r="C58" i="1"/>
  <c r="D58" i="1" s="1"/>
  <c r="C45" i="1"/>
  <c r="C15" i="1"/>
  <c r="C79" i="1" l="1" a="1"/>
  <c r="C46" i="1"/>
  <c r="E58" i="1"/>
  <c r="E59" i="1"/>
  <c r="C48" i="1"/>
  <c r="C50" i="1" s="1"/>
  <c r="C19" i="2" l="1"/>
  <c r="E101" i="2" s="1"/>
  <c r="C79" i="1"/>
  <c r="C85" i="1" s="1"/>
  <c r="H48" i="1" s="1"/>
  <c r="C88" i="1"/>
  <c r="C47" i="1"/>
  <c r="C51" i="1"/>
  <c r="C90" i="1" l="1"/>
  <c r="E30" i="2"/>
  <c r="E97" i="2" s="1"/>
  <c r="E31" i="2"/>
  <c r="E98" i="2" s="1"/>
  <c r="E32" i="2"/>
  <c r="E99" i="2" s="1"/>
  <c r="E33" i="2"/>
  <c r="E100" i="2" s="1"/>
  <c r="C20" i="2"/>
  <c r="E96" i="2" s="1"/>
  <c r="C22" i="2"/>
  <c r="C24" i="2" s="1"/>
  <c r="C89" i="1"/>
  <c r="C11" i="3" l="1"/>
  <c r="D11" i="3" s="1"/>
  <c r="C19" i="3"/>
  <c r="D19" i="3" s="1"/>
  <c r="C3" i="3"/>
  <c r="D3" i="3" s="1"/>
  <c r="C4" i="3"/>
  <c r="D4" i="3" s="1"/>
  <c r="C12" i="3"/>
  <c r="D12" i="3" s="1"/>
  <c r="C20" i="3"/>
  <c r="D20" i="3" s="1"/>
  <c r="C2" i="3"/>
  <c r="D2" i="3" s="1"/>
  <c r="C5" i="3"/>
  <c r="D5" i="3" s="1"/>
  <c r="C13" i="3"/>
  <c r="D13" i="3" s="1"/>
  <c r="C21" i="3"/>
  <c r="D21" i="3" s="1"/>
  <c r="C10" i="3"/>
  <c r="D10" i="3" s="1"/>
  <c r="C26" i="3"/>
  <c r="D26" i="3" s="1"/>
  <c r="C6" i="3"/>
  <c r="D6" i="3" s="1"/>
  <c r="C14" i="3"/>
  <c r="D14" i="3" s="1"/>
  <c r="C22" i="3"/>
  <c r="D22" i="3" s="1"/>
  <c r="C18" i="3"/>
  <c r="D18" i="3" s="1"/>
  <c r="C7" i="3"/>
  <c r="D7" i="3" s="1"/>
  <c r="C15" i="3"/>
  <c r="D15" i="3" s="1"/>
  <c r="C23" i="3"/>
  <c r="D23" i="3" s="1"/>
  <c r="C8" i="3"/>
  <c r="D8" i="3" s="1"/>
  <c r="C16" i="3"/>
  <c r="D16" i="3" s="1"/>
  <c r="C24" i="3"/>
  <c r="D24" i="3" s="1"/>
  <c r="C9" i="3"/>
  <c r="D9" i="3" s="1"/>
  <c r="C17" i="3"/>
  <c r="D17" i="3" s="1"/>
  <c r="C25" i="3"/>
  <c r="D25" i="3" s="1"/>
  <c r="C91" i="1"/>
  <c r="C93" i="1" s="1"/>
  <c r="E41" i="2"/>
  <c r="C41" i="2"/>
  <c r="D41" i="2"/>
  <c r="F41" i="2"/>
  <c r="F40" i="2"/>
  <c r="E40" i="2"/>
  <c r="C40" i="2"/>
  <c r="D40" i="2"/>
  <c r="D39" i="2"/>
  <c r="C39" i="2"/>
  <c r="E39" i="2"/>
  <c r="F39" i="2"/>
  <c r="D38" i="2"/>
  <c r="E38" i="2"/>
  <c r="F38" i="2"/>
  <c r="C38" i="2"/>
  <c r="C25" i="2"/>
  <c r="C21" i="2"/>
  <c r="C47" i="2" l="1" a="1"/>
  <c r="C47" i="2" s="1"/>
  <c r="C53" i="2" s="1" a="1"/>
  <c r="C53" i="2" l="1"/>
  <c r="D91" i="2" l="1"/>
  <c r="D90" i="2"/>
  <c r="D88" i="2"/>
  <c r="C59" i="2"/>
  <c r="D89" i="2"/>
  <c r="D92" i="2"/>
  <c r="D93" i="2"/>
  <c r="D101" i="2" s="1"/>
  <c r="C64" i="2"/>
  <c r="C65" i="2"/>
  <c r="C66" i="2"/>
  <c r="C60" i="2" l="1"/>
  <c r="E60" i="2" s="1"/>
  <c r="E105" i="2"/>
  <c r="H22" i="2"/>
  <c r="E110" i="2"/>
  <c r="F110" i="2" s="1"/>
  <c r="E107" i="2"/>
  <c r="F107" i="2" s="1"/>
  <c r="E108" i="2"/>
  <c r="F108" i="2" s="1"/>
  <c r="D97" i="2"/>
  <c r="E109" i="2"/>
  <c r="F109" i="2" s="1"/>
  <c r="E106" i="2"/>
  <c r="F106" i="2" s="1"/>
  <c r="F105" i="2"/>
  <c r="D96" i="2"/>
  <c r="D100" i="2"/>
  <c r="D99" i="2"/>
  <c r="D98" i="2"/>
  <c r="C67" i="2"/>
  <c r="C69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<sst xmlns="http://schemas.openxmlformats.org/spreadsheetml/2006/main" count="229" uniqueCount="113">
  <si>
    <t>Chord</t>
  </si>
  <si>
    <t>Wingspan</t>
  </si>
  <si>
    <t>Lift  slope</t>
  </si>
  <si>
    <t>Drag coefficient</t>
  </si>
  <si>
    <t>m</t>
  </si>
  <si>
    <t>1/rad</t>
  </si>
  <si>
    <t>deg</t>
  </si>
  <si>
    <t>aL=0</t>
  </si>
  <si>
    <t>Density</t>
  </si>
  <si>
    <t>Visc din</t>
  </si>
  <si>
    <t>kg/m3</t>
  </si>
  <si>
    <t>kg/m*s</t>
  </si>
  <si>
    <t>Vinf</t>
  </si>
  <si>
    <t>V2</t>
  </si>
  <si>
    <t>km/h</t>
  </si>
  <si>
    <t>m/s</t>
  </si>
  <si>
    <t>Theta Ang</t>
  </si>
  <si>
    <t>q</t>
  </si>
  <si>
    <t>Pa</t>
  </si>
  <si>
    <t xml:space="preserve">m </t>
  </si>
  <si>
    <t>Mfus</t>
  </si>
  <si>
    <t>Nm</t>
  </si>
  <si>
    <t xml:space="preserve">Mwing </t>
  </si>
  <si>
    <t>0 = -Mfus + L*d + Mwing</t>
  </si>
  <si>
    <t>Lift wing</t>
  </si>
  <si>
    <t>Cl</t>
  </si>
  <si>
    <t>N</t>
  </si>
  <si>
    <t>AR</t>
  </si>
  <si>
    <t xml:space="preserve">S </t>
  </si>
  <si>
    <t>m2</t>
  </si>
  <si>
    <t>e</t>
  </si>
  <si>
    <t>rad</t>
  </si>
  <si>
    <t>Moment eq</t>
  </si>
  <si>
    <t>D mass center-wing   x</t>
  </si>
  <si>
    <t>D mass center-wing   y</t>
  </si>
  <si>
    <t>D mass center-win  magnitud</t>
  </si>
  <si>
    <t>Assumption = Rectangular wing</t>
  </si>
  <si>
    <t>DATA LLT</t>
  </si>
  <si>
    <t>bw</t>
  </si>
  <si>
    <t>taper ratio</t>
  </si>
  <si>
    <t>Sw</t>
  </si>
  <si>
    <t>Btip</t>
  </si>
  <si>
    <t>Ageo</t>
  </si>
  <si>
    <t>C mean</t>
  </si>
  <si>
    <t>C root</t>
  </si>
  <si>
    <t>C tip</t>
  </si>
  <si>
    <t>C av</t>
  </si>
  <si>
    <t xml:space="preserve">Y </t>
  </si>
  <si>
    <t xml:space="preserve">Re </t>
  </si>
  <si>
    <t>k</t>
  </si>
  <si>
    <t>Moment coeffient</t>
  </si>
  <si>
    <t>y(k) [m]</t>
  </si>
  <si>
    <t>Theta(k) [rad]</t>
  </si>
  <si>
    <t xml:space="preserve">C(k) </t>
  </si>
  <si>
    <t>Lift slope root</t>
  </si>
  <si>
    <t>Lift slope tip</t>
  </si>
  <si>
    <t>aL=0 root</t>
  </si>
  <si>
    <t>aL=0 tip</t>
  </si>
  <si>
    <t>B(k)</t>
  </si>
  <si>
    <t>h tip</t>
  </si>
  <si>
    <t>D(k)</t>
  </si>
  <si>
    <t>AoA</t>
  </si>
  <si>
    <t>a L=0 (k)</t>
  </si>
  <si>
    <t>n</t>
  </si>
  <si>
    <t>a0(k)</t>
  </si>
  <si>
    <t>C</t>
  </si>
  <si>
    <t>C^-1</t>
  </si>
  <si>
    <t>A(1)</t>
  </si>
  <si>
    <t>A(2)</t>
  </si>
  <si>
    <t>A(3)</t>
  </si>
  <si>
    <t>A(4)</t>
  </si>
  <si>
    <t>CL_w</t>
  </si>
  <si>
    <t>PARA OBTENER ESTE VALOR DE AoA, SE DEFINIÓ UNO DE 0° PARA EMPEZAR, E HICE QUE EL EXCEL ITERARA HASTA OBTENER EL CL_W QUE NECESITABÁMOS (-0.252840)</t>
  </si>
  <si>
    <t>Delta coeficient</t>
  </si>
  <si>
    <t>Lift Slope (With correction)</t>
  </si>
  <si>
    <t>REAL Lift Slope</t>
  </si>
  <si>
    <t>Vrelative magnitud</t>
  </si>
  <si>
    <t>NACA</t>
  </si>
  <si>
    <t>c</t>
  </si>
  <si>
    <t xml:space="preserve">V </t>
  </si>
  <si>
    <t>kg/(m*s)</t>
  </si>
  <si>
    <t>L_w</t>
  </si>
  <si>
    <t>Kg</t>
  </si>
  <si>
    <t>y(0)</t>
  </si>
  <si>
    <t>y(1)</t>
  </si>
  <si>
    <t>y(2)</t>
  </si>
  <si>
    <t>y(3)</t>
  </si>
  <si>
    <t>y(4)</t>
  </si>
  <si>
    <t>y(5)</t>
  </si>
  <si>
    <t>y(k)</t>
  </si>
  <si>
    <t>Points of control</t>
  </si>
  <si>
    <t>Location</t>
  </si>
  <si>
    <t>y [m]</t>
  </si>
  <si>
    <t>theta(y) [rad]</t>
  </si>
  <si>
    <t>Circ(y) [m2/sec]</t>
  </si>
  <si>
    <t>Circ(y) Norm</t>
  </si>
  <si>
    <t>y/(bw/2)</t>
  </si>
  <si>
    <t>CL_w(y)</t>
  </si>
  <si>
    <t>C(y)</t>
  </si>
  <si>
    <t>Peso Requerido</t>
  </si>
  <si>
    <t>1.5 kg</t>
  </si>
  <si>
    <t>L(y) [N]</t>
  </si>
  <si>
    <t>Alpha</t>
  </si>
  <si>
    <t>L = 1.5Kg</t>
  </si>
  <si>
    <t>L [N]</t>
  </si>
  <si>
    <t>L [kg]</t>
  </si>
  <si>
    <t>AR 6</t>
  </si>
  <si>
    <t>AR 3</t>
  </si>
  <si>
    <t>AR 10</t>
  </si>
  <si>
    <t>Cd_profile</t>
  </si>
  <si>
    <t>Cl_Profile</t>
  </si>
  <si>
    <t>Cdi</t>
  </si>
  <si>
    <t>CD_w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</si>
</sst>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"/>
    <numFmt numFmtId="165" formatCode="0.00000"/>
    <numFmt numFmtId="166" formatCode="0.0000"/>
  </numFmts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/>
    <xf numFmtId="164" fontId="0" fillId="2" borderId="1" xfId="0" applyNumberFormat="1" applyFill="1" applyBorder="1"/>
    <xf numFmtId="0" fontId="0" fillId="2" borderId="1" xfId="0" applyFill="1" applyBorder="1"/>
    <xf numFmtId="165" fontId="0" fillId="0" borderId="1" xfId="0" applyNumberFormat="1" applyBorder="1"/>
    <xf numFmtId="0" fontId="0" fillId="3" borderId="1" xfId="0" applyFill="1" applyBorder="1"/>
    <xf numFmtId="0" fontId="1" fillId="0" borderId="0" xfId="0" applyFont="1"/>
    <xf numFmtId="0" fontId="0" fillId="2" borderId="6" xfId="0" applyFill="1" applyBorder="1"/>
    <xf numFmtId="0" fontId="0" fillId="2" borderId="7" xfId="0" applyFill="1" applyBorder="1"/>
    <xf numFmtId="0" fontId="0" fillId="0" borderId="8" xfId="0" applyBorder="1"/>
    <xf numFmtId="0" fontId="0" fillId="0" borderId="9" xfId="0" applyBorder="1"/>
    <xf numFmtId="0" fontId="0" fillId="2" borderId="1" xfId="0" applyFill="1" applyBorder="1" applyAlignment="1">
      <alignment horizontal="center"/>
    </xf>
    <xf numFmtId="0" fontId="0" fillId="0" borderId="10" xfId="0" applyBorder="1"/>
    <xf numFmtId="0" fontId="0" fillId="2" borderId="5" xfId="0" applyFill="1" applyBorder="1"/>
    <xf numFmtId="166" fontId="0" fillId="0" borderId="1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0" fillId="0" borderId="1" xfId="0" applyNumberForma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Cl_w(y)   vs    y/(bw/2)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Hoja2!$D$105:$D$110</c:f>
              <c:numCache>
                <c:formatCode>General</c:formatCode>
                <c:ptCount val="6"/>
                <c:pt idx="0">
                  <c:v>1</c:v>
                </c:pt>
                <c:pt idx="1">
                  <c:v>0.875</c:v>
                </c:pt>
                <c:pt idx="2">
                  <c:v>0.625</c:v>
                </c:pt>
                <c:pt idx="3">
                  <c:v>0.375</c:v>
                </c:pt>
                <c:pt idx="4">
                  <c:v>0.125</c:v>
                </c:pt>
                <c:pt idx="5">
                  <c:v>0</c:v>
                </c:pt>
              </c:numCache>
            </c:numRef>
          </c:xVal>
          <c:yVal>
            <c:numRef>
              <c:f>Hoja2!$E$105:$E$110</c:f>
              <c:numCache>
                <c:formatCode>General</c:formatCode>
                <c:ptCount val="6"/>
                <c:pt idx="0">
                  <c:v>0</c:v>
                </c:pt>
                <c:pt idx="1">
                  <c:v>0.77607157043091346</c:v>
                </c:pt>
                <c:pt idx="2">
                  <c:v>1.0641374388652081</c:v>
                </c:pt>
                <c:pt idx="3">
                  <c:v>1.1154708636249142</c:v>
                </c:pt>
                <c:pt idx="4">
                  <c:v>1.1145167268752285</c:v>
                </c:pt>
                <c:pt idx="5">
                  <c:v>1.1133331214325597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86-499B-BD93-6F9055AE3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9026448"/>
        <c:axId val="1169026928"/>
      </c:scatterChart>
      <c:valAx>
        <c:axId val="116902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y/(bw/2)</a:t>
                </a:r>
              </a:p>
            </c:rich>
          </c:tx>
          <c:layout>
            <c:manualLayout>
              <c:xMode val="edge"/>
              <c:yMode val="edge"/>
              <c:x val="0.4837869393718971"/>
              <c:y val="0.913902552789158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9026928"/>
        <c:crosses val="autoZero"/>
        <c:crossBetween val="midCat"/>
      </c:valAx>
      <c:valAx>
        <c:axId val="116902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Cl_w(y)</a:t>
                </a:r>
              </a:p>
              <a:p>
                <a:pPr>
                  <a:defRPr/>
                </a:pP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9026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CL_w vs</a:t>
            </a:r>
            <a:r>
              <a:rPr lang="en-US" baseline="0"/>
              <a:t> Alpha (AR 6)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Hoja3!$B$1</c:f>
              <c:strCache>
                <c:ptCount val="1"/>
                <c:pt idx="0">
                  <c:v>CL_w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Hoja3!$A$2:$A$26</c:f>
              <c:numCache>
                <c:formatCode>General</c:formatCode>
                <c:ptCount val="25"/>
                <c:pt idx="0">
                  <c:v>-12</c:v>
                </c:pt>
                <c:pt idx="1">
                  <c:v>-11</c:v>
                </c:pt>
                <c:pt idx="2">
                  <c:v>-10</c:v>
                </c:pt>
                <c:pt idx="3">
                  <c:v>-9</c:v>
                </c:pt>
                <c:pt idx="4">
                  <c:v>-8</c:v>
                </c:pt>
                <c:pt idx="5">
                  <c:v>-7</c:v>
                </c:pt>
                <c:pt idx="6">
                  <c:v>-6</c:v>
                </c:pt>
                <c:pt idx="7">
                  <c:v>-5</c:v>
                </c:pt>
                <c:pt idx="8">
                  <c:v>-4</c:v>
                </c:pt>
                <c:pt idx="9">
                  <c:v>-3</c:v>
                </c:pt>
                <c:pt idx="10">
                  <c:v>-2</c:v>
                </c:pt>
                <c:pt idx="11">
                  <c:v>-1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</c:numCache>
            </c:numRef>
          </c:xVal>
          <c:yVal>
            <c:numRef>
              <c:f>Hoja3!$B$2:$B$26</c:f>
              <c:numCache>
                <c:formatCode>General</c:formatCode>
                <c:ptCount val="25"/>
                <c:pt idx="0">
                  <c:v>-0.62081384700853459</c:v>
                </c:pt>
                <c:pt idx="1">
                  <c:v>-0.54913461285444898</c:v>
                </c:pt>
                <c:pt idx="2">
                  <c:v>-0.47745537870036348</c:v>
                </c:pt>
                <c:pt idx="3">
                  <c:v>-0.40577614454627808</c:v>
                </c:pt>
                <c:pt idx="4">
                  <c:v>-0.33409691039219253</c:v>
                </c:pt>
                <c:pt idx="5">
                  <c:v>-0.26241767623810708</c:v>
                </c:pt>
                <c:pt idx="6">
                  <c:v>-0.19073844208402158</c:v>
                </c:pt>
                <c:pt idx="7">
                  <c:v>-0.119059207929936</c:v>
                </c:pt>
                <c:pt idx="8">
                  <c:v>-4.7379973775850522E-2</c:v>
                </c:pt>
                <c:pt idx="9">
                  <c:v>2.4299260378234964E-2</c:v>
                </c:pt>
                <c:pt idx="10">
                  <c:v>9.5978494532320477E-2</c:v>
                </c:pt>
                <c:pt idx="11">
                  <c:v>0.16765772868640597</c:v>
                </c:pt>
                <c:pt idx="12">
                  <c:v>0.23933696284049147</c:v>
                </c:pt>
                <c:pt idx="13">
                  <c:v>0.31101619699457694</c:v>
                </c:pt>
                <c:pt idx="14">
                  <c:v>0.38269543114866245</c:v>
                </c:pt>
                <c:pt idx="15">
                  <c:v>0.454374665302748</c:v>
                </c:pt>
                <c:pt idx="16">
                  <c:v>0.52605389945683356</c:v>
                </c:pt>
                <c:pt idx="17">
                  <c:v>0.59773313361091895</c:v>
                </c:pt>
                <c:pt idx="18">
                  <c:v>0.66941236776500457</c:v>
                </c:pt>
                <c:pt idx="19">
                  <c:v>0.74109160191908996</c:v>
                </c:pt>
                <c:pt idx="20">
                  <c:v>0.81277083607317557</c:v>
                </c:pt>
                <c:pt idx="21">
                  <c:v>0.88445007022726108</c:v>
                </c:pt>
                <c:pt idx="22">
                  <c:v>0.95612930438134636</c:v>
                </c:pt>
                <c:pt idx="23">
                  <c:v>1.0278085385354321</c:v>
                </c:pt>
                <c:pt idx="24">
                  <c:v>1.0994877726895176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F8-4D00-A4C0-AA206CBA5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5506239"/>
        <c:axId val="1285504319"/>
      </c:scatterChart>
      <c:valAx>
        <c:axId val="1285506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Alpha [deg]</a:t>
                </a:r>
              </a:p>
            </c:rich>
          </c:tx>
          <c:layout>
            <c:manualLayout>
              <c:xMode val="edge"/>
              <c:yMode val="edge"/>
              <c:x val="0.4612364047731688"/>
              <c:y val="0.937933702637181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85504319"/>
        <c:crosses val="autoZero"/>
        <c:crossBetween val="midCat"/>
      </c:valAx>
      <c:valAx>
        <c:axId val="128550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Cl_w</a:t>
                </a:r>
              </a:p>
            </c:rich>
          </c:tx>
          <c:layout>
            <c:manualLayout>
              <c:xMode val="edge"/>
              <c:yMode val="edge"/>
              <c:x val="1.3575756539193011E-2"/>
              <c:y val="0.469782631908046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85506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Cl</a:t>
            </a:r>
            <a:r>
              <a:rPr lang="es-CO" baseline="0"/>
              <a:t> Normalizado vs Y/(bw/2)   (AR Compar)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AR 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Hoja3!$J$37:$J$42</c:f>
              <c:numCache>
                <c:formatCode>General</c:formatCode>
                <c:ptCount val="6"/>
                <c:pt idx="0">
                  <c:v>1</c:v>
                </c:pt>
                <c:pt idx="1">
                  <c:v>0.875</c:v>
                </c:pt>
                <c:pt idx="2">
                  <c:v>0.625</c:v>
                </c:pt>
                <c:pt idx="3">
                  <c:v>0.375</c:v>
                </c:pt>
                <c:pt idx="4">
                  <c:v>0.125</c:v>
                </c:pt>
                <c:pt idx="5">
                  <c:v>0</c:v>
                </c:pt>
              </c:numCache>
            </c:numRef>
          </c:xVal>
          <c:yVal>
            <c:numRef>
              <c:f>Hoja3!$K$37:$K$42</c:f>
              <c:numCache>
                <c:formatCode>General</c:formatCode>
                <c:ptCount val="6"/>
                <c:pt idx="0">
                  <c:v>0</c:v>
                </c:pt>
                <c:pt idx="1">
                  <c:v>0.72292112955391008</c:v>
                </c:pt>
                <c:pt idx="2">
                  <c:v>1.0407640268405118</c:v>
                </c:pt>
                <c:pt idx="3">
                  <c:v>1.1370595733336364</c:v>
                </c:pt>
                <c:pt idx="4">
                  <c:v>1.1640285405893835</c:v>
                </c:pt>
                <c:pt idx="5">
                  <c:v>1.1665632201438887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3A3-4C28-8BEF-C1BD1FB3705C}"/>
            </c:ext>
          </c:extLst>
        </c:ser>
        <c:ser>
          <c:idx val="0"/>
          <c:order val="1"/>
          <c:tx>
            <c:v>AR 6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Hoja3!$C$37:$C$42</c:f>
              <c:numCache>
                <c:formatCode>General</c:formatCode>
                <c:ptCount val="6"/>
                <c:pt idx="0">
                  <c:v>1</c:v>
                </c:pt>
                <c:pt idx="1">
                  <c:v>0.875</c:v>
                </c:pt>
                <c:pt idx="2">
                  <c:v>0.625</c:v>
                </c:pt>
                <c:pt idx="3">
                  <c:v>0.375</c:v>
                </c:pt>
                <c:pt idx="4">
                  <c:v>0.125</c:v>
                </c:pt>
                <c:pt idx="5">
                  <c:v>0</c:v>
                </c:pt>
              </c:numCache>
            </c:numRef>
          </c:xVal>
          <c:yVal>
            <c:numRef>
              <c:f>Hoja3!$D$37:$D$42</c:f>
              <c:numCache>
                <c:formatCode>General</c:formatCode>
                <c:ptCount val="6"/>
                <c:pt idx="0">
                  <c:v>0</c:v>
                </c:pt>
                <c:pt idx="1">
                  <c:v>0.77607157043091324</c:v>
                </c:pt>
                <c:pt idx="2">
                  <c:v>1.0641374388652081</c:v>
                </c:pt>
                <c:pt idx="3">
                  <c:v>1.1154708636249144</c:v>
                </c:pt>
                <c:pt idx="4">
                  <c:v>1.1145167268752287</c:v>
                </c:pt>
                <c:pt idx="5">
                  <c:v>1.1133331214325597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A3-4C28-8BEF-C1BD1FB3705C}"/>
            </c:ext>
          </c:extLst>
        </c:ser>
        <c:ser>
          <c:idx val="2"/>
          <c:order val="2"/>
          <c:tx>
            <c:v>AR 10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Hoja3!$Q$37:$Q$42</c:f>
              <c:numCache>
                <c:formatCode>General</c:formatCode>
                <c:ptCount val="6"/>
                <c:pt idx="0">
                  <c:v>1</c:v>
                </c:pt>
                <c:pt idx="1">
                  <c:v>0.875</c:v>
                </c:pt>
                <c:pt idx="2">
                  <c:v>0.625</c:v>
                </c:pt>
                <c:pt idx="3">
                  <c:v>0.375</c:v>
                </c:pt>
                <c:pt idx="4">
                  <c:v>0.125</c:v>
                </c:pt>
                <c:pt idx="5">
                  <c:v>0</c:v>
                </c:pt>
              </c:numCache>
            </c:numRef>
          </c:xVal>
          <c:yVal>
            <c:numRef>
              <c:f>Hoja3!$R$37:$R$42</c:f>
              <c:numCache>
                <c:formatCode>General</c:formatCode>
                <c:ptCount val="6"/>
                <c:pt idx="0">
                  <c:v>0</c:v>
                </c:pt>
                <c:pt idx="1">
                  <c:v>0.81918390475664449</c:v>
                </c:pt>
                <c:pt idx="2">
                  <c:v>1.0830964980360192</c:v>
                </c:pt>
                <c:pt idx="3">
                  <c:v>1.0979594440531109</c:v>
                </c:pt>
                <c:pt idx="4">
                  <c:v>1.0743558207623782</c:v>
                </c:pt>
                <c:pt idx="5">
                  <c:v>1.0701561736223792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3A3-4C28-8BEF-C1BD1FB37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8034191"/>
        <c:axId val="1388020751"/>
      </c:scatterChart>
      <c:valAx>
        <c:axId val="1388034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Y/(bw/2)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20751"/>
        <c:crosses val="autoZero"/>
        <c:crossBetween val="midCat"/>
      </c:valAx>
      <c:valAx>
        <c:axId val="138802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41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CL_w</a:t>
            </a:r>
            <a:r>
              <a:rPr lang="en-US" baseline="0"/>
              <a:t>  vs  Alpha  (AR Compar)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Hoja3!$C$47</c:f>
              <c:strCache>
                <c:ptCount val="1"/>
                <c:pt idx="0">
                  <c:v>AR 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Hoja3!$B$49:$B$51</c:f>
              <c:numCache>
                <c:formatCode>General</c:formatCode>
                <c:ptCount val="3"/>
                <c:pt idx="0">
                  <c:v>-12</c:v>
                </c:pt>
                <c:pt idx="1">
                  <c:v>0</c:v>
                </c:pt>
                <c:pt idx="2">
                  <c:v>12</c:v>
                </c:pt>
              </c:numCache>
            </c:numRef>
          </c:xVal>
          <c:yVal>
            <c:numRef>
              <c:f>Hoja3!$C$49:$C$51</c:f>
              <c:numCache>
                <c:formatCode>General</c:formatCode>
                <c:ptCount val="3"/>
                <c:pt idx="0">
                  <c:v>-0.5115956977445747</c:v>
                </c:pt>
                <c:pt idx="1">
                  <c:v>0.19723103969162159</c:v>
                </c:pt>
                <c:pt idx="2">
                  <c:v>0.90605777712781788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1C-439C-BFF7-BB52936CD52C}"/>
            </c:ext>
          </c:extLst>
        </c:ser>
        <c:ser>
          <c:idx val="1"/>
          <c:order val="1"/>
          <c:tx>
            <c:strRef>
              <c:f>Hoja3!$D$47</c:f>
              <c:strCache>
                <c:ptCount val="1"/>
                <c:pt idx="0">
                  <c:v>AR 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Hoja3!$B$49:$B$51</c:f>
              <c:numCache>
                <c:formatCode>General</c:formatCode>
                <c:ptCount val="3"/>
                <c:pt idx="0">
                  <c:v>-12</c:v>
                </c:pt>
                <c:pt idx="1">
                  <c:v>0</c:v>
                </c:pt>
                <c:pt idx="2">
                  <c:v>12</c:v>
                </c:pt>
              </c:numCache>
            </c:numRef>
          </c:xVal>
          <c:yVal>
            <c:numRef>
              <c:f>Hoja3!$D$49:$D$51</c:f>
              <c:numCache>
                <c:formatCode>General</c:formatCode>
                <c:ptCount val="3"/>
                <c:pt idx="0">
                  <c:v>-0.62081384700853459</c:v>
                </c:pt>
                <c:pt idx="1">
                  <c:v>0.23933696284049147</c:v>
                </c:pt>
                <c:pt idx="2">
                  <c:v>1.0994877726895176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1C-439C-BFF7-BB52936CD52C}"/>
            </c:ext>
          </c:extLst>
        </c:ser>
        <c:ser>
          <c:idx val="2"/>
          <c:order val="2"/>
          <c:tx>
            <c:strRef>
              <c:f>Hoja3!$E$47</c:f>
              <c:strCache>
                <c:ptCount val="1"/>
                <c:pt idx="0">
                  <c:v>AR 10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Hoja3!$B$49:$B$51</c:f>
              <c:numCache>
                <c:formatCode>General</c:formatCode>
                <c:ptCount val="3"/>
                <c:pt idx="0">
                  <c:v>-12</c:v>
                </c:pt>
                <c:pt idx="1">
                  <c:v>0</c:v>
                </c:pt>
                <c:pt idx="2">
                  <c:v>12</c:v>
                </c:pt>
              </c:numCache>
            </c:numRef>
          </c:xVal>
          <c:yVal>
            <c:numRef>
              <c:f>Hoja3!$E$49:$E$51</c:f>
              <c:numCache>
                <c:formatCode>General</c:formatCode>
                <c:ptCount val="3"/>
                <c:pt idx="0">
                  <c:v>-0.68425739037489586</c:v>
                </c:pt>
                <c:pt idx="1">
                  <c:v>0.26379580030732902</c:v>
                </c:pt>
                <c:pt idx="2">
                  <c:v>1.2118489909895538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71C-439C-BFF7-BB52936CD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6871119"/>
        <c:axId val="1856881679"/>
      </c:scatterChart>
      <c:valAx>
        <c:axId val="1856871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Alpha [deg]</a:t>
                </a:r>
              </a:p>
            </c:rich>
          </c:tx>
          <c:layout>
            <c:manualLayout>
              <c:xMode val="edge"/>
              <c:yMode val="edge"/>
              <c:x val="0.41046251280539542"/>
              <c:y val="0.928610495661120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56881679"/>
        <c:crosses val="autoZero"/>
        <c:crossBetween val="midCat"/>
      </c:valAx>
      <c:valAx>
        <c:axId val="185688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CL_w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568711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CD_w vs</a:t>
            </a:r>
            <a:r>
              <a:rPr lang="en-US" baseline="0"/>
              <a:t> Cl(AR 6)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Hoja3!$B$72</c:f>
              <c:strCache>
                <c:ptCount val="1"/>
                <c:pt idx="0">
                  <c:v>Cd_profile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Hoja3!$C$73:$C$79</c:f>
              <c:numCache>
                <c:formatCode>General</c:formatCode>
                <c:ptCount val="7"/>
                <c:pt idx="0">
                  <c:v>-0.19073844208402158</c:v>
                </c:pt>
                <c:pt idx="1">
                  <c:v>2.4299260378234964E-2</c:v>
                </c:pt>
                <c:pt idx="2">
                  <c:v>0.23933696284049147</c:v>
                </c:pt>
                <c:pt idx="3">
                  <c:v>0.454374665302748</c:v>
                </c:pt>
                <c:pt idx="4">
                  <c:v>0.66941236776500457</c:v>
                </c:pt>
                <c:pt idx="5">
                  <c:v>0.88445007022726108</c:v>
                </c:pt>
                <c:pt idx="6">
                  <c:v>1.0994877726895176</c:v>
                </c:pt>
              </c:numCache>
            </c:numRef>
          </c:xVal>
          <c:yVal>
            <c:numRef>
              <c:f>Hoja3!$B$73:$B$79</c:f>
              <c:numCache>
                <c:formatCode>0.0000</c:formatCode>
                <c:ptCount val="7"/>
                <c:pt idx="0">
                  <c:v>3.4759999999999999E-2</c:v>
                </c:pt>
                <c:pt idx="1">
                  <c:v>2.3689999999999999E-2</c:v>
                </c:pt>
                <c:pt idx="2">
                  <c:v>1.7239999999999998E-2</c:v>
                </c:pt>
                <c:pt idx="3">
                  <c:v>1.9179999999999999E-2</c:v>
                </c:pt>
                <c:pt idx="4">
                  <c:v>2.3109999999999999E-2</c:v>
                </c:pt>
                <c:pt idx="5">
                  <c:v>2.6960000000000001E-2</c:v>
                </c:pt>
                <c:pt idx="6">
                  <c:v>3.3099999999999997E-2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63-47CC-B98B-9C823275C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5506239"/>
        <c:axId val="1285504319"/>
      </c:scatterChart>
      <c:valAx>
        <c:axId val="1285506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Alpha [deg]</a:t>
                </a:r>
              </a:p>
            </c:rich>
          </c:tx>
          <c:layout>
            <c:manualLayout>
              <c:xMode val="edge"/>
              <c:yMode val="edge"/>
              <c:x val="0.4612364047731688"/>
              <c:y val="0.937933702637181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85504319"/>
        <c:crosses val="autoZero"/>
        <c:crossBetween val="midCat"/>
      </c:valAx>
      <c:valAx>
        <c:axId val="128550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CD_w</a:t>
                </a:r>
              </a:p>
            </c:rich>
          </c:tx>
          <c:layout>
            <c:manualLayout>
              <c:xMode val="edge"/>
              <c:yMode val="edge"/>
              <c:x val="1.3575756539193011E-2"/>
              <c:y val="0.469782631908046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85506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676275</xdr:colOff>
      <xdr:row>110</xdr:row>
      <xdr:rowOff>130622</xdr:rowOff>
    </xdr:from>
    <xdr:to>
      <xdr:col>5</xdr:col>
      <xdr:colOff>552450</xdr:colOff>
      <xdr:row>136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6C5C9EC-C2C1-E0D7-DD2E-4EAE291B8384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214312</xdr:colOff>
      <xdr:row>0</xdr:row>
      <xdr:rowOff>4761</xdr:rowOff>
    </xdr:from>
    <xdr:to>
      <xdr:col>12</xdr:col>
      <xdr:colOff>57150</xdr:colOff>
      <xdr:row>26</xdr:row>
      <xdr:rowOff>47624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2AF1F74-4943-06AA-331E-071A78C602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745190</xdr:colOff>
      <xdr:row>2</xdr:row>
      <xdr:rowOff>169207</xdr:rowOff>
    </xdr:from>
    <xdr:to>
      <xdr:col>20</xdr:col>
      <xdr:colOff>694764</xdr:colOff>
      <xdr:row>23</xdr:row>
      <xdr:rowOff>168088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3547D63-8870-1187-D4C3-B2CFE3AEE7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201705</xdr:colOff>
      <xdr:row>45</xdr:row>
      <xdr:rowOff>90767</xdr:rowOff>
    </xdr:from>
    <xdr:to>
      <xdr:col>15</xdr:col>
      <xdr:colOff>89646</xdr:colOff>
      <xdr:row>67</xdr:row>
      <xdr:rowOff>22412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8F8F8EE-090F-5F88-8030-363CF55B50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768423</xdr:colOff>
      <xdr:row>69</xdr:row>
      <xdr:rowOff>64366</xdr:rowOff>
    </xdr:from>
    <xdr:to>
      <xdr:col>14</xdr:col>
      <xdr:colOff>611262</xdr:colOff>
      <xdr:row>95</xdr:row>
      <xdr:rowOff>113788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D247D22-3555-45C0-8CDA-97426DCD39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8F52-C1D4-4F9D-BE65-1227CE2C0203}">
  <dimension ref="B2:N93"/>
  <sheetViews>
    <sheetView zoomScale="102" zoomScaleNormal="85" workbookViewId="0">
      <selection activeCell="E93" sqref="E93"/>
    </sheetView>
  </sheetViews>
  <sheetFormatPr baseColWidth="10" defaultRowHeight="15" x14ac:dyDescent="0.25"/>
  <cols>
    <col min="2" max="2" width="28.5703125" customWidth="1"/>
    <col min="3" max="3" width="14.140625" customWidth="1"/>
    <col min="4" max="4" width="14.28515625" customWidth="1"/>
    <col min="7" max="7" width="11.7109375" customWidth="1"/>
    <col min="8" max="8" width="11.42578125" customWidth="1"/>
  </cols>
  <sheetData>
    <row r="2" spans="2:6" x14ac:dyDescent="0.25">
      <c r="B2" t="s">
        <v>0</v>
      </c>
      <c r="C2" s="3">
        <v>0.73550000000000004</v>
      </c>
      <c r="D2" t="s">
        <v>4</v>
      </c>
    </row>
    <row r="3" spans="2:6" x14ac:dyDescent="0.25">
      <c r="B3" t="s">
        <v>1</v>
      </c>
      <c r="C3" s="3">
        <v>3.2</v>
      </c>
      <c r="D3" t="s">
        <v>4</v>
      </c>
    </row>
    <row r="4" spans="2:6" x14ac:dyDescent="0.25">
      <c r="B4" t="s">
        <v>2</v>
      </c>
      <c r="C4" s="3">
        <v>6.4359999999999999</v>
      </c>
      <c r="D4" t="s">
        <v>5</v>
      </c>
    </row>
    <row r="5" spans="2:6" x14ac:dyDescent="0.25">
      <c r="B5" t="s">
        <v>7</v>
      </c>
      <c r="C5" s="3">
        <v>-4.0999999999999996</v>
      </c>
      <c r="D5" t="s">
        <v>6</v>
      </c>
      <c r="E5">
        <f>RADIANS(C5)</f>
        <v>-7.15584993317675E-2</v>
      </c>
      <c r="F5" t="s">
        <v>31</v>
      </c>
    </row>
    <row r="6" spans="2:6" x14ac:dyDescent="0.25">
      <c r="B6" t="s">
        <v>50</v>
      </c>
      <c r="C6" s="3">
        <v>-9.8100000000000007E-2</v>
      </c>
    </row>
    <row r="7" spans="2:6" x14ac:dyDescent="0.25">
      <c r="B7" t="s">
        <v>3</v>
      </c>
      <c r="C7" s="3">
        <v>5.2399999999999999E-3</v>
      </c>
    </row>
    <row r="9" spans="2:6" x14ac:dyDescent="0.25">
      <c r="B9" t="s">
        <v>8</v>
      </c>
      <c r="C9" s="3">
        <v>1.2250000000000001</v>
      </c>
      <c r="D9" t="s">
        <v>10</v>
      </c>
    </row>
    <row r="10" spans="2:6" x14ac:dyDescent="0.25">
      <c r="B10" t="s">
        <v>9</v>
      </c>
      <c r="C10" s="3">
        <f>1.79*10^-5</f>
        <v>1.7900000000000001E-5</v>
      </c>
      <c r="D10" t="s">
        <v>11</v>
      </c>
    </row>
    <row r="11" spans="2:6" x14ac:dyDescent="0.25">
      <c r="B11" t="s">
        <v>20</v>
      </c>
      <c r="C11" s="3">
        <v>19232.939999999999</v>
      </c>
      <c r="D11" t="s">
        <v>21</v>
      </c>
    </row>
    <row r="12" spans="2:6" x14ac:dyDescent="0.25">
      <c r="B12" t="s">
        <v>12</v>
      </c>
      <c r="C12" s="3">
        <v>201</v>
      </c>
      <c r="D12" t="s">
        <v>14</v>
      </c>
      <c r="E12">
        <f>C12/3.6</f>
        <v>55.833333333333329</v>
      </c>
      <c r="F12" t="s">
        <v>15</v>
      </c>
    </row>
    <row r="13" spans="2:6" x14ac:dyDescent="0.25">
      <c r="B13" t="s">
        <v>13</v>
      </c>
      <c r="C13" s="3">
        <v>32</v>
      </c>
      <c r="D13" t="s">
        <v>15</v>
      </c>
    </row>
    <row r="14" spans="2:6" x14ac:dyDescent="0.25">
      <c r="B14" t="s">
        <v>76</v>
      </c>
      <c r="C14">
        <f>SQRT((E12^2)+(C13^2))</f>
        <v>64.353407921501017</v>
      </c>
      <c r="D14" t="s">
        <v>15</v>
      </c>
    </row>
    <row r="15" spans="2:6" x14ac:dyDescent="0.25">
      <c r="B15" t="s">
        <v>16</v>
      </c>
      <c r="C15">
        <f>DEGREES(ASIN(C13/C14))</f>
        <v>29.81850256000714</v>
      </c>
      <c r="D15" t="s">
        <v>6</v>
      </c>
    </row>
    <row r="16" spans="2:6" x14ac:dyDescent="0.25">
      <c r="B16" t="s">
        <v>17</v>
      </c>
      <c r="C16">
        <f>(1/2)*C9*(C14)^2</f>
        <v>2536.5836805555546</v>
      </c>
      <c r="D16" t="s">
        <v>18</v>
      </c>
    </row>
    <row r="17" spans="2:5" x14ac:dyDescent="0.25">
      <c r="B17" t="s">
        <v>33</v>
      </c>
      <c r="C17" s="3">
        <v>12.8</v>
      </c>
      <c r="D17" t="s">
        <v>19</v>
      </c>
    </row>
    <row r="18" spans="2:5" x14ac:dyDescent="0.25">
      <c r="B18" t="s">
        <v>34</v>
      </c>
      <c r="C18" s="3">
        <v>2.42</v>
      </c>
      <c r="D18" t="s">
        <v>4</v>
      </c>
    </row>
    <row r="19" spans="2:5" x14ac:dyDescent="0.25">
      <c r="B19" t="s">
        <v>35</v>
      </c>
      <c r="C19">
        <f>SQRT((C18^2)+(C17^2))</f>
        <v>13.026757079181298</v>
      </c>
      <c r="D19" t="s">
        <v>4</v>
      </c>
    </row>
    <row r="21" spans="2:5" x14ac:dyDescent="0.25">
      <c r="B21" t="s">
        <v>32</v>
      </c>
      <c r="C21" s="25" t="s">
        <v>23</v>
      </c>
      <c r="D21" s="25"/>
      <c r="E21" s="25"/>
    </row>
    <row r="22" spans="2:5" x14ac:dyDescent="0.25">
      <c r="B22" t="s">
        <v>22</v>
      </c>
      <c r="C22">
        <f>(C16*(C2*C3)*C2*C6)</f>
        <v>-430.75818050612713</v>
      </c>
      <c r="D22" t="s">
        <v>21</v>
      </c>
    </row>
    <row r="23" spans="2:5" x14ac:dyDescent="0.25">
      <c r="B23" t="s">
        <v>24</v>
      </c>
      <c r="C23">
        <f>(-C11-C22)/C19</f>
        <v>-1443.3509203562692</v>
      </c>
      <c r="D23" t="s">
        <v>26</v>
      </c>
    </row>
    <row r="24" spans="2:5" x14ac:dyDescent="0.25">
      <c r="B24" t="s">
        <v>25</v>
      </c>
      <c r="C24" s="2">
        <f>-C23/(C16*(C2*C3))</f>
        <v>0.24176313802372565</v>
      </c>
    </row>
    <row r="25" spans="2:5" x14ac:dyDescent="0.25">
      <c r="B25" t="s">
        <v>28</v>
      </c>
      <c r="C25">
        <f>C2*C3</f>
        <v>2.3536000000000001</v>
      </c>
      <c r="D25" t="s">
        <v>29</v>
      </c>
    </row>
    <row r="26" spans="2:5" x14ac:dyDescent="0.25">
      <c r="B26" t="s">
        <v>27</v>
      </c>
      <c r="C26">
        <f>(C3^2)/C25</f>
        <v>4.3507817811012925</v>
      </c>
    </row>
    <row r="27" spans="2:5" x14ac:dyDescent="0.25">
      <c r="B27" t="s">
        <v>30</v>
      </c>
      <c r="C27">
        <v>0.97</v>
      </c>
    </row>
    <row r="28" spans="2:5" x14ac:dyDescent="0.25">
      <c r="B28" t="s">
        <v>74</v>
      </c>
      <c r="C28" s="2">
        <f>C4/(1+C4/(PI()*C26))</f>
        <v>4.3756485943882444</v>
      </c>
      <c r="D28" t="s">
        <v>5</v>
      </c>
    </row>
    <row r="30" spans="2:5" x14ac:dyDescent="0.25">
      <c r="B30" s="5" t="s">
        <v>36</v>
      </c>
    </row>
    <row r="33" spans="2:10" x14ac:dyDescent="0.25">
      <c r="B33" s="28" t="s">
        <v>37</v>
      </c>
      <c r="C33" s="28"/>
    </row>
    <row r="34" spans="2:10" x14ac:dyDescent="0.25">
      <c r="B34" s="1" t="s">
        <v>61</v>
      </c>
      <c r="C34" s="5">
        <v>-0.80192211746755582</v>
      </c>
      <c r="D34" t="s">
        <v>6</v>
      </c>
      <c r="E34">
        <f>RADIANS(C34)</f>
        <v>-1.3996181294373581E-2</v>
      </c>
      <c r="F34" t="s">
        <v>31</v>
      </c>
      <c r="G34" s="27" t="s">
        <v>72</v>
      </c>
      <c r="H34" s="27"/>
      <c r="I34" s="27"/>
      <c r="J34" s="27"/>
    </row>
    <row r="35" spans="2:10" x14ac:dyDescent="0.25">
      <c r="B35" t="s">
        <v>38</v>
      </c>
      <c r="C35">
        <f>C3</f>
        <v>3.2</v>
      </c>
      <c r="D35" t="s">
        <v>4</v>
      </c>
      <c r="G35" s="27"/>
      <c r="H35" s="27"/>
      <c r="I35" s="27"/>
      <c r="J35" s="27"/>
    </row>
    <row r="36" spans="2:10" x14ac:dyDescent="0.25">
      <c r="B36" t="s">
        <v>39</v>
      </c>
      <c r="C36" s="3">
        <v>1</v>
      </c>
      <c r="G36" s="27"/>
      <c r="H36" s="27"/>
      <c r="I36" s="27"/>
      <c r="J36" s="27"/>
    </row>
    <row r="37" spans="2:10" x14ac:dyDescent="0.25">
      <c r="B37" t="s">
        <v>40</v>
      </c>
      <c r="C37">
        <f>C25</f>
        <v>2.3536000000000001</v>
      </c>
      <c r="D37" t="s">
        <v>29</v>
      </c>
      <c r="G37" s="27"/>
      <c r="H37" s="27"/>
      <c r="I37" s="27"/>
      <c r="J37" s="27"/>
    </row>
    <row r="38" spans="2:10" x14ac:dyDescent="0.25">
      <c r="B38" t="s">
        <v>41</v>
      </c>
      <c r="C38" s="3">
        <v>0</v>
      </c>
    </row>
    <row r="39" spans="2:10" x14ac:dyDescent="0.25">
      <c r="B39" t="s">
        <v>42</v>
      </c>
      <c r="C39" s="3">
        <v>0</v>
      </c>
    </row>
    <row r="40" spans="2:10" x14ac:dyDescent="0.25">
      <c r="B40" t="s">
        <v>54</v>
      </c>
      <c r="C40">
        <f>C4</f>
        <v>6.4359999999999999</v>
      </c>
    </row>
    <row r="41" spans="2:10" x14ac:dyDescent="0.25">
      <c r="B41" t="s">
        <v>55</v>
      </c>
      <c r="C41">
        <f>C4</f>
        <v>6.4359999999999999</v>
      </c>
    </row>
    <row r="42" spans="2:10" x14ac:dyDescent="0.25">
      <c r="B42" t="s">
        <v>56</v>
      </c>
      <c r="C42">
        <f>C5</f>
        <v>-4.0999999999999996</v>
      </c>
      <c r="D42" t="s">
        <v>6</v>
      </c>
      <c r="E42">
        <f>RADIANS(C42)</f>
        <v>-7.15584993317675E-2</v>
      </c>
    </row>
    <row r="43" spans="2:10" x14ac:dyDescent="0.25">
      <c r="B43" t="s">
        <v>57</v>
      </c>
      <c r="C43">
        <f>C5</f>
        <v>-4.0999999999999996</v>
      </c>
      <c r="D43" t="s">
        <v>6</v>
      </c>
      <c r="E43">
        <f>RADIANS(C43)</f>
        <v>-7.15584993317675E-2</v>
      </c>
    </row>
    <row r="44" spans="2:10" x14ac:dyDescent="0.25">
      <c r="B44" t="s">
        <v>27</v>
      </c>
      <c r="C44">
        <f>C26</f>
        <v>4.3507817811012925</v>
      </c>
    </row>
    <row r="45" spans="2:10" x14ac:dyDescent="0.25">
      <c r="B45" t="s">
        <v>44</v>
      </c>
      <c r="C45">
        <f>(2*C37)/(C35*(1+C36))</f>
        <v>0.73550000000000004</v>
      </c>
      <c r="D45" t="s">
        <v>4</v>
      </c>
    </row>
    <row r="46" spans="2:10" x14ac:dyDescent="0.25">
      <c r="B46" t="s">
        <v>45</v>
      </c>
      <c r="C46">
        <f>C36*C45</f>
        <v>0.73550000000000004</v>
      </c>
      <c r="D46" t="s">
        <v>4</v>
      </c>
    </row>
    <row r="47" spans="2:10" x14ac:dyDescent="0.25">
      <c r="B47" t="s">
        <v>46</v>
      </c>
      <c r="C47">
        <f>(1/(2*C36))*C46*(1+C36)</f>
        <v>0.73550000000000004</v>
      </c>
      <c r="D47" t="s">
        <v>4</v>
      </c>
    </row>
    <row r="48" spans="2:10" x14ac:dyDescent="0.25">
      <c r="B48" t="s">
        <v>43</v>
      </c>
      <c r="C48">
        <f>(2/3)*C45*((1+C36+C36^2)/(1+C36))</f>
        <v>0.73550000000000004</v>
      </c>
      <c r="D48" t="s">
        <v>4</v>
      </c>
      <c r="F48" s="5" t="s">
        <v>75</v>
      </c>
      <c r="G48" s="5"/>
      <c r="H48" s="11">
        <f>(F42-C85)/(E42-E34)</f>
        <v>4.2000243604321961</v>
      </c>
    </row>
    <row r="49" spans="2:14" x14ac:dyDescent="0.25">
      <c r="B49" t="s">
        <v>47</v>
      </c>
      <c r="C49">
        <f>(C35/6)*((1+2*C36)/(1+C36))</f>
        <v>0.8</v>
      </c>
      <c r="D49" t="s">
        <v>4</v>
      </c>
    </row>
    <row r="50" spans="2:14" x14ac:dyDescent="0.25">
      <c r="B50" t="s">
        <v>48</v>
      </c>
      <c r="C50">
        <f>(C9*C14*C48)/C10</f>
        <v>3239196.4312666706</v>
      </c>
    </row>
    <row r="51" spans="2:14" x14ac:dyDescent="0.25">
      <c r="B51" t="s">
        <v>59</v>
      </c>
      <c r="C51">
        <f>C46*SIN(C38)</f>
        <v>0</v>
      </c>
    </row>
    <row r="53" spans="2:14" x14ac:dyDescent="0.25">
      <c r="B53" t="s">
        <v>26</v>
      </c>
      <c r="C53">
        <v>4</v>
      </c>
    </row>
    <row r="55" spans="2:14" x14ac:dyDescent="0.25">
      <c r="B55" s="7" t="s">
        <v>49</v>
      </c>
      <c r="C55" s="7" t="s">
        <v>51</v>
      </c>
      <c r="D55" s="7" t="s">
        <v>52</v>
      </c>
      <c r="E55" s="7" t="s">
        <v>53</v>
      </c>
      <c r="F55" s="7" t="s">
        <v>64</v>
      </c>
      <c r="G55" s="7" t="s">
        <v>62</v>
      </c>
      <c r="H55" s="7" t="s">
        <v>58</v>
      </c>
      <c r="I55" s="7" t="s">
        <v>60</v>
      </c>
      <c r="J55" s="6"/>
      <c r="K55" s="6"/>
      <c r="L55" s="6"/>
      <c r="M55" s="6"/>
      <c r="N55" s="6"/>
    </row>
    <row r="56" spans="2:14" x14ac:dyDescent="0.25">
      <c r="B56" s="7">
        <v>1</v>
      </c>
      <c r="C56" s="7">
        <f>-($C$35/2)*(1-(2*B56-1)/(2*$C$53))</f>
        <v>-1.4000000000000001</v>
      </c>
      <c r="D56" s="7">
        <f>ACOS(-(2*C56)/$C$35)</f>
        <v>0.50536051028415718</v>
      </c>
      <c r="E56" s="7">
        <f>$C$45*(1-2*(($C$36-1)/$C$35)*C56)</f>
        <v>0.73550000000000004</v>
      </c>
      <c r="F56" s="7">
        <f>$C$40-2*(($C$41-$C$40)/$C$35)*C56</f>
        <v>6.4359999999999999</v>
      </c>
      <c r="G56" s="7">
        <f>$E$42-2*(($E$43-$E$42)/$C$35)*C56</f>
        <v>-7.15584993317675E-2</v>
      </c>
      <c r="H56" s="7">
        <v>0</v>
      </c>
      <c r="I56" s="7">
        <f>$E$34-G56+H56</f>
        <v>5.7562318037393922E-2</v>
      </c>
      <c r="J56" s="6"/>
      <c r="K56" s="6"/>
      <c r="L56" s="6"/>
      <c r="M56" s="6"/>
      <c r="N56" s="6"/>
    </row>
    <row r="57" spans="2:14" x14ac:dyDescent="0.25">
      <c r="B57" s="7">
        <v>2</v>
      </c>
      <c r="C57" s="7">
        <f t="shared" ref="C57:C59" si="0">-($C$35/2)*(1-(2*B57-1)/(2*$C$53))</f>
        <v>-1</v>
      </c>
      <c r="D57" s="7">
        <f t="shared" ref="D57:D59" si="1">ACOS(-(2*C57)/$C$35)</f>
        <v>0.8956647938578649</v>
      </c>
      <c r="E57" s="7">
        <f>$C$45*(1-2*(($C$36-1)/$C$35)*C57)</f>
        <v>0.73550000000000004</v>
      </c>
      <c r="F57" s="7">
        <f t="shared" ref="F57:F59" si="2">$C$40-2*(($C$41-$C$40)/$C$35)*C57</f>
        <v>6.4359999999999999</v>
      </c>
      <c r="G57" s="7">
        <f t="shared" ref="G57:G59" si="3">$E$42-2*(($E$43-$E$42)/$C$35)*C57</f>
        <v>-7.15584993317675E-2</v>
      </c>
      <c r="H57" s="7">
        <v>0</v>
      </c>
      <c r="I57" s="7">
        <f>$E$34-G57+H57</f>
        <v>5.7562318037393922E-2</v>
      </c>
      <c r="J57" s="6"/>
      <c r="K57" s="6"/>
      <c r="L57" s="6"/>
      <c r="M57" s="6"/>
      <c r="N57" s="6"/>
    </row>
    <row r="58" spans="2:14" x14ac:dyDescent="0.25">
      <c r="B58" s="7">
        <v>3</v>
      </c>
      <c r="C58" s="7">
        <f t="shared" si="0"/>
        <v>-0.60000000000000009</v>
      </c>
      <c r="D58" s="7">
        <f t="shared" si="1"/>
        <v>1.1863995522992574</v>
      </c>
      <c r="E58" s="7">
        <f t="shared" ref="E58:E59" si="4">$C$45*(1-2*(($C$36-1)/$C$35)*C58)</f>
        <v>0.73550000000000004</v>
      </c>
      <c r="F58" s="7">
        <f t="shared" si="2"/>
        <v>6.4359999999999999</v>
      </c>
      <c r="G58" s="7">
        <f t="shared" si="3"/>
        <v>-7.15584993317675E-2</v>
      </c>
      <c r="H58" s="7">
        <v>0</v>
      </c>
      <c r="I58" s="7">
        <f>$E$34-G58+H58</f>
        <v>5.7562318037393922E-2</v>
      </c>
      <c r="J58" s="6"/>
      <c r="K58" s="6"/>
      <c r="L58" s="6"/>
      <c r="M58" s="6"/>
      <c r="N58" s="6"/>
    </row>
    <row r="59" spans="2:14" x14ac:dyDescent="0.25">
      <c r="B59" s="7">
        <v>4</v>
      </c>
      <c r="C59" s="7">
        <f t="shared" si="0"/>
        <v>-0.2</v>
      </c>
      <c r="D59" s="7">
        <f t="shared" si="1"/>
        <v>1.4454684956268311</v>
      </c>
      <c r="E59" s="7">
        <f t="shared" si="4"/>
        <v>0.73550000000000004</v>
      </c>
      <c r="F59" s="7">
        <f t="shared" si="2"/>
        <v>6.4359999999999999</v>
      </c>
      <c r="G59" s="7">
        <f t="shared" si="3"/>
        <v>-7.15584993317675E-2</v>
      </c>
      <c r="H59" s="7">
        <v>0</v>
      </c>
      <c r="I59" s="7">
        <f>$E$34-G59+H59</f>
        <v>5.7562318037393922E-2</v>
      </c>
      <c r="J59" s="6"/>
      <c r="K59" s="6"/>
      <c r="L59" s="6"/>
      <c r="M59" s="6"/>
      <c r="N59" s="6"/>
    </row>
    <row r="60" spans="2:14" x14ac:dyDescent="0.25"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2:14" x14ac:dyDescent="0.25">
      <c r="B61" s="29" t="s">
        <v>65</v>
      </c>
      <c r="C61" s="30"/>
      <c r="D61" s="30"/>
      <c r="E61" s="30"/>
      <c r="F61" s="31"/>
    </row>
    <row r="62" spans="2:14" x14ac:dyDescent="0.25">
      <c r="B62" s="5"/>
      <c r="C62" s="26" t="s">
        <v>63</v>
      </c>
      <c r="D62" s="26"/>
      <c r="E62" s="26"/>
      <c r="F62" s="26"/>
    </row>
    <row r="63" spans="2:14" x14ac:dyDescent="0.25">
      <c r="B63" s="4" t="s">
        <v>49</v>
      </c>
      <c r="C63" s="5">
        <v>1</v>
      </c>
      <c r="D63" s="5">
        <v>2</v>
      </c>
      <c r="E63" s="5">
        <v>3</v>
      </c>
      <c r="F63" s="5">
        <v>4</v>
      </c>
    </row>
    <row r="64" spans="2:14" x14ac:dyDescent="0.25">
      <c r="B64" s="5">
        <v>1</v>
      </c>
      <c r="C64" s="8">
        <f>((((4*$C$35)/($F56*$E56))+(2*C$63-1)/(SIN($D56)))*SIN((2*C$63-1)*$D56))</f>
        <v>2.3090821458349859</v>
      </c>
      <c r="D64" s="8">
        <f t="shared" ref="D64:F64" si="5">((((4*$C$35)/($F56*$E56))+(2*D$63-1)/(SIN($D56)))*SIN((2*D$63-1)*$D56))</f>
        <v>8.8874819257846607</v>
      </c>
      <c r="E64" s="8">
        <f t="shared" si="5"/>
        <v>7.516679900311221</v>
      </c>
      <c r="F64" s="8">
        <f t="shared" si="5"/>
        <v>-6.6192712504539815</v>
      </c>
    </row>
    <row r="65" spans="2:6" x14ac:dyDescent="0.25">
      <c r="B65" s="5">
        <v>2</v>
      </c>
      <c r="C65" s="8">
        <f t="shared" ref="C65:F65" si="6">((((4*$C$35)/($F57*$E57))+(2*C$63-1)/(SIN($D57)))*SIN((2*C$63-1)*$D57))</f>
        <v>3.1108315346834825</v>
      </c>
      <c r="D65" s="8">
        <f>((((4*$C$35)/($F57*$E57))+(2*D$63-1)/(SIN($D57)))*SIN((2*D$63-1)*$D57))</f>
        <v>2.8748427382594595</v>
      </c>
      <c r="E65" s="8">
        <f t="shared" si="6"/>
        <v>-8.8607627326719953</v>
      </c>
      <c r="F65" s="8">
        <f t="shared" si="6"/>
        <v>-0.15792701146546495</v>
      </c>
    </row>
    <row r="66" spans="2:6" x14ac:dyDescent="0.25">
      <c r="B66" s="5">
        <v>3</v>
      </c>
      <c r="C66" s="8">
        <f t="shared" ref="C66:F66" si="7">((((4*$C$35)/($F58*$E58))+(2*C$63-1)/(SIN($D58)))*SIN((2*C$63-1)*$D58))</f>
        <v>3.5067014654045039</v>
      </c>
      <c r="D66" s="8">
        <f t="shared" si="7"/>
        <v>-2.4091818911144673</v>
      </c>
      <c r="E66" s="8">
        <f t="shared" si="7"/>
        <v>-2.7856899969274549</v>
      </c>
      <c r="F66" s="8">
        <f t="shared" si="7"/>
        <v>9.2305057929476853</v>
      </c>
    </row>
    <row r="67" spans="2:6" x14ac:dyDescent="0.25">
      <c r="B67" s="5">
        <v>4</v>
      </c>
      <c r="C67" s="8">
        <f t="shared" ref="C67:F67" si="8">((((4*$C$35)/($F59*$E59))+(2*C$63-1)/(SIN($D59)))*SIN((2*C$63-1)*$D59))</f>
        <v>3.6828200593935696</v>
      </c>
      <c r="D67" s="8">
        <f t="shared" si="8"/>
        <v>-5.327643805681471</v>
      </c>
      <c r="E67" s="8">
        <f t="shared" si="8"/>
        <v>6.2723023141142784</v>
      </c>
      <c r="F67" s="8">
        <f t="shared" si="8"/>
        <v>-6.2385161466649492</v>
      </c>
    </row>
    <row r="70" spans="2:6" x14ac:dyDescent="0.25">
      <c r="B70" s="25" t="s">
        <v>66</v>
      </c>
      <c r="C70" s="25"/>
      <c r="D70" s="25"/>
      <c r="E70" s="25"/>
      <c r="F70" s="25"/>
    </row>
    <row r="71" spans="2:6" x14ac:dyDescent="0.25">
      <c r="B71" s="5"/>
      <c r="C71" s="26" t="s">
        <v>63</v>
      </c>
      <c r="D71" s="26"/>
      <c r="E71" s="26"/>
      <c r="F71" s="26"/>
    </row>
    <row r="72" spans="2:6" x14ac:dyDescent="0.25">
      <c r="B72" s="4" t="s">
        <v>49</v>
      </c>
      <c r="C72" s="5">
        <v>1</v>
      </c>
      <c r="D72" s="5">
        <v>2</v>
      </c>
      <c r="E72" s="5">
        <v>3</v>
      </c>
      <c r="F72" s="5">
        <v>4</v>
      </c>
    </row>
    <row r="73" spans="2:6" x14ac:dyDescent="0.25">
      <c r="B73" s="5">
        <v>1</v>
      </c>
      <c r="C73" s="9" cm="1">
        <f t="array" ref="C73:F76">MINVERSE(C64:F67)</f>
        <v>5.2631961364318358E-2</v>
      </c>
      <c r="D73" s="9">
        <v>7.4194424532045319E-2</v>
      </c>
      <c r="E73" s="9">
        <v>9.6054348475867343E-2</v>
      </c>
      <c r="F73" s="9">
        <v>8.4399507065186022E-2</v>
      </c>
    </row>
    <row r="74" spans="2:6" x14ac:dyDescent="0.25">
      <c r="B74" s="5">
        <v>2</v>
      </c>
      <c r="C74" s="9">
        <v>7.209183472656655E-2</v>
      </c>
      <c r="D74" s="9">
        <v>1.299829732889427E-2</v>
      </c>
      <c r="E74" s="9">
        <v>8.4878992552558669E-3</v>
      </c>
      <c r="F74" s="9">
        <v>-6.4262170455077816E-2</v>
      </c>
    </row>
    <row r="75" spans="2:6" x14ac:dyDescent="0.25">
      <c r="B75" s="5">
        <v>3</v>
      </c>
      <c r="C75" s="9">
        <v>4.1664838599483181E-2</v>
      </c>
      <c r="D75" s="9">
        <v>-8.171029315090704E-2</v>
      </c>
      <c r="E75" s="9">
        <v>3.4968490623062481E-2</v>
      </c>
      <c r="F75" s="9">
        <v>9.6000792441255783E-3</v>
      </c>
    </row>
    <row r="76" spans="2:6" x14ac:dyDescent="0.25">
      <c r="B76" s="5">
        <v>4</v>
      </c>
      <c r="C76" s="9">
        <v>1.1395160042869178E-2</v>
      </c>
      <c r="D76" s="9">
        <v>-4.9453625966686218E-2</v>
      </c>
      <c r="E76" s="9">
        <v>8.4613601971151586E-2</v>
      </c>
      <c r="F76" s="9">
        <v>-4.5939008895145843E-2</v>
      </c>
    </row>
    <row r="79" spans="2:6" x14ac:dyDescent="0.25">
      <c r="B79" s="5" t="s">
        <v>67</v>
      </c>
      <c r="C79" s="10" cm="1">
        <f t="array" ref="C79:C82">MMULT(C73:F76,I56:I59)</f>
        <v>1.7687762984227792E-2</v>
      </c>
    </row>
    <row r="80" spans="2:6" x14ac:dyDescent="0.25">
      <c r="B80" s="5" t="s">
        <v>68</v>
      </c>
      <c r="C80" s="10">
        <v>1.6874889061122712E-3</v>
      </c>
    </row>
    <row r="81" spans="2:3" x14ac:dyDescent="0.25">
      <c r="B81" s="5" t="s">
        <v>69</v>
      </c>
      <c r="C81" s="10">
        <v>2.6036100232582624E-4</v>
      </c>
    </row>
    <row r="82" spans="2:3" x14ac:dyDescent="0.25">
      <c r="B82" s="5" t="s">
        <v>70</v>
      </c>
      <c r="C82" s="10">
        <v>3.5465707085759884E-5</v>
      </c>
    </row>
    <row r="85" spans="2:3" x14ac:dyDescent="0.25">
      <c r="B85" s="11" t="s">
        <v>71</v>
      </c>
      <c r="C85" s="11">
        <f>PI()*C44*C79</f>
        <v>0.24176313800000007</v>
      </c>
    </row>
    <row r="87" spans="2:3" x14ac:dyDescent="0.25">
      <c r="B87" s="5" t="s">
        <v>63</v>
      </c>
      <c r="C87" s="5" t="s">
        <v>73</v>
      </c>
    </row>
    <row r="88" spans="2:3" x14ac:dyDescent="0.25">
      <c r="B88" s="5">
        <v>2</v>
      </c>
      <c r="C88" s="5">
        <f>B88*(C80/$C$79)^2</f>
        <v>1.8203966527314049E-2</v>
      </c>
    </row>
    <row r="89" spans="2:3" x14ac:dyDescent="0.25">
      <c r="B89" s="5">
        <v>3</v>
      </c>
      <c r="C89" s="5">
        <f>B89*(C81/$C$79)^2</f>
        <v>6.5002087533963515E-4</v>
      </c>
    </row>
    <row r="90" spans="2:3" x14ac:dyDescent="0.25">
      <c r="B90" s="5">
        <v>4</v>
      </c>
      <c r="C90" s="5">
        <f>B90*(C82/$C$79)^2</f>
        <v>1.6081680031162824E-5</v>
      </c>
    </row>
    <row r="91" spans="2:3" x14ac:dyDescent="0.25">
      <c r="C91" s="5">
        <f>SUM(C88:C90)</f>
        <v>1.8870069082684848E-2</v>
      </c>
    </row>
    <row r="93" spans="2:3" x14ac:dyDescent="0.25">
      <c r="B93" s="5" t="s">
        <v>30</v>
      </c>
      <c r="C93" s="11">
        <f>(1+C91)^(-1)</f>
        <v>0.98147941562394303</v>
      </c>
    </row>
  </sheetData>
  <mergeCells count="7">
    <mergeCell ref="B70:F70"/>
    <mergeCell ref="C71:F71"/>
    <mergeCell ref="G34:J37"/>
    <mergeCell ref="C21:E21"/>
    <mergeCell ref="B33:C33"/>
    <mergeCell ref="C62:F62"/>
    <mergeCell ref="B61:F61"/>
  </mergeCells>
  <pageMargins left="0.7" right="0.7" top="0.75" bottom="0.75" header="0.3" footer="0.3"/>
  <pageSetup scale="66" orientation="portrait" r:id="rId1"/>
  <rowBreaks count="1" manualBreakCount="1">
    <brk id="53" max="13" man="1"/>
  </rowBreaks>
  <colBreaks count="1" manualBreakCount="1">
    <brk id="10" max="9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ADA33-BD38-4EF6-A634-A4ACC6D5E5A6}">
  <dimension ref="B2:N110"/>
  <sheetViews>
    <sheetView topLeftCell="A41" zoomScaleNormal="100" workbookViewId="0">
      <selection activeCell="E60" sqref="E60"/>
    </sheetView>
  </sheetViews>
  <sheetFormatPr baseColWidth="10" defaultRowHeight="15" x14ac:dyDescent="0.25"/>
  <cols>
    <col min="2" max="2" width="27" customWidth="1"/>
    <col min="3" max="3" width="14.5703125" customWidth="1"/>
    <col min="4" max="4" width="14.28515625" customWidth="1"/>
    <col min="5" max="5" width="13.42578125" customWidth="1"/>
  </cols>
  <sheetData>
    <row r="2" spans="2:10" x14ac:dyDescent="0.25">
      <c r="B2" s="5" t="s">
        <v>77</v>
      </c>
      <c r="C2" s="11">
        <v>4415</v>
      </c>
    </row>
    <row r="4" spans="2:10" x14ac:dyDescent="0.25">
      <c r="B4" s="5" t="s">
        <v>79</v>
      </c>
      <c r="C4" s="13">
        <v>7</v>
      </c>
      <c r="D4" t="s">
        <v>15</v>
      </c>
    </row>
    <row r="5" spans="2:10" x14ac:dyDescent="0.25">
      <c r="B5" s="5" t="s">
        <v>9</v>
      </c>
      <c r="C5" s="13">
        <f>1.823*10^(-5)</f>
        <v>1.823E-5</v>
      </c>
      <c r="D5" t="s">
        <v>80</v>
      </c>
    </row>
    <row r="6" spans="2:10" x14ac:dyDescent="0.25">
      <c r="B6" s="5" t="s">
        <v>8</v>
      </c>
      <c r="C6" s="13">
        <v>1.2010000000000001</v>
      </c>
    </row>
    <row r="7" spans="2:10" x14ac:dyDescent="0.25">
      <c r="B7" s="19" t="s">
        <v>61</v>
      </c>
      <c r="C7" s="11">
        <v>2.0426084405672014</v>
      </c>
      <c r="D7" t="s">
        <v>6</v>
      </c>
      <c r="E7" s="5">
        <f>RADIANS(C7)</f>
        <v>3.5650242616924573E-2</v>
      </c>
      <c r="F7" t="s">
        <v>31</v>
      </c>
      <c r="G7" s="27"/>
      <c r="H7" s="27"/>
      <c r="I7" s="27"/>
      <c r="J7" s="27"/>
    </row>
    <row r="8" spans="2:10" x14ac:dyDescent="0.25">
      <c r="B8" s="5" t="s">
        <v>38</v>
      </c>
      <c r="C8" s="5">
        <v>2.7879999999999998</v>
      </c>
      <c r="D8" t="s">
        <v>4</v>
      </c>
      <c r="G8" s="27"/>
      <c r="H8" s="27"/>
      <c r="I8" s="27"/>
      <c r="J8" s="27"/>
    </row>
    <row r="9" spans="2:10" x14ac:dyDescent="0.25">
      <c r="B9" s="5" t="s">
        <v>78</v>
      </c>
      <c r="C9" s="5">
        <v>0.46500000000000002</v>
      </c>
      <c r="G9" s="27"/>
      <c r="H9" s="27"/>
      <c r="I9" s="27"/>
      <c r="J9" s="27"/>
    </row>
    <row r="10" spans="2:10" x14ac:dyDescent="0.25">
      <c r="B10" s="5" t="s">
        <v>39</v>
      </c>
      <c r="C10" s="13">
        <v>1</v>
      </c>
      <c r="G10" s="27"/>
      <c r="H10" s="27"/>
      <c r="I10" s="27"/>
      <c r="J10" s="27"/>
    </row>
    <row r="11" spans="2:10" x14ac:dyDescent="0.25">
      <c r="B11" s="5" t="s">
        <v>40</v>
      </c>
      <c r="C11" s="5">
        <f>C8*C9</f>
        <v>1.2964199999999999</v>
      </c>
      <c r="D11" t="s">
        <v>29</v>
      </c>
      <c r="G11" s="27"/>
      <c r="H11" s="27"/>
      <c r="I11" s="27"/>
      <c r="J11" s="27"/>
    </row>
    <row r="12" spans="2:10" x14ac:dyDescent="0.25">
      <c r="B12" s="5" t="s">
        <v>41</v>
      </c>
      <c r="C12" s="13">
        <v>0</v>
      </c>
    </row>
    <row r="13" spans="2:10" x14ac:dyDescent="0.25">
      <c r="B13" s="5" t="s">
        <v>42</v>
      </c>
      <c r="C13" s="13">
        <v>0</v>
      </c>
    </row>
    <row r="14" spans="2:10" x14ac:dyDescent="0.25">
      <c r="B14" s="5" t="s">
        <v>54</v>
      </c>
      <c r="C14" s="5">
        <v>5.5410000000000004</v>
      </c>
      <c r="H14" s="14"/>
    </row>
    <row r="15" spans="2:10" x14ac:dyDescent="0.25">
      <c r="B15" s="5" t="s">
        <v>55</v>
      </c>
      <c r="C15" s="5">
        <v>5.5410000000000004</v>
      </c>
    </row>
    <row r="16" spans="2:10" x14ac:dyDescent="0.25">
      <c r="B16" s="5" t="s">
        <v>56</v>
      </c>
      <c r="C16" s="5">
        <v>-3.339</v>
      </c>
      <c r="D16" t="s">
        <v>6</v>
      </c>
      <c r="E16" s="5">
        <f>RADIANS(C16)</f>
        <v>-5.8276543724090663E-2</v>
      </c>
      <c r="F16" t="s">
        <v>31</v>
      </c>
    </row>
    <row r="17" spans="2:14" x14ac:dyDescent="0.25">
      <c r="B17" s="5" t="s">
        <v>57</v>
      </c>
      <c r="C17" s="5">
        <v>-3.339</v>
      </c>
      <c r="D17" t="s">
        <v>6</v>
      </c>
      <c r="E17" s="5">
        <f>RADIANS(C17)</f>
        <v>-5.8276543724090663E-2</v>
      </c>
      <c r="F17" t="s">
        <v>31</v>
      </c>
    </row>
    <row r="18" spans="2:14" x14ac:dyDescent="0.25">
      <c r="B18" s="5" t="s">
        <v>27</v>
      </c>
      <c r="C18" s="11">
        <f>(C8^2)/C11</f>
        <v>5.9956989247311823</v>
      </c>
    </row>
    <row r="19" spans="2:14" x14ac:dyDescent="0.25">
      <c r="B19" s="5" t="s">
        <v>44</v>
      </c>
      <c r="C19" s="5">
        <f>(2*C11)/(C8*(1+C10))</f>
        <v>0.46500000000000002</v>
      </c>
      <c r="D19" t="s">
        <v>4</v>
      </c>
      <c r="E19" t="s">
        <v>99</v>
      </c>
      <c r="F19" t="s">
        <v>100</v>
      </c>
    </row>
    <row r="20" spans="2:14" x14ac:dyDescent="0.25">
      <c r="B20" s="5" t="s">
        <v>45</v>
      </c>
      <c r="C20" s="5">
        <f>C10*C19</f>
        <v>0.46500000000000002</v>
      </c>
      <c r="D20" t="s">
        <v>4</v>
      </c>
    </row>
    <row r="21" spans="2:14" x14ac:dyDescent="0.25">
      <c r="B21" s="5" t="s">
        <v>46</v>
      </c>
      <c r="C21" s="5">
        <f>(1/(2*C10))*C20*(1+C10)</f>
        <v>0.46500000000000002</v>
      </c>
      <c r="D21" t="s">
        <v>4</v>
      </c>
    </row>
    <row r="22" spans="2:14" x14ac:dyDescent="0.25">
      <c r="B22" s="5" t="s">
        <v>43</v>
      </c>
      <c r="C22" s="5">
        <f>(2/3)*C19*((1+C10+C10^2)/(1+C10))</f>
        <v>0.46499999999999997</v>
      </c>
      <c r="D22" t="s">
        <v>4</v>
      </c>
      <c r="F22" s="5" t="s">
        <v>75</v>
      </c>
      <c r="G22" s="5"/>
      <c r="H22" s="11">
        <f>(G16-C59)/(E16-E7)</f>
        <v>4.1069175957590822</v>
      </c>
    </row>
    <row r="23" spans="2:14" x14ac:dyDescent="0.25">
      <c r="B23" s="5" t="s">
        <v>47</v>
      </c>
      <c r="C23" s="5">
        <f>(C8/6)*((1+2*C10)/(1+C10))</f>
        <v>0.69699999999999995</v>
      </c>
      <c r="D23" t="s">
        <v>4</v>
      </c>
    </row>
    <row r="24" spans="2:14" x14ac:dyDescent="0.25">
      <c r="B24" s="5" t="s">
        <v>48</v>
      </c>
      <c r="C24" s="5">
        <f>(C6*C4*C22)/C5</f>
        <v>214440.75699396597</v>
      </c>
    </row>
    <row r="25" spans="2:14" x14ac:dyDescent="0.25">
      <c r="B25" s="5" t="s">
        <v>59</v>
      </c>
      <c r="C25" s="5">
        <f>C20*SIN(C12)</f>
        <v>0</v>
      </c>
    </row>
    <row r="26" spans="2:14" x14ac:dyDescent="0.25">
      <c r="B26" s="5" t="s">
        <v>17</v>
      </c>
      <c r="C26" s="5">
        <f>(1/2)*C6*C4^2</f>
        <v>29.424500000000002</v>
      </c>
    </row>
    <row r="27" spans="2:14" x14ac:dyDescent="0.25">
      <c r="B27" t="s">
        <v>26</v>
      </c>
      <c r="C27">
        <v>4</v>
      </c>
    </row>
    <row r="29" spans="2:14" x14ac:dyDescent="0.25">
      <c r="B29" s="7" t="s">
        <v>49</v>
      </c>
      <c r="C29" s="7" t="s">
        <v>51</v>
      </c>
      <c r="D29" s="7" t="s">
        <v>52</v>
      </c>
      <c r="E29" s="7" t="s">
        <v>53</v>
      </c>
      <c r="F29" s="7" t="s">
        <v>64</v>
      </c>
      <c r="G29" s="7" t="s">
        <v>62</v>
      </c>
      <c r="H29" s="7" t="s">
        <v>58</v>
      </c>
      <c r="I29" s="7" t="s">
        <v>60</v>
      </c>
      <c r="J29" s="6"/>
      <c r="K29" s="6"/>
      <c r="L29" s="6"/>
      <c r="M29" s="6"/>
      <c r="N29" s="6"/>
    </row>
    <row r="30" spans="2:14" x14ac:dyDescent="0.25">
      <c r="B30" s="7">
        <v>1</v>
      </c>
      <c r="C30" s="7">
        <f>-($C$8/2)*(1-(2*B30-1)/(2*$C$27))</f>
        <v>-1.2197499999999999</v>
      </c>
      <c r="D30" s="7">
        <f>ACOS(-(2*C30)/$C$8)</f>
        <v>0.50536051028415718</v>
      </c>
      <c r="E30" s="7">
        <f>$C$19*(1-2*(($C$10-1)/$C$8)*C30)</f>
        <v>0.46500000000000002</v>
      </c>
      <c r="F30" s="7">
        <f>$C$14-2*(($C$15-$C$14)/$C$8)*C30</f>
        <v>5.5410000000000004</v>
      </c>
      <c r="G30" s="7">
        <f>$E$16-2*(($E$17-$E$16)/$C$8)*C30</f>
        <v>-5.8276543724090663E-2</v>
      </c>
      <c r="H30" s="7">
        <v>0</v>
      </c>
      <c r="I30" s="7">
        <f>$E$7-G30+H30</f>
        <v>9.3926786341015228E-2</v>
      </c>
      <c r="J30" s="6"/>
      <c r="K30" s="6"/>
      <c r="L30" s="6"/>
      <c r="M30" s="6"/>
      <c r="N30" s="6"/>
    </row>
    <row r="31" spans="2:14" x14ac:dyDescent="0.25">
      <c r="B31" s="7">
        <v>2</v>
      </c>
      <c r="C31" s="7">
        <f t="shared" ref="C31:C33" si="0">-($C$8/2)*(1-(2*B31-1)/(2*$C$27))</f>
        <v>-0.87124999999999997</v>
      </c>
      <c r="D31" s="7">
        <f t="shared" ref="D31:D33" si="1">ACOS(-(2*C31)/$C$8)</f>
        <v>0.8956647938578649</v>
      </c>
      <c r="E31" s="7">
        <f t="shared" ref="E31:E33" si="2">$C$19*(1-2*(($C$10-1)/$C$8)*C31)</f>
        <v>0.46500000000000002</v>
      </c>
      <c r="F31" s="7">
        <f t="shared" ref="F31:F33" si="3">$C$14-2*(($C$15-$C$14)/$C$8)*C31</f>
        <v>5.5410000000000004</v>
      </c>
      <c r="G31" s="7">
        <f t="shared" ref="G31:G33" si="4">$E$16-2*(($E$17-$E$16)/$C$8)*C31</f>
        <v>-5.8276543724090663E-2</v>
      </c>
      <c r="H31" s="7">
        <v>0</v>
      </c>
      <c r="I31" s="7">
        <f t="shared" ref="I31:I33" si="5">$E$7-G31+H31</f>
        <v>9.3926786341015228E-2</v>
      </c>
      <c r="J31" s="6"/>
      <c r="K31" s="6"/>
      <c r="L31" s="6"/>
      <c r="M31" s="6"/>
      <c r="N31" s="6"/>
    </row>
    <row r="32" spans="2:14" x14ac:dyDescent="0.25">
      <c r="B32" s="7">
        <v>3</v>
      </c>
      <c r="C32" s="7">
        <f t="shared" si="0"/>
        <v>-0.52274999999999994</v>
      </c>
      <c r="D32" s="7">
        <f t="shared" si="1"/>
        <v>1.1863995522992574</v>
      </c>
      <c r="E32" s="7">
        <f t="shared" si="2"/>
        <v>0.46500000000000002</v>
      </c>
      <c r="F32" s="7">
        <f t="shared" si="3"/>
        <v>5.5410000000000004</v>
      </c>
      <c r="G32" s="7">
        <f t="shared" si="4"/>
        <v>-5.8276543724090663E-2</v>
      </c>
      <c r="H32" s="7">
        <v>0</v>
      </c>
      <c r="I32" s="7">
        <f>$E$7-G32+H32</f>
        <v>9.3926786341015228E-2</v>
      </c>
      <c r="J32" s="6"/>
      <c r="K32" s="6"/>
      <c r="L32" s="6"/>
      <c r="M32" s="6"/>
      <c r="N32" s="6"/>
    </row>
    <row r="33" spans="2:14" x14ac:dyDescent="0.25">
      <c r="B33" s="7">
        <v>4</v>
      </c>
      <c r="C33" s="7">
        <f t="shared" si="0"/>
        <v>-0.17424999999999999</v>
      </c>
      <c r="D33" s="7">
        <f t="shared" si="1"/>
        <v>1.4454684956268311</v>
      </c>
      <c r="E33" s="7">
        <f t="shared" si="2"/>
        <v>0.46500000000000002</v>
      </c>
      <c r="F33" s="7">
        <f t="shared" si="3"/>
        <v>5.5410000000000004</v>
      </c>
      <c r="G33" s="7">
        <f t="shared" si="4"/>
        <v>-5.8276543724090663E-2</v>
      </c>
      <c r="H33" s="7">
        <v>0</v>
      </c>
      <c r="I33" s="7">
        <f t="shared" si="5"/>
        <v>9.3926786341015228E-2</v>
      </c>
      <c r="J33" s="6"/>
      <c r="K33" s="6"/>
      <c r="L33" s="6"/>
      <c r="M33" s="6"/>
      <c r="N33" s="6"/>
    </row>
    <row r="34" spans="2:14" x14ac:dyDescent="0.25"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2:14" x14ac:dyDescent="0.25">
      <c r="B35" s="29" t="s">
        <v>65</v>
      </c>
      <c r="C35" s="30"/>
      <c r="D35" s="30"/>
      <c r="E35" s="30"/>
      <c r="F35" s="31"/>
    </row>
    <row r="36" spans="2:14" x14ac:dyDescent="0.25">
      <c r="B36" s="5"/>
      <c r="C36" s="26" t="s">
        <v>63</v>
      </c>
      <c r="D36" s="26"/>
      <c r="E36" s="26"/>
      <c r="F36" s="26"/>
    </row>
    <row r="37" spans="2:14" x14ac:dyDescent="0.25">
      <c r="B37" s="4" t="s">
        <v>49</v>
      </c>
      <c r="C37" s="5">
        <v>1</v>
      </c>
      <c r="D37" s="5">
        <v>2</v>
      </c>
      <c r="E37" s="5">
        <v>3</v>
      </c>
      <c r="F37" s="5">
        <v>4</v>
      </c>
    </row>
    <row r="38" spans="2:14" x14ac:dyDescent="0.25">
      <c r="B38" s="5">
        <v>1</v>
      </c>
      <c r="C38" s="8">
        <f>((((4*$C$8)/($F30*$E30))+(2*C$37-1)/(SIN($D30)))*SIN((2*C$37-1)*$D30))</f>
        <v>3.0954017401513787</v>
      </c>
      <c r="D38" s="8">
        <f>((((4*$C$8)/($F30*$E30))+(2*D$37-1)/(SIN($D30)))*SIN((2*D$37-1)*$D30))</f>
        <v>10.509266089062219</v>
      </c>
      <c r="E38" s="8">
        <f t="shared" ref="E38:F38" si="6">((((4*$C$8)/($F30*$E30))+(2*E$37-1)/(SIN($D30)))*SIN((2*E$37-1)*$D30))</f>
        <v>8.4535059794772369</v>
      </c>
      <c r="F38" s="8">
        <f t="shared" si="6"/>
        <v>-7.2456777046176493</v>
      </c>
    </row>
    <row r="39" spans="2:14" x14ac:dyDescent="0.25">
      <c r="B39" s="5">
        <v>2</v>
      </c>
      <c r="C39" s="8">
        <f t="shared" ref="C39:F41" si="7">((((4*$C$8)/($F31*$E31))+(2*C$37-1)/(SIN($D31)))*SIN((2*C$37-1)*$D31))</f>
        <v>4.3787337830667443</v>
      </c>
      <c r="D39" s="8">
        <f t="shared" si="7"/>
        <v>3.5880377529750449</v>
      </c>
      <c r="E39" s="8">
        <f t="shared" si="7"/>
        <v>-10.440687799993327</v>
      </c>
      <c r="F39" s="8">
        <f t="shared" si="7"/>
        <v>-0.17990480922796837</v>
      </c>
    </row>
    <row r="40" spans="2:14" x14ac:dyDescent="0.25">
      <c r="B40" s="5">
        <v>3</v>
      </c>
      <c r="C40" s="8">
        <f t="shared" si="7"/>
        <v>5.0123888553214657</v>
      </c>
      <c r="D40" s="8">
        <f t="shared" si="7"/>
        <v>-3.0679201242031375</v>
      </c>
      <c r="E40" s="8">
        <f t="shared" si="7"/>
        <v>-3.3444411767794526</v>
      </c>
      <c r="F40" s="8">
        <f t="shared" si="7"/>
        <v>10.692448847073603</v>
      </c>
    </row>
    <row r="41" spans="2:14" x14ac:dyDescent="0.25">
      <c r="B41" s="5">
        <v>4</v>
      </c>
      <c r="C41" s="8">
        <f t="shared" si="7"/>
        <v>5.2942956932474496</v>
      </c>
      <c r="D41" s="8">
        <f t="shared" si="7"/>
        <v>-6.8384022124194841</v>
      </c>
      <c r="E41" s="8">
        <f t="shared" si="7"/>
        <v>7.5879210933152974</v>
      </c>
      <c r="F41" s="8">
        <f t="shared" si="7"/>
        <v>-7.2767691246289115</v>
      </c>
    </row>
    <row r="44" spans="2:14" x14ac:dyDescent="0.25">
      <c r="B44" s="25" t="s">
        <v>66</v>
      </c>
      <c r="C44" s="25"/>
      <c r="D44" s="25"/>
      <c r="E44" s="25"/>
      <c r="F44" s="25"/>
    </row>
    <row r="45" spans="2:14" x14ac:dyDescent="0.25">
      <c r="B45" s="5"/>
      <c r="C45" s="26" t="s">
        <v>63</v>
      </c>
      <c r="D45" s="26"/>
      <c r="E45" s="26"/>
      <c r="F45" s="26"/>
    </row>
    <row r="46" spans="2:14" x14ac:dyDescent="0.25">
      <c r="B46" s="4" t="s">
        <v>49</v>
      </c>
      <c r="C46" s="5">
        <v>1</v>
      </c>
      <c r="D46" s="5">
        <v>2</v>
      </c>
      <c r="E46" s="5">
        <v>3</v>
      </c>
      <c r="F46" s="5">
        <v>4</v>
      </c>
    </row>
    <row r="47" spans="2:14" x14ac:dyDescent="0.25">
      <c r="B47" s="5">
        <v>1</v>
      </c>
      <c r="C47" s="9" cm="1">
        <f t="array" ref="C47:F50">MINVERSE(C38:F41)</f>
        <v>3.9562872311614899E-2</v>
      </c>
      <c r="D47" s="9">
        <v>5.2815860025344684E-2</v>
      </c>
      <c r="E47" s="9">
        <v>6.7367072525561303E-2</v>
      </c>
      <c r="F47" s="9">
        <v>5.8289238071342321E-2</v>
      </c>
    </row>
    <row r="48" spans="2:14" x14ac:dyDescent="0.25">
      <c r="B48" s="5">
        <v>2</v>
      </c>
      <c r="C48" s="9">
        <v>6.0779456778220629E-2</v>
      </c>
      <c r="D48" s="9">
        <v>1.0233544024777989E-2</v>
      </c>
      <c r="E48" s="9">
        <v>6.9421198116736806E-3</v>
      </c>
      <c r="F48" s="9">
        <v>-5.0572053528552569E-2</v>
      </c>
    </row>
    <row r="49" spans="2:6" x14ac:dyDescent="0.25">
      <c r="B49" s="5">
        <v>3</v>
      </c>
      <c r="C49" s="9">
        <v>3.7297796014165698E-2</v>
      </c>
      <c r="D49" s="9">
        <v>-6.9361901342987989E-2</v>
      </c>
      <c r="E49" s="9">
        <v>2.9378864380637904E-2</v>
      </c>
      <c r="F49" s="9">
        <v>7.7455714517450456E-3</v>
      </c>
    </row>
    <row r="50" spans="2:6" x14ac:dyDescent="0.25">
      <c r="B50" s="5">
        <v>4</v>
      </c>
      <c r="C50" s="9">
        <v>1.0559068809816149E-2</v>
      </c>
      <c r="D50" s="9">
        <v>-4.351806944564203E-2</v>
      </c>
      <c r="E50" s="9">
        <v>7.3124856660663248E-2</v>
      </c>
      <c r="F50" s="9">
        <v>-3.9412369043124618E-2</v>
      </c>
    </row>
    <row r="53" spans="2:6" x14ac:dyDescent="0.25">
      <c r="B53" s="5" t="s">
        <v>67</v>
      </c>
      <c r="C53" s="10" cm="1">
        <f t="array" ref="C53:C56">MMULT(C47:F50,I30:I33)</f>
        <v>2.0479330892503051E-2</v>
      </c>
    </row>
    <row r="54" spans="2:6" x14ac:dyDescent="0.25">
      <c r="B54" s="5" t="s">
        <v>68</v>
      </c>
      <c r="C54" s="10">
        <v>2.5720034915596556E-3</v>
      </c>
    </row>
    <row r="55" spans="2:6" x14ac:dyDescent="0.25">
      <c r="B55" s="5" t="s">
        <v>69</v>
      </c>
      <c r="C55" s="10">
        <v>4.7530058202286416E-4</v>
      </c>
    </row>
    <row r="56" spans="2:6" x14ac:dyDescent="0.25">
      <c r="B56" s="5" t="s">
        <v>70</v>
      </c>
      <c r="C56" s="10">
        <v>7.0772610742069961E-5</v>
      </c>
    </row>
    <row r="58" spans="2:6" ht="15.75" thickBot="1" x14ac:dyDescent="0.3"/>
    <row r="59" spans="2:6" ht="15.75" thickBot="1" x14ac:dyDescent="0.3">
      <c r="B59" s="15" t="s">
        <v>71</v>
      </c>
      <c r="C59" s="16">
        <f>PI()*C18*C53</f>
        <v>0.38574957153701928</v>
      </c>
    </row>
    <row r="60" spans="2:6" ht="15.75" thickBot="1" x14ac:dyDescent="0.3">
      <c r="B60" s="17" t="s">
        <v>81</v>
      </c>
      <c r="C60" s="18">
        <f>C26*C11*C59</f>
        <v>14.714999999999998</v>
      </c>
      <c r="D60" t="s">
        <v>26</v>
      </c>
      <c r="E60" s="21">
        <f>C60/9.81</f>
        <v>1.4999999999999998</v>
      </c>
      <c r="F60" t="s">
        <v>82</v>
      </c>
    </row>
    <row r="63" spans="2:6" x14ac:dyDescent="0.25">
      <c r="B63" s="5" t="s">
        <v>63</v>
      </c>
      <c r="C63" s="5" t="s">
        <v>73</v>
      </c>
    </row>
    <row r="64" spans="2:6" x14ac:dyDescent="0.25">
      <c r="B64" s="5">
        <v>2</v>
      </c>
      <c r="C64" s="5">
        <f>B64*(C54/$C$53)^2</f>
        <v>3.1545802287127278E-2</v>
      </c>
    </row>
    <row r="65" spans="2:4" x14ac:dyDescent="0.25">
      <c r="B65" s="5">
        <v>3</v>
      </c>
      <c r="C65" s="5">
        <f>B65*(C55/$C$53)^2</f>
        <v>1.6159444253503053E-3</v>
      </c>
    </row>
    <row r="66" spans="2:4" x14ac:dyDescent="0.25">
      <c r="B66" s="5">
        <v>4</v>
      </c>
      <c r="C66" s="5">
        <f>B66*(C56/$C$53)^2</f>
        <v>4.7770402264527317E-5</v>
      </c>
    </row>
    <row r="67" spans="2:4" x14ac:dyDescent="0.25">
      <c r="C67" s="12">
        <f>SUM(C64:C66)</f>
        <v>3.3209517114742113E-2</v>
      </c>
    </row>
    <row r="69" spans="2:4" x14ac:dyDescent="0.25">
      <c r="B69" s="5" t="s">
        <v>30</v>
      </c>
      <c r="C69" s="11">
        <f>(1+C67)^(-1)</f>
        <v>0.96785790629621726</v>
      </c>
    </row>
    <row r="71" spans="2:4" x14ac:dyDescent="0.25">
      <c r="B71" s="5" t="s">
        <v>89</v>
      </c>
      <c r="C71" s="5" t="s">
        <v>90</v>
      </c>
      <c r="D71" s="5" t="s">
        <v>91</v>
      </c>
    </row>
    <row r="72" spans="2:4" x14ac:dyDescent="0.25">
      <c r="B72" s="5" t="s">
        <v>83</v>
      </c>
      <c r="C72" s="5">
        <v>0</v>
      </c>
      <c r="D72" s="5">
        <f>C8/2</f>
        <v>1.3939999999999999</v>
      </c>
    </row>
    <row r="73" spans="2:4" x14ac:dyDescent="0.25">
      <c r="B73" s="5" t="s">
        <v>84</v>
      </c>
      <c r="C73" s="5">
        <v>1</v>
      </c>
      <c r="D73" s="5">
        <f>ABS(C30)</f>
        <v>1.2197499999999999</v>
      </c>
    </row>
    <row r="74" spans="2:4" x14ac:dyDescent="0.25">
      <c r="B74" s="5" t="s">
        <v>85</v>
      </c>
      <c r="C74" s="5">
        <v>2</v>
      </c>
      <c r="D74" s="5">
        <f t="shared" ref="D74:D76" si="8">ABS(C31)</f>
        <v>0.87124999999999997</v>
      </c>
    </row>
    <row r="75" spans="2:4" x14ac:dyDescent="0.25">
      <c r="B75" s="5" t="s">
        <v>86</v>
      </c>
      <c r="C75" s="5">
        <v>3</v>
      </c>
      <c r="D75" s="5">
        <f t="shared" si="8"/>
        <v>0.52274999999999994</v>
      </c>
    </row>
    <row r="76" spans="2:4" x14ac:dyDescent="0.25">
      <c r="B76" s="5" t="s">
        <v>87</v>
      </c>
      <c r="C76" s="5">
        <v>4</v>
      </c>
      <c r="D76" s="5">
        <f t="shared" si="8"/>
        <v>0.17424999999999999</v>
      </c>
    </row>
    <row r="77" spans="2:4" x14ac:dyDescent="0.25">
      <c r="B77" s="5" t="s">
        <v>88</v>
      </c>
      <c r="C77" s="5">
        <v>5</v>
      </c>
      <c r="D77" s="5">
        <v>0</v>
      </c>
    </row>
    <row r="79" spans="2:4" x14ac:dyDescent="0.25">
      <c r="B79" s="5" t="s">
        <v>90</v>
      </c>
      <c r="C79" s="5" t="s">
        <v>92</v>
      </c>
      <c r="D79" s="5" t="s">
        <v>93</v>
      </c>
    </row>
    <row r="80" spans="2:4" x14ac:dyDescent="0.25">
      <c r="B80" s="5">
        <v>0</v>
      </c>
      <c r="C80" s="5">
        <f>D72</f>
        <v>1.3939999999999999</v>
      </c>
      <c r="D80" s="5">
        <f>ABS(ACOS(-(2*C80)/$C$8)-PI())</f>
        <v>0</v>
      </c>
    </row>
    <row r="81" spans="2:5" x14ac:dyDescent="0.25">
      <c r="B81" s="5">
        <v>1</v>
      </c>
      <c r="C81" s="5">
        <f t="shared" ref="C81:C85" si="9">D73</f>
        <v>1.2197499999999999</v>
      </c>
      <c r="D81" s="5">
        <f t="shared" ref="D81:D85" si="10">ABS(ACOS(-(2*C81)/$C$8)-PI())</f>
        <v>0.50536051028415718</v>
      </c>
    </row>
    <row r="82" spans="2:5" x14ac:dyDescent="0.25">
      <c r="B82" s="5">
        <v>2</v>
      </c>
      <c r="C82" s="5">
        <f t="shared" si="9"/>
        <v>0.87124999999999997</v>
      </c>
      <c r="D82" s="5">
        <f t="shared" si="10"/>
        <v>0.89566479385786479</v>
      </c>
    </row>
    <row r="83" spans="2:5" x14ac:dyDescent="0.25">
      <c r="B83" s="5">
        <v>3</v>
      </c>
      <c r="C83" s="5">
        <f t="shared" si="9"/>
        <v>0.52274999999999994</v>
      </c>
      <c r="D83" s="5">
        <f t="shared" si="10"/>
        <v>1.1863995522992574</v>
      </c>
    </row>
    <row r="84" spans="2:5" x14ac:dyDescent="0.25">
      <c r="B84" s="5">
        <v>4</v>
      </c>
      <c r="C84" s="5">
        <f t="shared" si="9"/>
        <v>0.17424999999999999</v>
      </c>
      <c r="D84" s="5">
        <f t="shared" si="10"/>
        <v>1.4454684956268311</v>
      </c>
    </row>
    <row r="85" spans="2:5" x14ac:dyDescent="0.25">
      <c r="B85" s="5">
        <v>5</v>
      </c>
      <c r="C85" s="5">
        <f t="shared" si="9"/>
        <v>0</v>
      </c>
      <c r="D85" s="5">
        <f t="shared" si="10"/>
        <v>1.5707963267948966</v>
      </c>
    </row>
    <row r="87" spans="2:5" x14ac:dyDescent="0.25">
      <c r="B87" s="5" t="s">
        <v>90</v>
      </c>
      <c r="C87" s="20" t="s">
        <v>92</v>
      </c>
      <c r="D87" s="5" t="s">
        <v>94</v>
      </c>
    </row>
    <row r="88" spans="2:5" x14ac:dyDescent="0.25">
      <c r="B88" s="5">
        <v>0</v>
      </c>
      <c r="C88" s="5">
        <f>C80</f>
        <v>1.3939999999999999</v>
      </c>
      <c r="D88" s="5">
        <f>2*$C$8*$C$4*($C$53*SIN(D80)+($C$54)*SIN(3*D80))</f>
        <v>0</v>
      </c>
    </row>
    <row r="89" spans="2:5" x14ac:dyDescent="0.25">
      <c r="B89" s="5">
        <v>1</v>
      </c>
      <c r="C89" s="5">
        <f t="shared" ref="C89:C93" si="11">C81</f>
        <v>1.2197499999999999</v>
      </c>
      <c r="D89" s="5">
        <f t="shared" ref="D89:D93" si="12">2*$C$8*$C$4*($C$53*SIN(D81)+($C$54)*SIN(3*D81))</f>
        <v>0.4872234963250926</v>
      </c>
    </row>
    <row r="90" spans="2:5" x14ac:dyDescent="0.25">
      <c r="B90" s="5">
        <v>2</v>
      </c>
      <c r="C90" s="5">
        <f t="shared" si="11"/>
        <v>0.87124999999999997</v>
      </c>
      <c r="D90" s="5">
        <f>2*$C$8*$C$4*($C$53*SIN(D82)+($C$54)*SIN(3*D82))</f>
        <v>0.66807338818822393</v>
      </c>
    </row>
    <row r="91" spans="2:5" x14ac:dyDescent="0.25">
      <c r="B91" s="5">
        <v>3</v>
      </c>
      <c r="C91" s="5">
        <f t="shared" si="11"/>
        <v>0.52274999999999994</v>
      </c>
      <c r="D91" s="5">
        <f>2*$C$8*$C$4*($C$53*SIN(D83)+($C$54)*SIN(3*D83))</f>
        <v>0.70030089354044023</v>
      </c>
    </row>
    <row r="92" spans="2:5" x14ac:dyDescent="0.25">
      <c r="B92" s="5">
        <v>4</v>
      </c>
      <c r="C92" s="5">
        <f t="shared" si="11"/>
        <v>0.17424999999999999</v>
      </c>
      <c r="D92" s="5">
        <f t="shared" si="12"/>
        <v>0.69970187940196837</v>
      </c>
    </row>
    <row r="93" spans="2:5" x14ac:dyDescent="0.25">
      <c r="B93" s="5">
        <v>5</v>
      </c>
      <c r="C93" s="5">
        <f t="shared" si="11"/>
        <v>0</v>
      </c>
      <c r="D93" s="5">
        <f t="shared" si="12"/>
        <v>0.69895880311362257</v>
      </c>
    </row>
    <row r="95" spans="2:5" x14ac:dyDescent="0.25">
      <c r="B95" s="5" t="s">
        <v>90</v>
      </c>
      <c r="C95" s="5" t="str">
        <f>C87</f>
        <v>y [m]</v>
      </c>
      <c r="D95" s="5" t="s">
        <v>95</v>
      </c>
      <c r="E95" s="5" t="s">
        <v>98</v>
      </c>
    </row>
    <row r="96" spans="2:5" x14ac:dyDescent="0.25">
      <c r="B96" s="5">
        <f>B88</f>
        <v>0</v>
      </c>
      <c r="C96" s="5">
        <f t="shared" ref="C96:C101" si="13">C88</f>
        <v>1.3939999999999999</v>
      </c>
      <c r="D96" s="5">
        <f>D88/$D$93</f>
        <v>0</v>
      </c>
      <c r="E96" s="5">
        <f>C20</f>
        <v>0.46500000000000002</v>
      </c>
    </row>
    <row r="97" spans="2:6" x14ac:dyDescent="0.25">
      <c r="B97" s="5">
        <f t="shared" ref="B97:B101" si="14">B89</f>
        <v>1</v>
      </c>
      <c r="C97" s="5">
        <f t="shared" si="13"/>
        <v>1.2197499999999999</v>
      </c>
      <c r="D97" s="5">
        <f>D89/$D$93</f>
        <v>0.6970704055155732</v>
      </c>
      <c r="E97" s="5">
        <f>E30</f>
        <v>0.46500000000000002</v>
      </c>
    </row>
    <row r="98" spans="2:6" x14ac:dyDescent="0.25">
      <c r="B98" s="5">
        <f t="shared" si="14"/>
        <v>2</v>
      </c>
      <c r="C98" s="5">
        <f t="shared" si="13"/>
        <v>0.87124999999999997</v>
      </c>
      <c r="D98" s="5">
        <f t="shared" ref="D98:D101" si="15">D90/$D$93</f>
        <v>0.95581225275679382</v>
      </c>
      <c r="E98" s="5">
        <f t="shared" ref="E98:E100" si="16">E31</f>
        <v>0.46500000000000002</v>
      </c>
    </row>
    <row r="99" spans="2:6" x14ac:dyDescent="0.25">
      <c r="B99" s="5">
        <f t="shared" si="14"/>
        <v>3</v>
      </c>
      <c r="C99" s="5">
        <f t="shared" si="13"/>
        <v>0.52274999999999994</v>
      </c>
      <c r="D99" s="5">
        <f t="shared" si="15"/>
        <v>1.0019201280831418</v>
      </c>
      <c r="E99" s="5">
        <f t="shared" si="16"/>
        <v>0.46500000000000002</v>
      </c>
    </row>
    <row r="100" spans="2:6" x14ac:dyDescent="0.25">
      <c r="B100" s="5">
        <f t="shared" si="14"/>
        <v>4</v>
      </c>
      <c r="C100" s="5">
        <f t="shared" si="13"/>
        <v>0.17424999999999999</v>
      </c>
      <c r="D100" s="5">
        <f t="shared" si="15"/>
        <v>1.0010631188634231</v>
      </c>
      <c r="E100" s="5">
        <f t="shared" si="16"/>
        <v>0.46500000000000002</v>
      </c>
    </row>
    <row r="101" spans="2:6" x14ac:dyDescent="0.25">
      <c r="B101" s="5">
        <f t="shared" si="14"/>
        <v>5</v>
      </c>
      <c r="C101" s="5">
        <f t="shared" si="13"/>
        <v>0</v>
      </c>
      <c r="D101" s="5">
        <f t="shared" si="15"/>
        <v>1</v>
      </c>
      <c r="E101" s="5">
        <f>C19</f>
        <v>0.46500000000000002</v>
      </c>
    </row>
    <row r="104" spans="2:6" x14ac:dyDescent="0.25">
      <c r="B104" s="5" t="str">
        <f t="shared" ref="B104:C110" si="17">B95</f>
        <v>Points of control</v>
      </c>
      <c r="C104" s="5" t="str">
        <f t="shared" si="17"/>
        <v>y [m]</v>
      </c>
      <c r="D104" s="5" t="s">
        <v>96</v>
      </c>
      <c r="E104" s="5" t="s">
        <v>97</v>
      </c>
      <c r="F104" s="5" t="s">
        <v>101</v>
      </c>
    </row>
    <row r="105" spans="2:6" x14ac:dyDescent="0.25">
      <c r="B105" s="5">
        <f t="shared" si="17"/>
        <v>0</v>
      </c>
      <c r="C105" s="5">
        <f t="shared" si="17"/>
        <v>1.3939999999999999</v>
      </c>
      <c r="D105" s="5">
        <f>C105/($C$8/2)</f>
        <v>1</v>
      </c>
      <c r="E105" s="5">
        <f t="shared" ref="E105:E110" si="18">(1/$C$59)*((2*D88)/($C$4*E96))</f>
        <v>0</v>
      </c>
      <c r="F105" s="5">
        <f t="shared" ref="F105:F110" si="19">$C$26*E96*E105</f>
        <v>0</v>
      </c>
    </row>
    <row r="106" spans="2:6" x14ac:dyDescent="0.25">
      <c r="B106" s="5">
        <f t="shared" si="17"/>
        <v>1</v>
      </c>
      <c r="C106" s="5">
        <f t="shared" si="17"/>
        <v>1.2197499999999999</v>
      </c>
      <c r="D106" s="5">
        <f t="shared" ref="D106:D110" si="20">C106/($C$8/2)</f>
        <v>0.875</v>
      </c>
      <c r="E106" s="5">
        <f t="shared" si="18"/>
        <v>0.77607157043091346</v>
      </c>
      <c r="F106" s="5">
        <f t="shared" si="19"/>
        <v>10.618515834727154</v>
      </c>
    </row>
    <row r="107" spans="2:6" x14ac:dyDescent="0.25">
      <c r="B107" s="5">
        <f t="shared" si="17"/>
        <v>2</v>
      </c>
      <c r="C107" s="5">
        <f t="shared" si="17"/>
        <v>0.87124999999999997</v>
      </c>
      <c r="D107" s="5">
        <f t="shared" si="20"/>
        <v>0.625</v>
      </c>
      <c r="E107" s="5">
        <f t="shared" si="18"/>
        <v>1.0641374388652081</v>
      </c>
      <c r="F107" s="5">
        <f t="shared" si="19"/>
        <v>14.559946112498533</v>
      </c>
    </row>
    <row r="108" spans="2:6" x14ac:dyDescent="0.25">
      <c r="B108" s="5">
        <f t="shared" si="17"/>
        <v>3</v>
      </c>
      <c r="C108" s="5">
        <f t="shared" si="17"/>
        <v>0.52274999999999994</v>
      </c>
      <c r="D108" s="5">
        <f t="shared" si="20"/>
        <v>0.375</v>
      </c>
      <c r="E108" s="5">
        <f t="shared" si="18"/>
        <v>1.1154708636249142</v>
      </c>
      <c r="F108" s="5">
        <f t="shared" si="19"/>
        <v>15.262310178430052</v>
      </c>
    </row>
    <row r="109" spans="2:6" x14ac:dyDescent="0.25">
      <c r="B109" s="5">
        <f t="shared" si="17"/>
        <v>4</v>
      </c>
      <c r="C109" s="5">
        <f t="shared" si="17"/>
        <v>0.17424999999999999</v>
      </c>
      <c r="D109" s="5">
        <f t="shared" si="20"/>
        <v>0.125</v>
      </c>
      <c r="E109" s="5">
        <f t="shared" si="18"/>
        <v>1.1145167268752285</v>
      </c>
      <c r="F109" s="5">
        <f t="shared" si="19"/>
        <v>15.249255304922178</v>
      </c>
    </row>
    <row r="110" spans="2:6" x14ac:dyDescent="0.25">
      <c r="B110" s="5">
        <f t="shared" si="17"/>
        <v>5</v>
      </c>
      <c r="C110" s="5">
        <f t="shared" si="17"/>
        <v>0</v>
      </c>
      <c r="D110" s="5">
        <f t="shared" si="20"/>
        <v>0</v>
      </c>
      <c r="E110" s="5">
        <f t="shared" si="18"/>
        <v>1.1133331214325597</v>
      </c>
      <c r="F110" s="5">
        <f t="shared" si="19"/>
        <v>15.233060750690447</v>
      </c>
    </row>
  </sheetData>
  <mergeCells count="5">
    <mergeCell ref="G7:J11"/>
    <mergeCell ref="B35:F35"/>
    <mergeCell ref="C36:F36"/>
    <mergeCell ref="B44:F44"/>
    <mergeCell ref="C45:F4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EBB6E-280A-436E-B5E2-8FFC4D2436C6}">
  <dimension ref="A1:S79"/>
  <sheetViews>
    <sheetView tabSelected="1" topLeftCell="F44" zoomScale="146" zoomScaleNormal="85" workbookViewId="0">
      <selection activeCell="V20" sqref="V20"/>
    </sheetView>
  </sheetViews>
  <sheetFormatPr baseColWidth="10" defaultRowHeight="15" x14ac:dyDescent="0.25"/>
  <sheetData>
    <row r="1" spans="1:4" x14ac:dyDescent="0.25">
      <c r="A1" t="s">
        <v>102</v>
      </c>
      <c r="B1" t="s">
        <v>71</v>
      </c>
      <c r="C1" t="s">
        <v>104</v>
      </c>
      <c r="D1" t="s">
        <v>105</v>
      </c>
    </row>
    <row r="2" spans="1:4" x14ac:dyDescent="0.25">
      <c r="A2">
        <v>-12</v>
      </c>
      <c r="B2">
        <v>-0.62081384700853459</v>
      </c>
      <c r="C2">
        <f>Hoja2!$C$26*Hoja2!$E$96*Hoja2!$C$8*Hoja3!B2</f>
        <v>-23.681881803085552</v>
      </c>
      <c r="D2">
        <f>C2/9.81</f>
        <v>-2.4140552296723294</v>
      </c>
    </row>
    <row r="3" spans="1:4" x14ac:dyDescent="0.25">
      <c r="A3">
        <v>-11</v>
      </c>
      <c r="B3">
        <v>-0.54913461285444898</v>
      </c>
      <c r="C3">
        <f>Hoja2!$C$26*Hoja2!$E$96*Hoja2!$C$8*Hoja3!B3</f>
        <v>-20.947569159847404</v>
      </c>
      <c r="D3">
        <f t="shared" ref="D3:D26" si="0">C3/9.81</f>
        <v>-2.1353281508509077</v>
      </c>
    </row>
    <row r="4" spans="1:4" x14ac:dyDescent="0.25">
      <c r="A4">
        <v>-10</v>
      </c>
      <c r="B4">
        <v>-0.47745537870036348</v>
      </c>
      <c r="C4">
        <f>Hoja2!$C$26*Hoja2!$E$96*Hoja2!$C$8*Hoja3!B4</f>
        <v>-18.213256516609263</v>
      </c>
      <c r="D4">
        <f t="shared" si="0"/>
        <v>-1.8566010720294865</v>
      </c>
    </row>
    <row r="5" spans="1:4" x14ac:dyDescent="0.25">
      <c r="A5">
        <v>-9</v>
      </c>
      <c r="B5">
        <v>-0.40577614454627808</v>
      </c>
      <c r="C5">
        <f>Hoja2!$C$26*Hoja2!$E$96*Hoja2!$C$8*Hoja3!B5</f>
        <v>-15.478943873371126</v>
      </c>
      <c r="D5">
        <f t="shared" si="0"/>
        <v>-1.5778739932080657</v>
      </c>
    </row>
    <row r="6" spans="1:4" x14ac:dyDescent="0.25">
      <c r="A6">
        <v>-8</v>
      </c>
      <c r="B6">
        <v>-0.33409691039219253</v>
      </c>
      <c r="C6">
        <f>Hoja2!$C$26*Hoja2!$E$96*Hoja2!$C$8*Hoja3!B6</f>
        <v>-12.744631230132981</v>
      </c>
      <c r="D6">
        <f t="shared" si="0"/>
        <v>-1.2991469143866443</v>
      </c>
    </row>
    <row r="7" spans="1:4" x14ac:dyDescent="0.25">
      <c r="A7">
        <v>-7</v>
      </c>
      <c r="B7">
        <v>-0.26241767623810708</v>
      </c>
      <c r="C7">
        <f>Hoja2!$C$26*Hoja2!$E$96*Hoja2!$C$8*Hoja3!B7</f>
        <v>-10.01031858689484</v>
      </c>
      <c r="D7">
        <f t="shared" si="0"/>
        <v>-1.0204198355652232</v>
      </c>
    </row>
    <row r="8" spans="1:4" x14ac:dyDescent="0.25">
      <c r="A8">
        <v>-6</v>
      </c>
      <c r="B8">
        <v>-0.19073844208402158</v>
      </c>
      <c r="C8">
        <f>Hoja2!$C$26*Hoja2!$E$96*Hoja2!$C$8*Hoja3!B8</f>
        <v>-7.2760059436566982</v>
      </c>
      <c r="D8">
        <f t="shared" si="0"/>
        <v>-0.74169275674380197</v>
      </c>
    </row>
    <row r="9" spans="1:4" x14ac:dyDescent="0.25">
      <c r="A9">
        <v>-5</v>
      </c>
      <c r="B9">
        <v>-0.119059207929936</v>
      </c>
      <c r="C9">
        <f>Hoja2!$C$26*Hoja2!$E$96*Hoja2!$C$8*Hoja3!B9</f>
        <v>-4.5416933004185536</v>
      </c>
      <c r="D9">
        <f t="shared" si="0"/>
        <v>-0.46296567792238058</v>
      </c>
    </row>
    <row r="10" spans="1:4" x14ac:dyDescent="0.25">
      <c r="A10">
        <v>-4</v>
      </c>
      <c r="B10">
        <v>-4.7379973775850522E-2</v>
      </c>
      <c r="C10">
        <f>Hoja2!$C$26*Hoja2!$E$96*Hoja2!$C$8*Hoja3!B10</f>
        <v>-1.8073806571804121</v>
      </c>
      <c r="D10">
        <f t="shared" si="0"/>
        <v>-0.18423859910095944</v>
      </c>
    </row>
    <row r="11" spans="1:4" x14ac:dyDescent="0.25">
      <c r="A11">
        <v>-3</v>
      </c>
      <c r="B11">
        <v>2.4299260378234964E-2</v>
      </c>
      <c r="C11">
        <f>Hoja2!$C$26*Hoja2!$E$96*Hoja2!$C$8*Hoja3!B11</f>
        <v>0.92693198605772942</v>
      </c>
      <c r="D11">
        <f t="shared" si="0"/>
        <v>9.4488479720461704E-2</v>
      </c>
    </row>
    <row r="12" spans="1:4" x14ac:dyDescent="0.25">
      <c r="A12">
        <v>-2</v>
      </c>
      <c r="B12">
        <v>9.5978494532320477E-2</v>
      </c>
      <c r="C12">
        <f>Hoja2!$C$26*Hoja2!$E$96*Hoja2!$C$8*Hoja3!B12</f>
        <v>3.6612446292958718</v>
      </c>
      <c r="D12">
        <f t="shared" si="0"/>
        <v>0.37321555854188293</v>
      </c>
    </row>
    <row r="13" spans="1:4" x14ac:dyDescent="0.25">
      <c r="A13">
        <v>-1</v>
      </c>
      <c r="B13">
        <v>0.16765772868640597</v>
      </c>
      <c r="C13">
        <f>Hoja2!$C$26*Hoja2!$E$96*Hoja2!$C$8*Hoja3!B13</f>
        <v>6.3955572725340133</v>
      </c>
      <c r="D13">
        <f t="shared" si="0"/>
        <v>0.65194263736330405</v>
      </c>
    </row>
    <row r="14" spans="1:4" x14ac:dyDescent="0.25">
      <c r="A14">
        <v>0</v>
      </c>
      <c r="B14">
        <v>0.23933696284049147</v>
      </c>
      <c r="C14">
        <f>Hoja2!$C$26*Hoja2!$E$96*Hoja2!$C$8*Hoja3!B14</f>
        <v>9.1298699157721561</v>
      </c>
      <c r="D14">
        <f t="shared" si="0"/>
        <v>0.93066971618472538</v>
      </c>
    </row>
    <row r="15" spans="1:4" x14ac:dyDescent="0.25">
      <c r="A15">
        <v>1</v>
      </c>
      <c r="B15">
        <v>0.31101619699457694</v>
      </c>
      <c r="C15">
        <f>Hoja2!$C$26*Hoja2!$E$96*Hoja2!$C$8*Hoja3!B15</f>
        <v>11.864182559010297</v>
      </c>
      <c r="D15">
        <f t="shared" si="0"/>
        <v>1.2093967950061464</v>
      </c>
    </row>
    <row r="16" spans="1:4" x14ac:dyDescent="0.25">
      <c r="A16">
        <v>2</v>
      </c>
      <c r="B16">
        <v>0.38269543114866245</v>
      </c>
      <c r="C16">
        <f>Hoja2!$C$26*Hoja2!$E$96*Hoja2!$C$8*Hoja3!B16</f>
        <v>14.59849520224844</v>
      </c>
      <c r="D16">
        <f t="shared" si="0"/>
        <v>1.4881238738275677</v>
      </c>
    </row>
    <row r="17" spans="1:4" x14ac:dyDescent="0.25">
      <c r="A17">
        <v>3</v>
      </c>
      <c r="B17">
        <v>0.454374665302748</v>
      </c>
      <c r="C17">
        <f>Hoja2!$C$26*Hoja2!$E$96*Hoja2!$C$8*Hoja3!B17</f>
        <v>17.332807845486585</v>
      </c>
      <c r="D17">
        <f t="shared" si="0"/>
        <v>1.7668509526489891</v>
      </c>
    </row>
    <row r="18" spans="1:4" x14ac:dyDescent="0.25">
      <c r="A18">
        <v>4</v>
      </c>
      <c r="B18">
        <v>0.52605389945683356</v>
      </c>
      <c r="C18">
        <f>Hoja2!$C$26*Hoja2!$E$96*Hoja2!$C$8*Hoja3!B18</f>
        <v>20.067120488724729</v>
      </c>
      <c r="D18">
        <f t="shared" si="0"/>
        <v>2.0455780314704106</v>
      </c>
    </row>
    <row r="19" spans="1:4" x14ac:dyDescent="0.25">
      <c r="A19">
        <v>5</v>
      </c>
      <c r="B19">
        <v>0.59773313361091895</v>
      </c>
      <c r="C19">
        <f>Hoja2!$C$26*Hoja2!$E$96*Hoja2!$C$8*Hoja3!B19</f>
        <v>22.801433131962867</v>
      </c>
      <c r="D19">
        <f t="shared" si="0"/>
        <v>2.3243051102918315</v>
      </c>
    </row>
    <row r="20" spans="1:4" x14ac:dyDescent="0.25">
      <c r="A20">
        <v>6</v>
      </c>
      <c r="B20">
        <v>0.66941236776500457</v>
      </c>
      <c r="C20">
        <f>Hoja2!$C$26*Hoja2!$E$96*Hoja2!$C$8*Hoja3!B20</f>
        <v>25.535745775201011</v>
      </c>
      <c r="D20">
        <f t="shared" si="0"/>
        <v>2.6030321891132528</v>
      </c>
    </row>
    <row r="21" spans="1:4" x14ac:dyDescent="0.25">
      <c r="A21">
        <v>7</v>
      </c>
      <c r="B21">
        <v>0.74109160191908996</v>
      </c>
      <c r="C21">
        <f>Hoja2!$C$26*Hoja2!$E$96*Hoja2!$C$8*Hoja3!B21</f>
        <v>28.270058418439149</v>
      </c>
      <c r="D21">
        <f t="shared" si="0"/>
        <v>2.8817592679346737</v>
      </c>
    </row>
    <row r="22" spans="1:4" x14ac:dyDescent="0.25">
      <c r="A22">
        <v>8</v>
      </c>
      <c r="B22">
        <v>0.81277083607317557</v>
      </c>
      <c r="C22">
        <f>Hoja2!$C$26*Hoja2!$E$96*Hoja2!$C$8*Hoja3!B22</f>
        <v>31.004371061677297</v>
      </c>
      <c r="D22">
        <f t="shared" si="0"/>
        <v>3.1604863467560955</v>
      </c>
    </row>
    <row r="23" spans="1:4" x14ac:dyDescent="0.25">
      <c r="A23">
        <v>9</v>
      </c>
      <c r="B23">
        <v>0.88445007022726108</v>
      </c>
      <c r="C23">
        <f>Hoja2!$C$26*Hoja2!$E$96*Hoja2!$C$8*Hoja3!B23</f>
        <v>33.738683704915438</v>
      </c>
      <c r="D23">
        <f t="shared" si="0"/>
        <v>3.4392134255775164</v>
      </c>
    </row>
    <row r="24" spans="1:4" x14ac:dyDescent="0.25">
      <c r="A24">
        <v>10</v>
      </c>
      <c r="B24">
        <v>0.95612930438134636</v>
      </c>
      <c r="C24">
        <f>Hoja2!$C$26*Hoja2!$E$96*Hoja2!$C$8*Hoja3!B24</f>
        <v>36.472996348153572</v>
      </c>
      <c r="D24">
        <f t="shared" si="0"/>
        <v>3.7179405043989369</v>
      </c>
    </row>
    <row r="25" spans="1:4" x14ac:dyDescent="0.25">
      <c r="A25">
        <v>11</v>
      </c>
      <c r="B25">
        <v>1.0278085385354321</v>
      </c>
      <c r="C25">
        <f>Hoja2!$C$26*Hoja2!$E$96*Hoja2!$C$8*Hoja3!B25</f>
        <v>39.20730899139172</v>
      </c>
      <c r="D25">
        <f t="shared" si="0"/>
        <v>3.9966675832203586</v>
      </c>
    </row>
    <row r="26" spans="1:4" x14ac:dyDescent="0.25">
      <c r="A26">
        <v>12</v>
      </c>
      <c r="B26">
        <v>1.0994877726895176</v>
      </c>
      <c r="C26">
        <f>Hoja2!$C$26*Hoja2!$E$96*Hoja2!$C$8*Hoja3!B26</f>
        <v>41.941621634629868</v>
      </c>
      <c r="D26">
        <f t="shared" si="0"/>
        <v>4.2753946620417809</v>
      </c>
    </row>
    <row r="30" spans="1:4" x14ac:dyDescent="0.25">
      <c r="A30" t="s">
        <v>103</v>
      </c>
      <c r="B30">
        <v>2.0426084405672</v>
      </c>
    </row>
    <row r="35" spans="1:19" x14ac:dyDescent="0.25">
      <c r="A35" t="s">
        <v>106</v>
      </c>
      <c r="H35" t="s">
        <v>107</v>
      </c>
      <c r="O35" t="s">
        <v>108</v>
      </c>
    </row>
    <row r="36" spans="1:19" x14ac:dyDescent="0.25">
      <c r="A36" t="s">
        <v>90</v>
      </c>
      <c r="B36" t="s">
        <v>92</v>
      </c>
      <c r="C36" t="s">
        <v>96</v>
      </c>
      <c r="D36" t="s">
        <v>97</v>
      </c>
      <c r="E36" t="s">
        <v>101</v>
      </c>
      <c r="H36" t="s">
        <v>90</v>
      </c>
      <c r="I36" t="s">
        <v>92</v>
      </c>
      <c r="J36" t="s">
        <v>96</v>
      </c>
      <c r="K36" t="s">
        <v>97</v>
      </c>
      <c r="L36" t="s">
        <v>101</v>
      </c>
      <c r="O36" t="s">
        <v>90</v>
      </c>
      <c r="P36" t="s">
        <v>92</v>
      </c>
      <c r="Q36" t="s">
        <v>96</v>
      </c>
      <c r="R36" t="s">
        <v>97</v>
      </c>
      <c r="S36" t="s">
        <v>101</v>
      </c>
    </row>
    <row r="37" spans="1:19" x14ac:dyDescent="0.25">
      <c r="A37">
        <v>0</v>
      </c>
      <c r="B37">
        <v>1.3939999999999999</v>
      </c>
      <c r="C37">
        <v>1</v>
      </c>
      <c r="D37">
        <v>0</v>
      </c>
      <c r="E37">
        <v>0</v>
      </c>
      <c r="H37">
        <v>0</v>
      </c>
      <c r="I37">
        <v>1</v>
      </c>
      <c r="J37">
        <v>1</v>
      </c>
      <c r="K37">
        <v>0</v>
      </c>
      <c r="L37">
        <v>0</v>
      </c>
      <c r="O37">
        <v>0</v>
      </c>
      <c r="P37">
        <v>2</v>
      </c>
      <c r="Q37">
        <v>1</v>
      </c>
      <c r="R37">
        <v>0</v>
      </c>
      <c r="S37">
        <v>0</v>
      </c>
    </row>
    <row r="38" spans="1:19" x14ac:dyDescent="0.25">
      <c r="A38">
        <v>1</v>
      </c>
      <c r="B38">
        <v>1.2197499999999999</v>
      </c>
      <c r="C38">
        <v>0.875</v>
      </c>
      <c r="D38">
        <v>0.77607157043091324</v>
      </c>
      <c r="E38">
        <v>10.618515834727152</v>
      </c>
      <c r="H38">
        <v>1</v>
      </c>
      <c r="I38">
        <v>0.875</v>
      </c>
      <c r="J38">
        <v>0.875</v>
      </c>
      <c r="K38">
        <v>0.72292112955391008</v>
      </c>
      <c r="L38">
        <v>13.82653530476337</v>
      </c>
      <c r="O38">
        <v>1</v>
      </c>
      <c r="P38">
        <v>1.75</v>
      </c>
      <c r="Q38">
        <v>0.875</v>
      </c>
      <c r="R38">
        <v>0.81918390475664449</v>
      </c>
      <c r="S38">
        <v>9.6416307222047557</v>
      </c>
    </row>
    <row r="39" spans="1:19" x14ac:dyDescent="0.25">
      <c r="A39">
        <v>2</v>
      </c>
      <c r="B39">
        <v>0.87124999999999997</v>
      </c>
      <c r="C39">
        <v>0.625</v>
      </c>
      <c r="D39">
        <v>1.0641374388652081</v>
      </c>
      <c r="E39">
        <v>14.559946112498533</v>
      </c>
      <c r="H39">
        <v>2</v>
      </c>
      <c r="I39">
        <v>0.625</v>
      </c>
      <c r="J39">
        <v>0.625</v>
      </c>
      <c r="K39">
        <v>1.0407640268405118</v>
      </c>
      <c r="L39">
        <v>19.905574720049618</v>
      </c>
      <c r="O39">
        <v>2</v>
      </c>
      <c r="P39">
        <v>1.25</v>
      </c>
      <c r="Q39">
        <v>0.625</v>
      </c>
      <c r="R39">
        <v>1.0830964980360192</v>
      </c>
      <c r="S39">
        <v>12.74782916258434</v>
      </c>
    </row>
    <row r="40" spans="1:19" x14ac:dyDescent="0.25">
      <c r="A40">
        <v>3</v>
      </c>
      <c r="B40">
        <v>0.52274999999999994</v>
      </c>
      <c r="C40">
        <v>0.375</v>
      </c>
      <c r="D40">
        <v>1.1154708636249144</v>
      </c>
      <c r="E40">
        <v>15.262310178430054</v>
      </c>
      <c r="H40">
        <v>3</v>
      </c>
      <c r="I40">
        <v>0.375</v>
      </c>
      <c r="J40">
        <v>0.375</v>
      </c>
      <c r="K40">
        <v>1.1370595733336364</v>
      </c>
      <c r="L40">
        <v>21.747316120111133</v>
      </c>
      <c r="O40">
        <v>3</v>
      </c>
      <c r="P40">
        <v>0.75</v>
      </c>
      <c r="Q40">
        <v>0.375</v>
      </c>
      <c r="R40">
        <v>1.0979594440531109</v>
      </c>
      <c r="S40">
        <v>12.922763064616307</v>
      </c>
    </row>
    <row r="41" spans="1:19" x14ac:dyDescent="0.25">
      <c r="A41">
        <v>4</v>
      </c>
      <c r="B41">
        <v>0.17424999999999999</v>
      </c>
      <c r="C41">
        <v>0.125</v>
      </c>
      <c r="D41">
        <v>1.1145167268752287</v>
      </c>
      <c r="E41">
        <v>15.249255304922182</v>
      </c>
      <c r="H41">
        <v>4</v>
      </c>
      <c r="I41">
        <v>0.125</v>
      </c>
      <c r="J41">
        <v>0.125</v>
      </c>
      <c r="K41">
        <v>1.1640285405893835</v>
      </c>
      <c r="L41">
        <v>22.263122565172008</v>
      </c>
      <c r="O41">
        <v>4</v>
      </c>
      <c r="P41">
        <v>0.25</v>
      </c>
      <c r="Q41">
        <v>0.125</v>
      </c>
      <c r="R41">
        <v>1.0743558207623782</v>
      </c>
      <c r="S41">
        <v>12.644953139209042</v>
      </c>
    </row>
    <row r="42" spans="1:19" x14ac:dyDescent="0.25">
      <c r="A42">
        <v>5</v>
      </c>
      <c r="B42">
        <v>0</v>
      </c>
      <c r="C42">
        <v>0</v>
      </c>
      <c r="D42">
        <v>1.1133331214325597</v>
      </c>
      <c r="E42">
        <v>15.233060750690447</v>
      </c>
      <c r="H42">
        <v>5</v>
      </c>
      <c r="I42">
        <v>0</v>
      </c>
      <c r="J42">
        <v>0</v>
      </c>
      <c r="K42">
        <v>1.1665632201438887</v>
      </c>
      <c r="L42">
        <v>22.311600656230507</v>
      </c>
      <c r="O42">
        <v>5</v>
      </c>
      <c r="P42">
        <v>0</v>
      </c>
      <c r="Q42">
        <v>0</v>
      </c>
      <c r="R42">
        <v>1.0701561736223792</v>
      </c>
      <c r="S42">
        <v>12.595524132300682</v>
      </c>
    </row>
    <row r="47" spans="1:19" x14ac:dyDescent="0.25">
      <c r="C47" t="s">
        <v>107</v>
      </c>
      <c r="D47" t="s">
        <v>106</v>
      </c>
      <c r="E47" t="s">
        <v>108</v>
      </c>
    </row>
    <row r="48" spans="1:19" x14ac:dyDescent="0.25">
      <c r="B48" t="s">
        <v>102</v>
      </c>
      <c r="C48" t="s">
        <v>71</v>
      </c>
      <c r="D48" t="s">
        <v>71</v>
      </c>
      <c r="E48" t="s">
        <v>71</v>
      </c>
    </row>
    <row r="49" spans="2:5" x14ac:dyDescent="0.25">
      <c r="B49">
        <v>-12</v>
      </c>
      <c r="C49">
        <v>-0.5115956977445747</v>
      </c>
      <c r="D49">
        <v>-0.62081384700853459</v>
      </c>
      <c r="E49">
        <v>-0.68425739037489586</v>
      </c>
    </row>
    <row r="50" spans="2:5" x14ac:dyDescent="0.25">
      <c r="B50">
        <v>0</v>
      </c>
      <c r="C50">
        <v>0.19723103969162159</v>
      </c>
      <c r="D50">
        <v>0.23933696284049147</v>
      </c>
      <c r="E50">
        <v>0.26379580030732902</v>
      </c>
    </row>
    <row r="51" spans="2:5" x14ac:dyDescent="0.25">
      <c r="B51">
        <v>12</v>
      </c>
      <c r="C51">
        <v>0.90605777712781788</v>
      </c>
      <c r="D51">
        <v>1.0994877726895176</v>
      </c>
      <c r="E51">
        <v>1.2118489909895538</v>
      </c>
    </row>
    <row r="70" spans="1:6" x14ac:dyDescent="0.25">
      <c r="A70" t="s">
        <v>30</v>
      </c>
      <c r="B70">
        <v>0.96785790629621726</v>
      </c>
    </row>
    <row r="72" spans="1:6" x14ac:dyDescent="0.25">
      <c r="A72" s="5" t="s">
        <v>102</v>
      </c>
      <c r="B72" s="5" t="s">
        <v>109</v>
      </c>
      <c r="C72" s="5" t="s">
        <v>110</v>
      </c>
      <c r="D72" s="5" t="s">
        <v>27</v>
      </c>
      <c r="E72" s="5" t="s">
        <v>111</v>
      </c>
      <c r="F72" s="5" t="s">
        <v>112</v>
      </c>
    </row>
    <row r="73" spans="1:6" x14ac:dyDescent="0.25">
      <c r="A73" s="5">
        <v>-6</v>
      </c>
      <c r="B73" s="22">
        <v>3.4759999999999999E-2</v>
      </c>
      <c r="C73" s="5">
        <v>-0.19073844208402158</v>
      </c>
      <c r="D73" s="5">
        <f>Hoja2!$C$18</f>
        <v>5.9956989247311823</v>
      </c>
      <c r="E73" s="5">
        <f>(C73^2)/(PI()*$B$70*D73)</f>
        <v>1.9956076992573408E-3</v>
      </c>
      <c r="F73" s="24">
        <f>E73+B73</f>
        <v>3.6755607699257342E-2</v>
      </c>
    </row>
    <row r="74" spans="1:6" x14ac:dyDescent="0.25">
      <c r="A74" s="5">
        <v>-3</v>
      </c>
      <c r="B74" s="23">
        <v>2.3689999999999999E-2</v>
      </c>
      <c r="C74" s="5">
        <v>2.4299260378234964E-2</v>
      </c>
      <c r="D74" s="5">
        <f>Hoja2!$C$18</f>
        <v>5.9956989247311823</v>
      </c>
      <c r="E74" s="5">
        <f t="shared" ref="E74:E79" si="1">(C74^2)/(PI()*$B$70*D74)</f>
        <v>3.2388051272758489E-5</v>
      </c>
      <c r="F74" s="24">
        <f t="shared" ref="F74:F79" si="2">E74+B74</f>
        <v>2.3722388051272757E-2</v>
      </c>
    </row>
    <row r="75" spans="1:6" x14ac:dyDescent="0.25">
      <c r="A75" s="5">
        <v>0</v>
      </c>
      <c r="B75" s="23">
        <v>1.7239999999999998E-2</v>
      </c>
      <c r="C75" s="5">
        <v>0.23933696284049147</v>
      </c>
      <c r="D75" s="5">
        <f>Hoja2!$C$18</f>
        <v>5.9956989247311823</v>
      </c>
      <c r="E75" s="5">
        <f t="shared" si="1"/>
        <v>3.142087390328438E-3</v>
      </c>
      <c r="F75" s="24">
        <f t="shared" si="2"/>
        <v>2.0382087390328436E-2</v>
      </c>
    </row>
    <row r="76" spans="1:6" x14ac:dyDescent="0.25">
      <c r="A76" s="5">
        <v>3</v>
      </c>
      <c r="B76" s="23">
        <v>1.9179999999999999E-2</v>
      </c>
      <c r="C76" s="5">
        <v>0.454374665302748</v>
      </c>
      <c r="D76" s="5">
        <f>Hoja2!$C$18</f>
        <v>5.9956989247311823</v>
      </c>
      <c r="E76" s="5">
        <f t="shared" si="1"/>
        <v>1.1324705716424379E-2</v>
      </c>
      <c r="F76" s="24">
        <f t="shared" si="2"/>
        <v>3.0504705716424378E-2</v>
      </c>
    </row>
    <row r="77" spans="1:6" x14ac:dyDescent="0.25">
      <c r="A77" s="5">
        <v>6</v>
      </c>
      <c r="B77" s="23">
        <v>2.3109999999999999E-2</v>
      </c>
      <c r="C77" s="5">
        <v>0.66941236776500457</v>
      </c>
      <c r="D77" s="5">
        <f>Hoja2!$C$18</f>
        <v>5.9956989247311823</v>
      </c>
      <c r="E77" s="5">
        <f t="shared" si="1"/>
        <v>2.4580243029560588E-2</v>
      </c>
      <c r="F77" s="24">
        <f t="shared" si="2"/>
        <v>4.7690243029560583E-2</v>
      </c>
    </row>
    <row r="78" spans="1:6" x14ac:dyDescent="0.25">
      <c r="A78" s="5">
        <v>9</v>
      </c>
      <c r="B78" s="23">
        <v>2.6960000000000001E-2</v>
      </c>
      <c r="C78" s="5">
        <v>0.88445007022726108</v>
      </c>
      <c r="D78" s="5">
        <f>Hoja2!$C$18</f>
        <v>5.9956989247311823</v>
      </c>
      <c r="E78" s="5">
        <f t="shared" si="1"/>
        <v>4.2908699329737052E-2</v>
      </c>
      <c r="F78" s="24">
        <f t="shared" si="2"/>
        <v>6.986869932973705E-2</v>
      </c>
    </row>
    <row r="79" spans="1:6" x14ac:dyDescent="0.25">
      <c r="A79" s="5">
        <v>12</v>
      </c>
      <c r="B79" s="23">
        <v>3.3099999999999997E-2</v>
      </c>
      <c r="C79" s="5">
        <v>1.0994877726895176</v>
      </c>
      <c r="D79" s="5">
        <f>Hoja2!$C$18</f>
        <v>5.9956989247311823</v>
      </c>
      <c r="E79" s="5">
        <f t="shared" si="1"/>
        <v>6.6310074616953776E-2</v>
      </c>
      <c r="F79" s="24">
        <f t="shared" si="2"/>
        <v>9.9410074616953781E-2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Atencia Tatis</dc:creator>
  <cp:lastModifiedBy>Tomas Atencia Tatis</cp:lastModifiedBy>
  <cp:lastPrinted>2024-11-10T05:33:49Z</cp:lastPrinted>
  <dcterms:created xsi:type="dcterms:W3CDTF">2024-09-06T15:23:18Z</dcterms:created>
  <dcterms:modified xsi:type="dcterms:W3CDTF">2024-11-10T06:54:51Z</dcterms:modified>
</cp:coreProperties>
</file>