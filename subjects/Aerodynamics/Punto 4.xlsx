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ya\OneDrive\Documentos\Universidad\2024-2\Aerodinámica\"/>
    </mc:Choice>
  </mc:AlternateContent>
  <xr:revisionPtr revIDLastSave="0" documentId="13_ncr:1_{9C72B291-38EA-41C3-A426-0E9753896CFD}" xr6:coauthVersionLast="47" xr6:coauthVersionMax="47" xr10:uidLastSave="{00000000-0000-0000-0000-000000000000}"/>
  <bookViews>
    <workbookView minimized="1" xWindow="4020" yWindow="4020" windowWidth="21600" windowHeight="11295" xr2:uid="{4E4F7234-7C84-4315-8AFC-2F72906ADD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B50" i="1"/>
  <c r="B49" i="1" s="1"/>
  <c r="B48" i="1" s="1"/>
  <c r="B47" i="1" s="1"/>
  <c r="B46" i="1" s="1"/>
  <c r="B45" i="1" s="1"/>
  <c r="B44" i="1" s="1"/>
  <c r="B43" i="1" s="1"/>
  <c r="B42" i="1" s="1"/>
  <c r="B41" i="1" s="1"/>
  <c r="H15" i="1" l="1"/>
  <c r="H14" i="1"/>
  <c r="C8" i="1"/>
  <c r="H16" i="1" s="1"/>
  <c r="H17" i="1" s="1"/>
  <c r="C9" i="1" l="1"/>
  <c r="J15" i="1" s="1"/>
  <c r="G4" i="1"/>
  <c r="G27" i="1"/>
  <c r="H4" i="1"/>
  <c r="H5" i="1" s="1"/>
  <c r="K29" i="1"/>
  <c r="C30" i="1" s="1"/>
  <c r="K16" i="1"/>
  <c r="H18" i="1"/>
  <c r="H20" i="1"/>
  <c r="E30" i="1" s="1"/>
  <c r="E27" i="1"/>
  <c r="E28" i="1"/>
  <c r="K26" i="1"/>
  <c r="C27" i="1" s="1"/>
  <c r="K27" i="1"/>
  <c r="C28" i="1" s="1"/>
  <c r="K28" i="1"/>
  <c r="C29" i="1" s="1"/>
  <c r="K4" i="1"/>
  <c r="H22" i="1" l="1"/>
  <c r="H23" i="1" s="1"/>
  <c r="K6" i="1"/>
  <c r="C10" i="1"/>
  <c r="J16" i="1" s="1"/>
  <c r="J18" i="1" s="1"/>
  <c r="G6" i="1"/>
  <c r="J3" i="1"/>
  <c r="G14" i="1" s="1"/>
  <c r="D27" i="1" s="1"/>
  <c r="H19" i="1"/>
  <c r="E29" i="1"/>
  <c r="G28" i="1"/>
  <c r="H21" i="1"/>
  <c r="G29" i="1"/>
  <c r="K18" i="1" l="1"/>
  <c r="C12" i="1" s="1"/>
  <c r="G5" i="1"/>
  <c r="J4" i="1"/>
  <c r="G22" i="1" s="1"/>
  <c r="F30" i="1" s="1"/>
  <c r="G30" i="1"/>
  <c r="J27" i="1"/>
  <c r="B28" i="1" s="1"/>
  <c r="J28" i="1"/>
  <c r="B29" i="1" s="1"/>
  <c r="J26" i="1"/>
  <c r="B27" i="1" s="1"/>
  <c r="J29" i="1"/>
  <c r="B30" i="1" s="1"/>
  <c r="G20" i="1" l="1"/>
  <c r="F29" i="1" s="1"/>
  <c r="G16" i="1"/>
  <c r="F27" i="1" s="1"/>
  <c r="G18" i="1"/>
  <c r="D29" i="1" s="1"/>
  <c r="J6" i="1"/>
  <c r="D30" i="1" l="1"/>
  <c r="D28" i="1"/>
  <c r="F28" i="1"/>
</calcChain>
</file>

<file path=xl/sharedStrings.xml><?xml version="1.0" encoding="utf-8"?>
<sst xmlns="http://schemas.openxmlformats.org/spreadsheetml/2006/main" count="44" uniqueCount="31">
  <si>
    <t>b</t>
  </si>
  <si>
    <t>x</t>
  </si>
  <si>
    <t>y</t>
  </si>
  <si>
    <t>S</t>
  </si>
  <si>
    <t>AR</t>
  </si>
  <si>
    <t>Landa w</t>
  </si>
  <si>
    <t>A_LE</t>
  </si>
  <si>
    <t>N</t>
  </si>
  <si>
    <t>c_root</t>
  </si>
  <si>
    <t>c_tip</t>
  </si>
  <si>
    <t>A_c/4</t>
  </si>
  <si>
    <t>A_3c/4</t>
  </si>
  <si>
    <t>deg</t>
  </si>
  <si>
    <t>m</t>
  </si>
  <si>
    <t>m2</t>
  </si>
  <si>
    <t>Superficie Ala</t>
  </si>
  <si>
    <t>c/4</t>
  </si>
  <si>
    <t>3c/4</t>
  </si>
  <si>
    <t xml:space="preserve">Divisiones Horseshoe </t>
  </si>
  <si>
    <t>Puntos de control</t>
  </si>
  <si>
    <t>Panel</t>
  </si>
  <si>
    <t>xm</t>
  </si>
  <si>
    <t>ym</t>
  </si>
  <si>
    <t>x1n</t>
  </si>
  <si>
    <t>y1n</t>
  </si>
  <si>
    <t>x2n</t>
  </si>
  <si>
    <t>y2n</t>
  </si>
  <si>
    <t>Matriz</t>
  </si>
  <si>
    <t>Circulación</t>
  </si>
  <si>
    <t>Alpha (degrees)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</si>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</sst>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Hoja1!$G$3:$G$4</c:f>
              <c:numCache>
                <c:formatCode>General</c:formatCode>
                <c:ptCount val="2"/>
                <c:pt idx="0">
                  <c:v>0</c:v>
                </c:pt>
                <c:pt idx="1">
                  <c:v>-0.45305957062761837</c:v>
                </c:pt>
              </c:numCache>
            </c:numRef>
          </c:xVal>
          <c:yVal>
            <c:numRef>
              <c:f>Hoja1!$H$3:$H$4</c:f>
              <c:numCache>
                <c:formatCode>General</c:formatCode>
                <c:ptCount val="2"/>
                <c:pt idx="0">
                  <c:v>0</c:v>
                </c:pt>
                <c:pt idx="1">
                  <c:v>0.5000087499234388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17-49F0-805F-2A5AB699E87F}"/>
            </c:ext>
          </c:extLst>
        </c:ser>
        <c:ser>
          <c:idx val="1"/>
          <c:order val="1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Hoja1!$G$4:$G$5</c:f>
              <c:numCache>
                <c:formatCode>General</c:formatCode>
                <c:ptCount val="2"/>
                <c:pt idx="0">
                  <c:v>-0.45305957062761837</c:v>
                </c:pt>
                <c:pt idx="1">
                  <c:v>-0.26526285704135022</c:v>
                </c:pt>
              </c:numCache>
            </c:numRef>
          </c:xVal>
          <c:yVal>
            <c:numRef>
              <c:f>Hoja1!$H$4:$H$5</c:f>
              <c:numCache>
                <c:formatCode>General</c:formatCode>
                <c:ptCount val="2"/>
                <c:pt idx="0">
                  <c:v>0.5000087499234388</c:v>
                </c:pt>
                <c:pt idx="1">
                  <c:v>0.5000087499234388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17-49F0-805F-2A5AB699E87F}"/>
            </c:ext>
          </c:extLst>
        </c:ser>
        <c:ser>
          <c:idx val="2"/>
          <c:order val="2"/>
          <c:tx>
            <c:strRef>
              <c:f>Hoja1!$G$5:$G$6</c:f>
              <c:strCache>
                <c:ptCount val="2"/>
                <c:pt idx="0">
                  <c:v>-0.265262857</c:v>
                </c:pt>
                <c:pt idx="1">
                  <c:v>0.375593427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6D88-452D-A4A9-D9800DE6F212}"/>
              </c:ext>
            </c:extLst>
          </c:dPt>
          <c:xVal>
            <c:numRef>
              <c:f>Hoja1!$G$5:$G$6</c:f>
              <c:numCache>
                <c:formatCode>General</c:formatCode>
                <c:ptCount val="2"/>
                <c:pt idx="0">
                  <c:v>-0.26526285704135022</c:v>
                </c:pt>
                <c:pt idx="1">
                  <c:v>0.37559342717253624</c:v>
                </c:pt>
              </c:numCache>
            </c:numRef>
          </c:xVal>
          <c:yVal>
            <c:numRef>
              <c:f>Hoja1!$H$5:$H$6</c:f>
              <c:numCache>
                <c:formatCode>General</c:formatCode>
                <c:ptCount val="2"/>
                <c:pt idx="0">
                  <c:v>0.5000087499234388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17-49F0-805F-2A5AB699E87F}"/>
            </c:ext>
          </c:extLst>
        </c:ser>
        <c:ser>
          <c:idx val="3"/>
          <c:order val="3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Hoja1!$G$6:$G$7</c:f>
              <c:numCache>
                <c:formatCode>General</c:formatCode>
                <c:ptCount val="2"/>
                <c:pt idx="0">
                  <c:v>0.37559342717253624</c:v>
                </c:pt>
                <c:pt idx="1">
                  <c:v>0</c:v>
                </c:pt>
              </c:numCache>
            </c:numRef>
          </c:xVal>
          <c:yVal>
            <c:numRef>
              <c:f>Hoja1!$H$6:$H$7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17-49F0-805F-2A5AB699E87F}"/>
            </c:ext>
          </c:extLst>
        </c:ser>
        <c:ser>
          <c:idx val="4"/>
          <c:order val="4"/>
          <c:spPr>
            <a:ln w="19050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Hoja1!$J$15:$J$16</c:f>
              <c:numCache>
                <c:formatCode>General</c:formatCode>
                <c:ptCount val="2"/>
                <c:pt idx="0">
                  <c:v>0.28169507037940217</c:v>
                </c:pt>
                <c:pt idx="1">
                  <c:v>-0.31221203543791731</c:v>
                </c:pt>
              </c:numCache>
            </c:numRef>
          </c:xVal>
          <c:yVal>
            <c:numRef>
              <c:f>Hoja1!$K$15:$K$16</c:f>
              <c:numCache>
                <c:formatCode>General</c:formatCode>
                <c:ptCount val="2"/>
                <c:pt idx="0">
                  <c:v>0</c:v>
                </c:pt>
                <c:pt idx="1">
                  <c:v>0.5000087499234388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17-49F0-805F-2A5AB699E87F}"/>
            </c:ext>
          </c:extLst>
        </c:ser>
        <c:ser>
          <c:idx val="5"/>
          <c:order val="5"/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Hoja1!$J$3:$J$4</c:f>
              <c:numCache>
                <c:formatCode>General</c:formatCode>
                <c:ptCount val="2"/>
                <c:pt idx="0">
                  <c:v>9.3898356793134061E-2</c:v>
                </c:pt>
                <c:pt idx="1">
                  <c:v>-0.40611039223105133</c:v>
                </c:pt>
              </c:numCache>
            </c:numRef>
          </c:xVal>
          <c:yVal>
            <c:numRef>
              <c:f>Hoja1!$K$3:$K$4</c:f>
              <c:numCache>
                <c:formatCode>General</c:formatCode>
                <c:ptCount val="2"/>
                <c:pt idx="0">
                  <c:v>0</c:v>
                </c:pt>
                <c:pt idx="1">
                  <c:v>0.5000087499234388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17-49F0-805F-2A5AB699E87F}"/>
            </c:ext>
          </c:extLst>
        </c:ser>
        <c:ser>
          <c:idx val="6"/>
          <c:order val="6"/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Hoja1!$G$16:$G$17</c:f>
              <c:numCache>
                <c:formatCode>General</c:formatCode>
                <c:ptCount val="2"/>
                <c:pt idx="0">
                  <c:v>-3.1103830462912305E-2</c:v>
                </c:pt>
                <c:pt idx="1">
                  <c:v>1</c:v>
                </c:pt>
              </c:numCache>
            </c:numRef>
          </c:xVal>
          <c:yVal>
            <c:numRef>
              <c:f>Hoja1!$H$16:$H$17</c:f>
              <c:numCache>
                <c:formatCode>General</c:formatCode>
                <c:ptCount val="2"/>
                <c:pt idx="0">
                  <c:v>0.1250021874808597</c:v>
                </c:pt>
                <c:pt idx="1">
                  <c:v>0.1250021874808597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88-452D-A4A9-D9800DE6F212}"/>
            </c:ext>
          </c:extLst>
        </c:ser>
        <c:ser>
          <c:idx val="7"/>
          <c:order val="7"/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Hoja1!$G$18:$G$19</c:f>
              <c:numCache>
                <c:formatCode>General</c:formatCode>
                <c:ptCount val="2"/>
                <c:pt idx="0">
                  <c:v>-0.15610601771895866</c:v>
                </c:pt>
                <c:pt idx="1">
                  <c:v>1</c:v>
                </c:pt>
              </c:numCache>
            </c:numRef>
          </c:xVal>
          <c:yVal>
            <c:numRef>
              <c:f>Hoja1!$H$18:$H$19</c:f>
              <c:numCache>
                <c:formatCode>General</c:formatCode>
                <c:ptCount val="2"/>
                <c:pt idx="0">
                  <c:v>0.2500043749617194</c:v>
                </c:pt>
                <c:pt idx="1">
                  <c:v>0.2500043749617194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88-452D-A4A9-D9800DE6F212}"/>
            </c:ext>
          </c:extLst>
        </c:ser>
        <c:ser>
          <c:idx val="8"/>
          <c:order val="8"/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Hoja1!$G$20:$G$21</c:f>
              <c:numCache>
                <c:formatCode>General</c:formatCode>
                <c:ptCount val="2"/>
                <c:pt idx="0">
                  <c:v>-0.28110820497500505</c:v>
                </c:pt>
                <c:pt idx="1">
                  <c:v>1</c:v>
                </c:pt>
              </c:numCache>
            </c:numRef>
          </c:xVal>
          <c:yVal>
            <c:numRef>
              <c:f>Hoja1!$H$20:$H$21</c:f>
              <c:numCache>
                <c:formatCode>General</c:formatCode>
                <c:ptCount val="2"/>
                <c:pt idx="0">
                  <c:v>0.37500656244257913</c:v>
                </c:pt>
                <c:pt idx="1">
                  <c:v>0.37500656244257913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88-452D-A4A9-D9800DE6F212}"/>
            </c:ext>
          </c:extLst>
        </c:ser>
        <c:ser>
          <c:idx val="9"/>
          <c:order val="9"/>
          <c:spPr>
            <a:ln w="34925" cap="rnd">
              <a:solidFill>
                <a:schemeClr val="tx2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Hoja1!$G$14:$G$15</c:f>
              <c:numCache>
                <c:formatCode>General</c:formatCode>
                <c:ptCount val="2"/>
                <c:pt idx="0">
                  <c:v>9.3898356793134061E-2</c:v>
                </c:pt>
                <c:pt idx="1">
                  <c:v>1</c:v>
                </c:pt>
              </c:numCache>
            </c:numRef>
          </c:xVal>
          <c:yVal>
            <c:numRef>
              <c:f>Hoja1!$H$14:$H$15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D88-452D-A4A9-D9800DE6F212}"/>
            </c:ext>
          </c:extLst>
        </c:ser>
        <c:ser>
          <c:idx val="11"/>
          <c:order val="10"/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Hoja1!$J$26:$J$29</c:f>
              <c:numCache>
                <c:formatCode>General</c:formatCode>
                <c:ptCount val="4"/>
                <c:pt idx="0">
                  <c:v>0.20745668215223723</c:v>
                </c:pt>
                <c:pt idx="1">
                  <c:v>5.8979905697907314E-2</c:v>
                </c:pt>
                <c:pt idx="2">
                  <c:v>-8.9496870756422542E-2</c:v>
                </c:pt>
                <c:pt idx="3">
                  <c:v>-0.23797364721075248</c:v>
                </c:pt>
              </c:numCache>
            </c:numRef>
          </c:xVal>
          <c:yVal>
            <c:numRef>
              <c:f>Hoja1!$K$26:$K$29</c:f>
              <c:numCache>
                <c:formatCode>General</c:formatCode>
                <c:ptCount val="4"/>
                <c:pt idx="0">
                  <c:v>6.250109374042985E-2</c:v>
                </c:pt>
                <c:pt idx="1">
                  <c:v>0.18750328122128956</c:v>
                </c:pt>
                <c:pt idx="2">
                  <c:v>0.31250546870214924</c:v>
                </c:pt>
                <c:pt idx="3">
                  <c:v>0.43750765618300896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D88-452D-A4A9-D9800DE6F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597183"/>
        <c:axId val="1180985408"/>
      </c:scatterChart>
      <c:valAx>
        <c:axId val="1378597183"/>
        <c:scaling>
          <c:orientation val="minMax"/>
          <c:max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0985408"/>
        <c:crosses val="autoZero"/>
        <c:crossBetween val="midCat"/>
        <c:majorUnit val="0.1"/>
      </c:valAx>
      <c:valAx>
        <c:axId val="1180985408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7859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CL_w vs Alpha [deg] NACA 64A112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Hoja1!$A$41:$A$62</c:f>
              <c:numCache>
                <c:formatCode>General</c:formatCode>
                <c:ptCount val="22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-0.94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</c:numCache>
            </c:numRef>
          </c:xVal>
          <c:yVal>
            <c:numRef>
              <c:f>Hoja1!$B$41:$B$62</c:f>
              <c:numCache>
                <c:formatCode>General</c:formatCode>
                <c:ptCount val="22"/>
                <c:pt idx="0">
                  <c:v>-0.48394378649998326</c:v>
                </c:pt>
                <c:pt idx="1">
                  <c:v>-0.43052835752647517</c:v>
                </c:pt>
                <c:pt idx="2">
                  <c:v>-0.37711292855296702</c:v>
                </c:pt>
                <c:pt idx="3">
                  <c:v>-0.32369749957945898</c:v>
                </c:pt>
                <c:pt idx="4">
                  <c:v>-0.27028207060595089</c:v>
                </c:pt>
                <c:pt idx="5">
                  <c:v>-0.21686664163244279</c:v>
                </c:pt>
                <c:pt idx="6">
                  <c:v>-0.1634512126589347</c:v>
                </c:pt>
                <c:pt idx="7">
                  <c:v>-0.11003578368542663</c:v>
                </c:pt>
                <c:pt idx="8">
                  <c:v>-5.6620354711918564E-2</c:v>
                </c:pt>
                <c:pt idx="9">
                  <c:v>-3.2049257384104829E-3</c:v>
                </c:pt>
                <c:pt idx="10">
                  <c:v>0</c:v>
                </c:pt>
                <c:pt idx="11">
                  <c:v>5.0210503235097577E-2</c:v>
                </c:pt>
                <c:pt idx="12">
                  <c:v>0.10362593220860571</c:v>
                </c:pt>
                <c:pt idx="13">
                  <c:v>0.1570413611821137</c:v>
                </c:pt>
                <c:pt idx="14">
                  <c:v>0.2104567901556218</c:v>
                </c:pt>
                <c:pt idx="15">
                  <c:v>0.26387221912912978</c:v>
                </c:pt>
                <c:pt idx="16">
                  <c:v>0.31728764810263788</c:v>
                </c:pt>
                <c:pt idx="17">
                  <c:v>0.37070307707614603</c:v>
                </c:pt>
                <c:pt idx="18">
                  <c:v>0.42411850604965412</c:v>
                </c:pt>
                <c:pt idx="19">
                  <c:v>0.4775339350231621</c:v>
                </c:pt>
                <c:pt idx="20">
                  <c:v>0.53094936399667025</c:v>
                </c:pt>
                <c:pt idx="21">
                  <c:v>0.58436479297017829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1-451D-B0FA-F70DE1242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462735"/>
        <c:axId val="1193337472"/>
      </c:scatterChart>
      <c:valAx>
        <c:axId val="89646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Alpha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3337472"/>
        <c:crosses val="autoZero"/>
        <c:crossBetween val="midCat"/>
      </c:valAx>
      <c:valAx>
        <c:axId val="119333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CL_w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646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241716</xdr:colOff>
      <xdr:row>0</xdr:row>
      <xdr:rowOff>0</xdr:rowOff>
    </xdr:from>
    <xdr:to>
      <xdr:col>19</xdr:col>
      <xdr:colOff>299002</xdr:colOff>
      <xdr:row>30</xdr:row>
      <xdr:rowOff>111025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B891AC-6C48-DA91-CEE6-1C68A669C9D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274542</xdr:colOff>
      <xdr:row>38</xdr:row>
      <xdr:rowOff>1120</xdr:rowOff>
    </xdr:from>
    <xdr:to>
      <xdr:col>10</xdr:col>
      <xdr:colOff>658091</xdr:colOff>
      <xdr:row>61</xdr:row>
      <xdr:rowOff>155864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F3B827-7692-A765-9C8D-006F7DDBD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55D0-DAD8-433C-85A1-23B86486741D}">
  <dimension ref="A1:M62"/>
  <sheetViews>
    <sheetView tabSelected="1" zoomScale="70" zoomScaleNormal="70" workbookViewId="0">
      <selection activeCell="C11" sqref="C11"/>
    </sheetView>
  </sheetViews>
  <sheetFormatPr baseColWidth="10" defaultRowHeight="15" x14ac:dyDescent="0.25"/>
  <cols>
    <col min="1" max="1" width="20" customWidth="1"/>
  </cols>
  <sheetData>
    <row r="1" spans="2:11" x14ac:dyDescent="0.25">
      <c r="G1" s="22" t="s">
        <v>15</v>
      </c>
      <c r="H1" s="22"/>
      <c r="J1" s="22" t="s">
        <v>16</v>
      </c>
      <c r="K1" s="22"/>
    </row>
    <row r="2" spans="2:11" x14ac:dyDescent="0.25">
      <c r="B2" s="2" t="s">
        <v>3</v>
      </c>
      <c r="C2" s="2">
        <v>0.28170000000000001</v>
      </c>
      <c r="D2" t="s">
        <v>14</v>
      </c>
      <c r="G2" s="3" t="s">
        <v>1</v>
      </c>
      <c r="H2" s="3" t="s">
        <v>2</v>
      </c>
      <c r="J2" s="2" t="s">
        <v>1</v>
      </c>
      <c r="K2" s="2" t="s">
        <v>2</v>
      </c>
    </row>
    <row r="3" spans="2:11" x14ac:dyDescent="0.25">
      <c r="B3" s="2" t="s">
        <v>4</v>
      </c>
      <c r="C3" s="2">
        <v>3.55</v>
      </c>
      <c r="G3" s="2">
        <v>0</v>
      </c>
      <c r="H3" s="2">
        <v>0</v>
      </c>
      <c r="J3" s="2">
        <f>C9*1/4</f>
        <v>9.3898356793134061E-2</v>
      </c>
      <c r="K3" s="2">
        <v>0</v>
      </c>
    </row>
    <row r="4" spans="2:11" x14ac:dyDescent="0.25">
      <c r="B4" s="2" t="s">
        <v>5</v>
      </c>
      <c r="C4" s="2">
        <v>0.5</v>
      </c>
      <c r="G4" s="2">
        <f>(C8/2)*TAN(RADIANS(C5))</f>
        <v>-0.45305957062761837</v>
      </c>
      <c r="H4" s="2">
        <f>C8/2</f>
        <v>0.5000087499234388</v>
      </c>
      <c r="J4" s="2">
        <f>G4+C10*1/4</f>
        <v>-0.40611039223105133</v>
      </c>
      <c r="K4" s="2">
        <f>C8/2</f>
        <v>0.5000087499234388</v>
      </c>
    </row>
    <row r="5" spans="2:11" x14ac:dyDescent="0.25">
      <c r="B5" s="2" t="s">
        <v>6</v>
      </c>
      <c r="C5" s="2">
        <v>-42.179827470965165</v>
      </c>
      <c r="D5" t="s">
        <v>12</v>
      </c>
      <c r="G5" s="2">
        <f>G4+C10</f>
        <v>-0.26526285704135022</v>
      </c>
      <c r="H5" s="2">
        <f>H4</f>
        <v>0.5000087499234388</v>
      </c>
    </row>
    <row r="6" spans="2:11" x14ac:dyDescent="0.25">
      <c r="B6" s="2" t="s">
        <v>7</v>
      </c>
      <c r="C6" s="2">
        <v>4</v>
      </c>
      <c r="G6" s="2">
        <f>C9</f>
        <v>0.37559342717253624</v>
      </c>
      <c r="H6" s="2">
        <v>0</v>
      </c>
      <c r="J6">
        <f>J4-J3</f>
        <v>-0.50000874902418535</v>
      </c>
      <c r="K6">
        <f>K4</f>
        <v>0.5000087499234388</v>
      </c>
    </row>
    <row r="7" spans="2:11" x14ac:dyDescent="0.25">
      <c r="G7" s="2">
        <v>0</v>
      </c>
      <c r="H7" s="2">
        <v>0</v>
      </c>
    </row>
    <row r="8" spans="2:11" x14ac:dyDescent="0.25">
      <c r="B8" s="2" t="s">
        <v>0</v>
      </c>
      <c r="C8" s="2">
        <f>SQRT(C2*C3)</f>
        <v>1.0000174998468776</v>
      </c>
      <c r="D8" t="s">
        <v>13</v>
      </c>
    </row>
    <row r="9" spans="2:11" x14ac:dyDescent="0.25">
      <c r="B9" s="2" t="s">
        <v>8</v>
      </c>
      <c r="C9" s="2">
        <f>2*C2/(C8*(1+C4))</f>
        <v>0.37559342717253624</v>
      </c>
      <c r="D9" t="s">
        <v>13</v>
      </c>
    </row>
    <row r="10" spans="2:11" x14ac:dyDescent="0.25">
      <c r="B10" s="2" t="s">
        <v>9</v>
      </c>
      <c r="C10" s="2">
        <f>C9*C4</f>
        <v>0.18779671358626812</v>
      </c>
      <c r="D10" t="s">
        <v>13</v>
      </c>
    </row>
    <row r="11" spans="2:11" x14ac:dyDescent="0.25">
      <c r="B11" s="2" t="s">
        <v>10</v>
      </c>
      <c r="C11" s="2">
        <f>DEGREES(ATAN(K6/J6))-90</f>
        <v>-135.00000005152253</v>
      </c>
      <c r="D11" t="s">
        <v>12</v>
      </c>
    </row>
    <row r="12" spans="2:11" x14ac:dyDescent="0.25">
      <c r="B12" s="2" t="s">
        <v>11</v>
      </c>
      <c r="C12" s="2">
        <f>ABS(DEGREES(ATAN(K18/J18))-90)</f>
        <v>130.09393305709438</v>
      </c>
      <c r="D12" t="s">
        <v>12</v>
      </c>
      <c r="G12" s="22" t="s">
        <v>18</v>
      </c>
      <c r="H12" s="22"/>
    </row>
    <row r="13" spans="2:11" ht="15.75" thickBot="1" x14ac:dyDescent="0.3">
      <c r="G13" s="4" t="s">
        <v>1</v>
      </c>
      <c r="H13" s="4" t="s">
        <v>2</v>
      </c>
      <c r="J13" s="22" t="s">
        <v>17</v>
      </c>
      <c r="K13" s="22"/>
    </row>
    <row r="14" spans="2:11" x14ac:dyDescent="0.25">
      <c r="G14" s="5">
        <f>J3</f>
        <v>9.3898356793134061E-2</v>
      </c>
      <c r="H14" s="6">
        <f>K3</f>
        <v>0</v>
      </c>
      <c r="J14" s="2" t="s">
        <v>1</v>
      </c>
      <c r="K14" s="2" t="s">
        <v>2</v>
      </c>
    </row>
    <row r="15" spans="2:11" ht="15.75" thickBot="1" x14ac:dyDescent="0.3">
      <c r="G15" s="7">
        <v>1</v>
      </c>
      <c r="H15" s="8">
        <f>K3</f>
        <v>0</v>
      </c>
      <c r="J15" s="2">
        <f>C9*3/4</f>
        <v>0.28169507037940217</v>
      </c>
      <c r="K15" s="2">
        <v>0</v>
      </c>
    </row>
    <row r="16" spans="2:11" x14ac:dyDescent="0.25">
      <c r="G16" s="5">
        <f>(C9*1/4)+SLOPE(J3:J4,K3:K4)*H16</f>
        <v>-3.1103830462912305E-2</v>
      </c>
      <c r="H16" s="6">
        <f>((C8/2)/4)*1</f>
        <v>0.1250021874808597</v>
      </c>
      <c r="J16" s="2">
        <f>G4+C10*3/4</f>
        <v>-0.31221203543791731</v>
      </c>
      <c r="K16" s="2">
        <f>C8/2</f>
        <v>0.5000087499234388</v>
      </c>
    </row>
    <row r="17" spans="1:13" ht="15.75" thickBot="1" x14ac:dyDescent="0.3">
      <c r="G17" s="7">
        <v>1</v>
      </c>
      <c r="H17" s="8">
        <f>H16</f>
        <v>0.1250021874808597</v>
      </c>
    </row>
    <row r="18" spans="1:13" x14ac:dyDescent="0.25">
      <c r="G18" s="5">
        <f>(C9*1/4)+SLOPE(J3:J4,K3:K4)*H18</f>
        <v>-0.15610601771895866</v>
      </c>
      <c r="H18" s="6">
        <f>((C8/2)/4)*2</f>
        <v>0.2500043749617194</v>
      </c>
      <c r="J18">
        <f>J16-J15</f>
        <v>-0.59390710581731954</v>
      </c>
      <c r="K18">
        <f>K6</f>
        <v>0.5000087499234388</v>
      </c>
      <c r="M18" s="1"/>
    </row>
    <row r="19" spans="1:13" ht="15.75" thickBot="1" x14ac:dyDescent="0.3">
      <c r="G19" s="7">
        <v>1</v>
      </c>
      <c r="H19" s="8">
        <f>H18</f>
        <v>0.2500043749617194</v>
      </c>
    </row>
    <row r="20" spans="1:13" x14ac:dyDescent="0.25">
      <c r="G20" s="5">
        <f>(C9*1/4)+SLOPE(J3:J4,K3:K4)*H20</f>
        <v>-0.28110820497500505</v>
      </c>
      <c r="H20" s="6">
        <f>((C8/2)/4)*3</f>
        <v>0.37500656244257913</v>
      </c>
    </row>
    <row r="21" spans="1:13" ht="15.75" thickBot="1" x14ac:dyDescent="0.3">
      <c r="G21" s="7">
        <v>1</v>
      </c>
      <c r="H21" s="8">
        <f>H20</f>
        <v>0.37500656244257913</v>
      </c>
    </row>
    <row r="22" spans="1:13" x14ac:dyDescent="0.25">
      <c r="G22" s="5">
        <f>J4</f>
        <v>-0.40611039223105133</v>
      </c>
      <c r="H22" s="6">
        <f>K4</f>
        <v>0.5000087499234388</v>
      </c>
    </row>
    <row r="23" spans="1:13" ht="15.75" thickBot="1" x14ac:dyDescent="0.3">
      <c r="G23" s="7">
        <v>1</v>
      </c>
      <c r="H23" s="8">
        <f>H22</f>
        <v>0.5000087499234388</v>
      </c>
    </row>
    <row r="24" spans="1:13" x14ac:dyDescent="0.25">
      <c r="J24" s="22" t="s">
        <v>19</v>
      </c>
      <c r="K24" s="22"/>
    </row>
    <row r="25" spans="1:13" x14ac:dyDescent="0.25">
      <c r="J25" s="3" t="s">
        <v>1</v>
      </c>
      <c r="K25" s="3" t="s">
        <v>2</v>
      </c>
    </row>
    <row r="26" spans="1:13" x14ac:dyDescent="0.25">
      <c r="A26" s="10" t="s">
        <v>20</v>
      </c>
      <c r="B26" s="11" t="s">
        <v>21</v>
      </c>
      <c r="C26" s="11" t="s">
        <v>22</v>
      </c>
      <c r="D26" s="11" t="s">
        <v>23</v>
      </c>
      <c r="E26" s="11" t="s">
        <v>24</v>
      </c>
      <c r="F26" s="11" t="s">
        <v>25</v>
      </c>
      <c r="G26" s="12" t="s">
        <v>26</v>
      </c>
      <c r="J26" s="2">
        <f>SLOPE(J15:J16,K15:K16)*K26+((C9*3/4)*1)</f>
        <v>0.20745668215223723</v>
      </c>
      <c r="K26" s="2">
        <f>((H16-H14)/2)*1</f>
        <v>6.250109374042985E-2</v>
      </c>
    </row>
    <row r="27" spans="1:13" x14ac:dyDescent="0.25">
      <c r="A27" s="4">
        <v>1</v>
      </c>
      <c r="B27" s="13">
        <f t="shared" ref="B27:C30" si="0">J26</f>
        <v>0.20745668215223723</v>
      </c>
      <c r="C27" s="13">
        <f t="shared" si="0"/>
        <v>6.250109374042985E-2</v>
      </c>
      <c r="D27" s="13">
        <f>G14</f>
        <v>9.3898356793134061E-2</v>
      </c>
      <c r="E27" s="13">
        <f>H14</f>
        <v>0</v>
      </c>
      <c r="F27" s="13">
        <f>G16</f>
        <v>-3.1103830462912305E-2</v>
      </c>
      <c r="G27" s="14">
        <f>H16</f>
        <v>0.1250021874808597</v>
      </c>
      <c r="J27" s="2">
        <f>SLOPE(J15:J16,K15:K16)*K27+((C9*3/4))</f>
        <v>5.8979905697907314E-2</v>
      </c>
      <c r="K27" s="2">
        <f>((H16-H14)/2)*3</f>
        <v>0.18750328122128956</v>
      </c>
    </row>
    <row r="28" spans="1:13" x14ac:dyDescent="0.25">
      <c r="A28" s="9">
        <v>2</v>
      </c>
      <c r="B28" s="15">
        <f t="shared" si="0"/>
        <v>5.8979905697907314E-2</v>
      </c>
      <c r="C28" s="15">
        <f t="shared" si="0"/>
        <v>0.18750328122128956</v>
      </c>
      <c r="D28" s="15">
        <f>G16</f>
        <v>-3.1103830462912305E-2</v>
      </c>
      <c r="E28" s="15">
        <f>H16</f>
        <v>0.1250021874808597</v>
      </c>
      <c r="F28" s="15">
        <f>G18</f>
        <v>-0.15610601771895866</v>
      </c>
      <c r="G28" s="16">
        <f>H18</f>
        <v>0.2500043749617194</v>
      </c>
      <c r="J28" s="2">
        <f>SLOPE(J15:J16,K15:K16)*K28+((C9*3/4)*1)</f>
        <v>-8.9496870756422542E-2</v>
      </c>
      <c r="K28" s="2">
        <f>((H16-H14)/2)*5</f>
        <v>0.31250546870214924</v>
      </c>
    </row>
    <row r="29" spans="1:13" x14ac:dyDescent="0.25">
      <c r="A29" s="9">
        <v>3</v>
      </c>
      <c r="B29" s="15">
        <f t="shared" si="0"/>
        <v>-8.9496870756422542E-2</v>
      </c>
      <c r="C29" s="15">
        <f t="shared" si="0"/>
        <v>0.31250546870214924</v>
      </c>
      <c r="D29" s="15">
        <f>G18</f>
        <v>-0.15610601771895866</v>
      </c>
      <c r="E29" s="15">
        <f>H18</f>
        <v>0.2500043749617194</v>
      </c>
      <c r="F29" s="15">
        <f>G20</f>
        <v>-0.28110820497500505</v>
      </c>
      <c r="G29" s="16">
        <f>H20</f>
        <v>0.37500656244257913</v>
      </c>
      <c r="J29" s="2">
        <f>SLOPE(J15:J16,K15:K16)*K29+((C9*3/4)*1)</f>
        <v>-0.23797364721075248</v>
      </c>
      <c r="K29" s="2">
        <f>((H16-H14)/2)*7</f>
        <v>0.43750765618300896</v>
      </c>
    </row>
    <row r="30" spans="1:13" x14ac:dyDescent="0.25">
      <c r="A30" s="19">
        <v>4</v>
      </c>
      <c r="B30" s="17">
        <f t="shared" si="0"/>
        <v>-0.23797364721075248</v>
      </c>
      <c r="C30" s="17">
        <f t="shared" si="0"/>
        <v>0.43750765618300896</v>
      </c>
      <c r="D30" s="17">
        <f>G20</f>
        <v>-0.28110820497500505</v>
      </c>
      <c r="E30" s="17">
        <f>H20</f>
        <v>0.37500656244257913</v>
      </c>
      <c r="F30" s="17">
        <f>G22</f>
        <v>-0.40611039223105133</v>
      </c>
      <c r="G30" s="18">
        <f>H22</f>
        <v>0.5000087499234388</v>
      </c>
    </row>
    <row r="33" spans="1:7" x14ac:dyDescent="0.25">
      <c r="A33" s="21" t="s">
        <v>27</v>
      </c>
      <c r="B33" s="21"/>
      <c r="C33" s="21"/>
      <c r="D33" s="21"/>
      <c r="F33" s="20" t="s">
        <v>20</v>
      </c>
      <c r="G33" s="20" t="s">
        <v>28</v>
      </c>
    </row>
    <row r="34" spans="1:7" x14ac:dyDescent="0.25">
      <c r="A34">
        <v>-46.599386160731797</v>
      </c>
      <c r="B34">
        <v>24.467846086122311</v>
      </c>
      <c r="C34">
        <v>5.5853915678728834</v>
      </c>
      <c r="D34">
        <v>2.5563800957668139</v>
      </c>
      <c r="F34">
        <v>1</v>
      </c>
      <c r="G34">
        <v>4.6826348447593071E-2</v>
      </c>
    </row>
    <row r="35" spans="1:7" x14ac:dyDescent="0.25">
      <c r="A35">
        <v>17.73601343714607</v>
      </c>
      <c r="B35">
        <v>-65.737550115805632</v>
      </c>
      <c r="C35">
        <v>21.330751662945609</v>
      </c>
      <c r="D35">
        <v>4.4537508075807786</v>
      </c>
      <c r="F35">
        <v>2</v>
      </c>
      <c r="G35">
        <v>3.9172466768132463E-2</v>
      </c>
    </row>
    <row r="36" spans="1:7" x14ac:dyDescent="0.25">
      <c r="A36">
        <v>1.8755087476684551</v>
      </c>
      <c r="B36">
        <v>14.37763200293292</v>
      </c>
      <c r="C36">
        <v>-67.909010871608771</v>
      </c>
      <c r="D36">
        <v>20.737459508218649</v>
      </c>
      <c r="F36">
        <v>3</v>
      </c>
      <c r="G36">
        <v>3.060460325461423E-2</v>
      </c>
    </row>
    <row r="37" spans="1:7" x14ac:dyDescent="0.25">
      <c r="A37">
        <v>0.64652787278045254</v>
      </c>
      <c r="B37">
        <v>1.357367270394503</v>
      </c>
      <c r="C37">
        <v>12.055473085967339</v>
      </c>
      <c r="D37">
        <v>-70.487290820628786</v>
      </c>
      <c r="F37">
        <v>4</v>
      </c>
      <c r="G37">
        <v>2.060511785425621E-2</v>
      </c>
    </row>
    <row r="40" spans="1:7" x14ac:dyDescent="0.25">
      <c r="A40" s="20" t="s">
        <v>29</v>
      </c>
      <c r="B40" s="20" t="s">
        <v>30</v>
      </c>
    </row>
    <row r="41" spans="1:7" x14ac:dyDescent="0.25">
      <c r="A41">
        <v>-10</v>
      </c>
      <c r="B41">
        <f t="shared" ref="B41:B49" si="1">FORECAST(A41,B42:B46,A42:A46)</f>
        <v>-0.48394378649998326</v>
      </c>
    </row>
    <row r="42" spans="1:7" x14ac:dyDescent="0.25">
      <c r="A42">
        <v>-9</v>
      </c>
      <c r="B42">
        <f t="shared" si="1"/>
        <v>-0.43052835752647517</v>
      </c>
    </row>
    <row r="43" spans="1:7" x14ac:dyDescent="0.25">
      <c r="A43">
        <v>-8</v>
      </c>
      <c r="B43">
        <f t="shared" si="1"/>
        <v>-0.37711292855296702</v>
      </c>
    </row>
    <row r="44" spans="1:7" x14ac:dyDescent="0.25">
      <c r="A44">
        <v>-7</v>
      </c>
      <c r="B44">
        <f t="shared" si="1"/>
        <v>-0.32369749957945898</v>
      </c>
    </row>
    <row r="45" spans="1:7" x14ac:dyDescent="0.25">
      <c r="A45">
        <v>-6</v>
      </c>
      <c r="B45">
        <f t="shared" si="1"/>
        <v>-0.27028207060595089</v>
      </c>
    </row>
    <row r="46" spans="1:7" x14ac:dyDescent="0.25">
      <c r="A46">
        <v>-5</v>
      </c>
      <c r="B46">
        <f t="shared" si="1"/>
        <v>-0.21686664163244279</v>
      </c>
    </row>
    <row r="47" spans="1:7" x14ac:dyDescent="0.25">
      <c r="A47">
        <v>-4</v>
      </c>
      <c r="B47">
        <f t="shared" si="1"/>
        <v>-0.1634512126589347</v>
      </c>
    </row>
    <row r="48" spans="1:7" x14ac:dyDescent="0.25">
      <c r="A48">
        <v>-3</v>
      </c>
      <c r="B48">
        <f t="shared" si="1"/>
        <v>-0.11003578368542663</v>
      </c>
    </row>
    <row r="49" spans="1:2" x14ac:dyDescent="0.25">
      <c r="A49">
        <v>-2</v>
      </c>
      <c r="B49">
        <f t="shared" si="1"/>
        <v>-5.6620354711918564E-2</v>
      </c>
    </row>
    <row r="50" spans="1:2" x14ac:dyDescent="0.25">
      <c r="A50">
        <v>-1</v>
      </c>
      <c r="B50">
        <f>FORECAST(A50,B51:B55,A51:A55)</f>
        <v>-3.2049257384104829E-3</v>
      </c>
    </row>
    <row r="51" spans="1:2" x14ac:dyDescent="0.25">
      <c r="A51">
        <v>-0.94</v>
      </c>
      <c r="B51">
        <v>0</v>
      </c>
    </row>
    <row r="52" spans="1:2" x14ac:dyDescent="0.25">
      <c r="A52">
        <v>0</v>
      </c>
      <c r="B52">
        <v>5.0210503235097577E-2</v>
      </c>
    </row>
    <row r="53" spans="1:2" x14ac:dyDescent="0.25">
      <c r="A53">
        <v>1</v>
      </c>
      <c r="B53">
        <v>0.10362593220860571</v>
      </c>
    </row>
    <row r="54" spans="1:2" x14ac:dyDescent="0.25">
      <c r="A54">
        <v>2</v>
      </c>
      <c r="B54">
        <v>0.1570413611821137</v>
      </c>
    </row>
    <row r="55" spans="1:2" x14ac:dyDescent="0.25">
      <c r="A55">
        <v>3</v>
      </c>
      <c r="B55">
        <v>0.2104567901556218</v>
      </c>
    </row>
    <row r="56" spans="1:2" x14ac:dyDescent="0.25">
      <c r="A56">
        <v>4</v>
      </c>
      <c r="B56">
        <v>0.26387221912912978</v>
      </c>
    </row>
    <row r="57" spans="1:2" x14ac:dyDescent="0.25">
      <c r="A57">
        <v>5</v>
      </c>
      <c r="B57">
        <v>0.31728764810263788</v>
      </c>
    </row>
    <row r="58" spans="1:2" x14ac:dyDescent="0.25">
      <c r="A58">
        <v>6</v>
      </c>
      <c r="B58">
        <v>0.37070307707614603</v>
      </c>
    </row>
    <row r="59" spans="1:2" x14ac:dyDescent="0.25">
      <c r="A59">
        <v>7</v>
      </c>
      <c r="B59">
        <v>0.42411850604965412</v>
      </c>
    </row>
    <row r="60" spans="1:2" x14ac:dyDescent="0.25">
      <c r="A60">
        <v>8</v>
      </c>
      <c r="B60">
        <v>0.4775339350231621</v>
      </c>
    </row>
    <row r="61" spans="1:2" x14ac:dyDescent="0.25">
      <c r="A61">
        <v>9</v>
      </c>
      <c r="B61">
        <v>0.53094936399667025</v>
      </c>
    </row>
    <row r="62" spans="1:2" x14ac:dyDescent="0.25">
      <c r="A62">
        <v>10</v>
      </c>
      <c r="B62">
        <v>0.58436479297017829</v>
      </c>
    </row>
  </sheetData>
  <mergeCells count="6">
    <mergeCell ref="A33:D33"/>
    <mergeCell ref="G1:H1"/>
    <mergeCell ref="J13:K13"/>
    <mergeCell ref="J1:K1"/>
    <mergeCell ref="G12:H12"/>
    <mergeCell ref="J24:K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2024-09-11T16:23:22Z</dcterms:created>
  <dcterms:modified xsi:type="dcterms:W3CDTF">2024-09-20T05:40:07Z</dcterms:modified>
</cp:coreProperties>
</file>