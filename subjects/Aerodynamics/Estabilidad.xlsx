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a\OneDrive\Documentos\Universidad\2024-2\Aerodinámica\"/>
    </mc:Choice>
  </mc:AlternateContent>
  <xr:revisionPtr revIDLastSave="0" documentId="13_ncr:1_{0A7B837D-5FDF-4601-B41D-141FA8D176AE}" xr6:coauthVersionLast="47" xr6:coauthVersionMax="47" xr10:uidLastSave="{00000000-0000-0000-0000-000000000000}"/>
  <bookViews>
    <workbookView xWindow="14295" yWindow="0" windowWidth="14610" windowHeight="15585" activeTab="1" xr2:uid="{2193BB72-1A2D-4CD7-8CD1-17E96B6071C5}"/>
  </bookViews>
  <sheets>
    <sheet name="Hoja1" sheetId="1" r:id="rId1"/>
    <sheet name="Hoja2" sheetId="2" r:id="rId2"/>
  </sheets>
  <definedNames>
    <definedName name="_xlchart.v1.0" hidden="1">Hoja2!$A$34:$A$35</definedName>
    <definedName name="_xlchart.v1.1" hidden="1">Hoja2!$B$34:$B$35</definedName>
    <definedName name="_xlchart.v1.2" hidden="1">Hoja2!$A$34:$A$35</definedName>
    <definedName name="_xlchart.v1.3" hidden="1">Hoja2!$B$34:$B$35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2" l="1"/>
  <c r="B49" i="2"/>
  <c r="A54" i="2"/>
  <c r="B28" i="2"/>
  <c r="A52" i="2"/>
  <c r="C50" i="2"/>
  <c r="B50" i="2"/>
  <c r="C47" i="2"/>
  <c r="B47" i="2"/>
  <c r="B45" i="2"/>
  <c r="B42" i="2"/>
  <c r="B4" i="2"/>
  <c r="B9" i="2"/>
  <c r="B14" i="2"/>
  <c r="B26" i="2"/>
  <c r="E21" i="2"/>
  <c r="E25" i="2" s="1"/>
  <c r="B24" i="2" l="1"/>
  <c r="B31" i="1" l="1"/>
  <c r="D26" i="1"/>
  <c r="D25" i="1"/>
  <c r="E19" i="1"/>
  <c r="B26" i="1" s="1"/>
  <c r="B19" i="1"/>
  <c r="B25" i="1" s="1"/>
  <c r="J15" i="1"/>
  <c r="F11" i="1"/>
  <c r="B6" i="1"/>
  <c r="B8" i="1"/>
  <c r="B22" i="2" l="1"/>
  <c r="B35" i="2" s="1"/>
  <c r="G25" i="1" a="1"/>
  <c r="G25" i="1" s="1"/>
  <c r="B28" i="1" s="1" a="1"/>
  <c r="B28" i="1" s="1"/>
  <c r="B34" i="2" l="1"/>
  <c r="A35" i="2" l="1"/>
  <c r="B3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<sst xmlns="http://schemas.openxmlformats.org/spreadsheetml/2006/main" count="70" uniqueCount="54">
  <si>
    <t>CM,ac_wb</t>
  </si>
  <si>
    <t>awb</t>
  </si>
  <si>
    <t>α geo</t>
  </si>
  <si>
    <t>α L=0</t>
  </si>
  <si>
    <t>h</t>
  </si>
  <si>
    <t>h_ac_wb</t>
  </si>
  <si>
    <t>CM,cgwb</t>
  </si>
  <si>
    <t>αwb</t>
  </si>
  <si>
    <t>Con slope y alpha</t>
  </si>
  <si>
    <t>Con CL,wb</t>
  </si>
  <si>
    <t>CL,wb</t>
  </si>
  <si>
    <t>(h-h_ac_wb)</t>
  </si>
  <si>
    <t>α1</t>
  </si>
  <si>
    <t>α2</t>
  </si>
  <si>
    <t>CM,cg</t>
  </si>
  <si>
    <t>CM,cg 1</t>
  </si>
  <si>
    <t>CM,cg 2</t>
  </si>
  <si>
    <t>awb [1/deg]</t>
  </si>
  <si>
    <t>αwb 1</t>
  </si>
  <si>
    <t>αwb 2</t>
  </si>
  <si>
    <t>CM,acwb</t>
  </si>
  <si>
    <t>hac,wb</t>
  </si>
  <si>
    <t>C</t>
  </si>
  <si>
    <t>MINV</t>
  </si>
  <si>
    <t>(h-hacwb)</t>
  </si>
  <si>
    <t>hacwb</t>
  </si>
  <si>
    <t>S</t>
  </si>
  <si>
    <t>lt</t>
  </si>
  <si>
    <t>St</t>
  </si>
  <si>
    <t>C mean</t>
  </si>
  <si>
    <t>VH</t>
  </si>
  <si>
    <t>at/awb</t>
  </si>
  <si>
    <t>at</t>
  </si>
  <si>
    <t>it</t>
  </si>
  <si>
    <t>ε0</t>
  </si>
  <si>
    <r>
      <rPr>
        <sz val="11"/>
        <color theme="1"/>
        <rFont val="Aptos Narrow"/>
        <family val="2"/>
      </rPr>
      <t>∂ε</t>
    </r>
    <r>
      <rPr>
        <sz val="11"/>
        <color theme="1"/>
        <rFont val="Aptos Narrow"/>
        <family val="2"/>
        <scheme val="minor"/>
      </rPr>
      <t>/∂</t>
    </r>
    <r>
      <rPr>
        <sz val="11"/>
        <color theme="1"/>
        <rFont val="Aptos Narrow"/>
        <family val="2"/>
      </rPr>
      <t>α</t>
    </r>
  </si>
  <si>
    <t>CM,0</t>
  </si>
  <si>
    <t>∂CM,g/∂αa</t>
  </si>
  <si>
    <t>αeq</t>
  </si>
  <si>
    <t>αgeo</t>
  </si>
  <si>
    <t>αL=0</t>
  </si>
  <si>
    <r>
      <rPr>
        <sz val="11"/>
        <color theme="1"/>
        <rFont val="Aptos Narrow"/>
        <family val="2"/>
      </rPr>
      <t>α</t>
    </r>
    <r>
      <rPr>
        <sz val="13.3"/>
        <color theme="1"/>
        <rFont val="Aptos Narrow"/>
        <family val="2"/>
      </rPr>
      <t>geo</t>
    </r>
  </si>
  <si>
    <t>CM</t>
  </si>
  <si>
    <t>Alpha</t>
  </si>
  <si>
    <t>P</t>
  </si>
  <si>
    <t>T</t>
  </si>
  <si>
    <t>R</t>
  </si>
  <si>
    <t xml:space="preserve">rho </t>
  </si>
  <si>
    <t>V</t>
  </si>
  <si>
    <t>knots</t>
  </si>
  <si>
    <t>q</t>
  </si>
  <si>
    <t>L</t>
  </si>
  <si>
    <t>CL</t>
  </si>
  <si>
    <t>CLt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</si>
</sst>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3.3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CM</a:t>
            </a:r>
            <a:r>
              <a:rPr lang="es-CO" baseline="0"/>
              <a:t> vs 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Hoja2!$A$34:$A$35</c:f>
              <c:numCache>
                <c:formatCode>General</c:formatCode>
                <c:ptCount val="2"/>
                <c:pt idx="0">
                  <c:v>0</c:v>
                </c:pt>
                <c:pt idx="1">
                  <c:v>2.342458003935453</c:v>
                </c:pt>
              </c:numCache>
            </c:numRef>
          </c:xVal>
          <c:yVal>
            <c:numRef>
              <c:f>Hoja2!$B$34:$B$35</c:f>
              <c:numCache>
                <c:formatCode>General</c:formatCode>
                <c:ptCount val="2"/>
                <c:pt idx="0">
                  <c:v>6.2057467125118462E-2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8C-4FDC-B1A9-1A5E3DED0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316432"/>
        <c:axId val="2071306832"/>
      </c:scatterChart>
      <c:valAx>
        <c:axId val="207131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1306832"/>
        <c:crosses val="autoZero"/>
        <c:crossBetween val="midCat"/>
      </c:valAx>
      <c:valAx>
        <c:axId val="207130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131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675104</xdr:colOff>
      <xdr:row>1</xdr:row>
      <xdr:rowOff>18171</xdr:rowOff>
    </xdr:from>
    <xdr:to>
      <xdr:col>8</xdr:col>
      <xdr:colOff>665658</xdr:colOff>
      <xdr:row>15</xdr:row>
      <xdr:rowOff>70324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4B4E76-B0D0-03AE-370C-97C2F66A5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5628-E859-44E8-8D79-CD771EC4A0B1}">
  <dimension ref="A1:J31"/>
  <sheetViews>
    <sheetView workbookViewId="0">
      <selection activeCell="D22" sqref="D22"/>
    </sheetView>
  </sheetViews>
  <sheetFormatPr baseColWidth="10" defaultRowHeight="15" x14ac:dyDescent="0.25"/>
  <cols>
    <col min="1" max="1" width="12.5703125" customWidth="1"/>
  </cols>
  <sheetData>
    <row r="1" spans="1:10" x14ac:dyDescent="0.25">
      <c r="A1" s="2" t="s">
        <v>9</v>
      </c>
      <c r="B1" s="2"/>
      <c r="E1" s="2" t="s">
        <v>8</v>
      </c>
      <c r="F1" s="2"/>
    </row>
    <row r="2" spans="1:10" x14ac:dyDescent="0.25">
      <c r="A2" s="3" t="s">
        <v>0</v>
      </c>
      <c r="B2" s="3">
        <v>-1.6E-2</v>
      </c>
      <c r="E2" s="3" t="s">
        <v>0</v>
      </c>
      <c r="F2" s="3"/>
    </row>
    <row r="3" spans="1:10" x14ac:dyDescent="0.25">
      <c r="A3" s="3" t="s">
        <v>10</v>
      </c>
      <c r="B3" s="3">
        <v>0.45</v>
      </c>
      <c r="E3" s="3" t="s">
        <v>1</v>
      </c>
      <c r="F3" s="3"/>
    </row>
    <row r="4" spans="1:10" x14ac:dyDescent="0.25">
      <c r="A4" s="4" t="s">
        <v>4</v>
      </c>
      <c r="B4" s="3">
        <v>0.3</v>
      </c>
      <c r="E4" s="4" t="s">
        <v>2</v>
      </c>
      <c r="F4" s="3"/>
    </row>
    <row r="5" spans="1:10" x14ac:dyDescent="0.25">
      <c r="A5" s="4" t="s">
        <v>5</v>
      </c>
      <c r="B5" s="3">
        <v>0.25</v>
      </c>
      <c r="E5" s="4" t="s">
        <v>3</v>
      </c>
      <c r="F5" s="3"/>
    </row>
    <row r="6" spans="1:10" x14ac:dyDescent="0.25">
      <c r="A6" s="4" t="s">
        <v>11</v>
      </c>
      <c r="B6" s="3">
        <f>B4-B5</f>
        <v>4.9999999999999989E-2</v>
      </c>
      <c r="E6" s="4" t="s">
        <v>7</v>
      </c>
      <c r="F6" s="3"/>
    </row>
    <row r="7" spans="1:10" x14ac:dyDescent="0.25">
      <c r="A7" s="3"/>
      <c r="B7" s="3"/>
      <c r="E7" s="4" t="s">
        <v>4</v>
      </c>
      <c r="F7" s="3"/>
    </row>
    <row r="8" spans="1:10" x14ac:dyDescent="0.25">
      <c r="A8" s="3" t="s">
        <v>6</v>
      </c>
      <c r="B8" s="3">
        <f>B2+B3*B6</f>
        <v>6.4999999999999954E-3</v>
      </c>
      <c r="E8" s="4" t="s">
        <v>5</v>
      </c>
      <c r="F8" s="3"/>
    </row>
    <row r="9" spans="1:10" x14ac:dyDescent="0.25">
      <c r="E9" s="4" t="s">
        <v>11</v>
      </c>
      <c r="F9" s="3"/>
    </row>
    <row r="10" spans="1:10" x14ac:dyDescent="0.25">
      <c r="E10" s="3"/>
      <c r="F10" s="3"/>
    </row>
    <row r="11" spans="1:10" x14ac:dyDescent="0.25">
      <c r="E11" s="3" t="s">
        <v>6</v>
      </c>
      <c r="F11" s="3">
        <f>F2+F3*F6*F9</f>
        <v>0</v>
      </c>
    </row>
    <row r="15" spans="1:10" x14ac:dyDescent="0.25">
      <c r="A15" s="4" t="s">
        <v>3</v>
      </c>
      <c r="B15" s="3">
        <v>-1.5</v>
      </c>
      <c r="D15" s="4" t="s">
        <v>2</v>
      </c>
      <c r="E15" s="3">
        <v>5</v>
      </c>
      <c r="F15" s="3" t="s">
        <v>10</v>
      </c>
      <c r="G15" s="3">
        <v>0.52</v>
      </c>
      <c r="I15" s="3" t="s">
        <v>17</v>
      </c>
      <c r="J15" s="3">
        <f>(G15-0)/(E15-B15)</f>
        <v>0.08</v>
      </c>
    </row>
    <row r="17" spans="1:8" x14ac:dyDescent="0.25">
      <c r="A17" s="4" t="s">
        <v>12</v>
      </c>
      <c r="B17" s="3">
        <v>1</v>
      </c>
      <c r="D17" s="4" t="s">
        <v>13</v>
      </c>
      <c r="E17" s="3">
        <v>7.88</v>
      </c>
    </row>
    <row r="18" spans="1:8" x14ac:dyDescent="0.25">
      <c r="A18" s="3" t="s">
        <v>15</v>
      </c>
      <c r="B18" s="3">
        <v>-0.01</v>
      </c>
      <c r="D18" s="3" t="s">
        <v>16</v>
      </c>
      <c r="E18" s="3">
        <v>0.05</v>
      </c>
    </row>
    <row r="19" spans="1:8" x14ac:dyDescent="0.25">
      <c r="A19" s="4" t="s">
        <v>18</v>
      </c>
      <c r="B19" s="3">
        <f>B17-B15</f>
        <v>2.5</v>
      </c>
      <c r="D19" s="4" t="s">
        <v>19</v>
      </c>
      <c r="E19" s="3">
        <f>E17-B15</f>
        <v>9.379999999999999</v>
      </c>
    </row>
    <row r="21" spans="1:8" x14ac:dyDescent="0.25">
      <c r="A21" s="3" t="s">
        <v>4</v>
      </c>
      <c r="B21" s="3">
        <v>0.35</v>
      </c>
    </row>
    <row r="24" spans="1:8" x14ac:dyDescent="0.25">
      <c r="A24" t="s">
        <v>20</v>
      </c>
      <c r="B24" t="s">
        <v>24</v>
      </c>
      <c r="D24" t="s">
        <v>22</v>
      </c>
      <c r="G24" s="1" t="s">
        <v>23</v>
      </c>
      <c r="H24" s="1"/>
    </row>
    <row r="25" spans="1:8" x14ac:dyDescent="0.25">
      <c r="A25">
        <v>1</v>
      </c>
      <c r="B25">
        <f>$J$15*B19</f>
        <v>0.2</v>
      </c>
      <c r="D25">
        <f>B18</f>
        <v>-0.01</v>
      </c>
      <c r="G25" cm="1">
        <f t="array" ref="G25:H26">MINVERSE(A25:B26)</f>
        <v>1.3633720930232558</v>
      </c>
      <c r="H25">
        <v>-0.36337209302325579</v>
      </c>
    </row>
    <row r="26" spans="1:8" x14ac:dyDescent="0.25">
      <c r="A26">
        <v>1</v>
      </c>
      <c r="B26">
        <f>$J$15*E19</f>
        <v>0.75039999999999996</v>
      </c>
      <c r="D26">
        <f>E18</f>
        <v>0.05</v>
      </c>
      <c r="G26">
        <v>-1.816860465116279</v>
      </c>
      <c r="H26">
        <v>1.816860465116279</v>
      </c>
    </row>
    <row r="28" spans="1:8" x14ac:dyDescent="0.25">
      <c r="A28" s="3" t="s">
        <v>20</v>
      </c>
      <c r="B28" s="3" cm="1">
        <f t="array" ref="B28:B29">MMULT(G25:H26,D25:D26)</f>
        <v>-3.1802325581395348E-2</v>
      </c>
    </row>
    <row r="29" spans="1:8" x14ac:dyDescent="0.25">
      <c r="A29" t="s">
        <v>24</v>
      </c>
      <c r="B29">
        <v>0.10901162790697674</v>
      </c>
    </row>
    <row r="31" spans="1:8" x14ac:dyDescent="0.25">
      <c r="A31" s="3" t="s">
        <v>25</v>
      </c>
      <c r="B31" s="3">
        <f>B21-B29</f>
        <v>0.24098837209302323</v>
      </c>
    </row>
  </sheetData>
  <mergeCells count="3">
    <mergeCell ref="E1:F1"/>
    <mergeCell ref="A1:B1"/>
    <mergeCell ref="G24:H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324A-EC93-4E4E-9E01-F12D97E0E9AC}">
  <dimension ref="A1:E54"/>
  <sheetViews>
    <sheetView tabSelected="1" topLeftCell="A19" zoomScale="115" workbookViewId="0">
      <selection activeCell="B47" sqref="B47"/>
    </sheetView>
  </sheetViews>
  <sheetFormatPr baseColWidth="10" defaultRowHeight="15" x14ac:dyDescent="0.25"/>
  <cols>
    <col min="1" max="1" width="14.5703125" customWidth="1"/>
    <col min="2" max="2" width="11.42578125" customWidth="1"/>
  </cols>
  <sheetData>
    <row r="1" spans="1:2" x14ac:dyDescent="0.25">
      <c r="A1" s="3" t="s">
        <v>20</v>
      </c>
      <c r="B1" s="3">
        <v>-0.02</v>
      </c>
    </row>
    <row r="2" spans="1:2" x14ac:dyDescent="0.25">
      <c r="A2" s="3" t="s">
        <v>1</v>
      </c>
      <c r="B2" s="3">
        <v>0.10655000000000001</v>
      </c>
    </row>
    <row r="3" spans="1:2" ht="18" x14ac:dyDescent="0.3">
      <c r="A3" s="4" t="s">
        <v>41</v>
      </c>
      <c r="B3" s="6">
        <v>0.89245800393545471</v>
      </c>
    </row>
    <row r="4" spans="1:2" x14ac:dyDescent="0.25">
      <c r="A4" s="4" t="s">
        <v>7</v>
      </c>
      <c r="B4" s="6">
        <f>B3-B7</f>
        <v>2.3424580039354548</v>
      </c>
    </row>
    <row r="5" spans="1:2" x14ac:dyDescent="0.25">
      <c r="A5" s="4" t="s">
        <v>4</v>
      </c>
      <c r="B5" s="3">
        <v>0.22889999999999999</v>
      </c>
    </row>
    <row r="6" spans="1:2" x14ac:dyDescent="0.25">
      <c r="A6" s="4" t="s">
        <v>21</v>
      </c>
      <c r="B6" s="3">
        <v>0.25</v>
      </c>
    </row>
    <row r="7" spans="1:2" x14ac:dyDescent="0.25">
      <c r="A7" s="5" t="s">
        <v>40</v>
      </c>
      <c r="B7" s="3">
        <v>-1.45</v>
      </c>
    </row>
    <row r="9" spans="1:2" x14ac:dyDescent="0.25">
      <c r="A9" s="3" t="s">
        <v>28</v>
      </c>
      <c r="B9" s="3">
        <f>0.45*0.18*2</f>
        <v>0.16200000000000001</v>
      </c>
    </row>
    <row r="10" spans="1:2" x14ac:dyDescent="0.25">
      <c r="A10" s="3" t="s">
        <v>27</v>
      </c>
      <c r="B10" s="3">
        <v>1.02</v>
      </c>
    </row>
    <row r="11" spans="1:2" x14ac:dyDescent="0.25">
      <c r="A11" s="3" t="s">
        <v>26</v>
      </c>
      <c r="B11" s="3">
        <v>1.1673</v>
      </c>
    </row>
    <row r="12" spans="1:2" x14ac:dyDescent="0.25">
      <c r="A12" s="3" t="s">
        <v>29</v>
      </c>
      <c r="B12" s="3">
        <v>0.30145454545454542</v>
      </c>
    </row>
    <row r="14" spans="1:2" x14ac:dyDescent="0.25">
      <c r="A14" s="3" t="s">
        <v>30</v>
      </c>
      <c r="B14" s="3">
        <f>(B9*B10)/(B11*B12)</f>
        <v>0.46958137596922656</v>
      </c>
    </row>
    <row r="16" spans="1:2" x14ac:dyDescent="0.25">
      <c r="A16" s="3" t="s">
        <v>31</v>
      </c>
      <c r="B16" s="3"/>
    </row>
    <row r="17" spans="1:5" x14ac:dyDescent="0.25">
      <c r="A17" s="3" t="s">
        <v>35</v>
      </c>
      <c r="B17" s="3">
        <v>0.35</v>
      </c>
    </row>
    <row r="18" spans="1:5" x14ac:dyDescent="0.25">
      <c r="A18" s="3" t="s">
        <v>32</v>
      </c>
      <c r="B18" s="3">
        <v>7.9430000000000001E-2</v>
      </c>
    </row>
    <row r="19" spans="1:5" x14ac:dyDescent="0.25">
      <c r="A19" s="3" t="s">
        <v>33</v>
      </c>
      <c r="B19" s="3">
        <v>2.2000000000000002</v>
      </c>
    </row>
    <row r="20" spans="1:5" x14ac:dyDescent="0.25">
      <c r="A20" s="4" t="s">
        <v>34</v>
      </c>
      <c r="B20" s="3">
        <v>0</v>
      </c>
    </row>
    <row r="21" spans="1:5" x14ac:dyDescent="0.25">
      <c r="E21">
        <f>B6+B14*(B18/B2)*(1-B17)</f>
        <v>0.4775387297100252</v>
      </c>
    </row>
    <row r="22" spans="1:5" x14ac:dyDescent="0.25">
      <c r="A22" s="3" t="s">
        <v>14</v>
      </c>
      <c r="B22" s="3">
        <f>B1+B2*B4*(B5-B6-B14*(B18/B2)*(1-B17))+B14*B18*(B19+B20)</f>
        <v>0</v>
      </c>
    </row>
    <row r="24" spans="1:5" x14ac:dyDescent="0.25">
      <c r="A24" s="3" t="s">
        <v>36</v>
      </c>
      <c r="B24" s="3">
        <f>B1+B14*B18*(B19+B20)</f>
        <v>6.2057467125118462E-2</v>
      </c>
    </row>
    <row r="25" spans="1:5" x14ac:dyDescent="0.25">
      <c r="E25">
        <f>E21-B5</f>
        <v>0.24863872971002521</v>
      </c>
    </row>
    <row r="26" spans="1:5" x14ac:dyDescent="0.25">
      <c r="A26" s="4" t="s">
        <v>37</v>
      </c>
      <c r="B26" s="3">
        <f>B2*(B5-B6-B14*(B18/B2)*(1-B17))</f>
        <v>-2.6492456650603187E-2</v>
      </c>
    </row>
    <row r="28" spans="1:5" x14ac:dyDescent="0.25">
      <c r="A28" s="4" t="s">
        <v>38</v>
      </c>
      <c r="B28" s="3">
        <f>-B24/B26</f>
        <v>2.342458003935453</v>
      </c>
    </row>
    <row r="30" spans="1:5" x14ac:dyDescent="0.25">
      <c r="A30" s="4" t="s">
        <v>39</v>
      </c>
      <c r="B30" s="3">
        <f>B28+B7</f>
        <v>0.89245800393545305</v>
      </c>
    </row>
    <row r="33" spans="1:4" x14ac:dyDescent="0.25">
      <c r="A33" t="s">
        <v>43</v>
      </c>
      <c r="B33" t="s">
        <v>42</v>
      </c>
    </row>
    <row r="34" spans="1:4" x14ac:dyDescent="0.25">
      <c r="A34">
        <v>0</v>
      </c>
      <c r="B34">
        <f>B24</f>
        <v>6.2057467125118462E-2</v>
      </c>
    </row>
    <row r="35" spans="1:4" x14ac:dyDescent="0.25">
      <c r="A35">
        <f>B28</f>
        <v>2.342458003935453</v>
      </c>
      <c r="B35">
        <f>B22</f>
        <v>0</v>
      </c>
    </row>
    <row r="38" spans="1:4" x14ac:dyDescent="0.25">
      <c r="A38" t="s">
        <v>44</v>
      </c>
      <c r="B38">
        <v>102300</v>
      </c>
    </row>
    <row r="39" spans="1:4" x14ac:dyDescent="0.25">
      <c r="A39" t="s">
        <v>45</v>
      </c>
      <c r="B39">
        <v>296.14999999999998</v>
      </c>
    </row>
    <row r="40" spans="1:4" x14ac:dyDescent="0.25">
      <c r="A40" t="s">
        <v>46</v>
      </c>
      <c r="B40">
        <v>287</v>
      </c>
    </row>
    <row r="42" spans="1:4" x14ac:dyDescent="0.25">
      <c r="A42" t="s">
        <v>47</v>
      </c>
      <c r="B42">
        <f>B38/(B39*B40)</f>
        <v>1.203599503735806</v>
      </c>
    </row>
    <row r="43" spans="1:4" x14ac:dyDescent="0.25">
      <c r="A43" t="s">
        <v>48</v>
      </c>
      <c r="B43">
        <v>90</v>
      </c>
      <c r="C43" t="s">
        <v>49</v>
      </c>
      <c r="D43">
        <v>46.3</v>
      </c>
    </row>
    <row r="45" spans="1:4" x14ac:dyDescent="0.25">
      <c r="A45" t="s">
        <v>50</v>
      </c>
      <c r="B45">
        <f>(1/2)*B42*D43^2</f>
        <v>1290.0721100817047</v>
      </c>
    </row>
    <row r="46" spans="1:4" x14ac:dyDescent="0.25">
      <c r="A46" t="s">
        <v>52</v>
      </c>
      <c r="B46">
        <f>B2*(B3-B7)</f>
        <v>0.24958890031932271</v>
      </c>
    </row>
    <row r="47" spans="1:4" x14ac:dyDescent="0.25">
      <c r="A47" t="s">
        <v>51</v>
      </c>
      <c r="B47">
        <f>B45*B46*B11</f>
        <v>375.85621803279008</v>
      </c>
      <c r="C47">
        <f>B47/9.81</f>
        <v>38.313579819856272</v>
      </c>
    </row>
    <row r="49" spans="1:3" x14ac:dyDescent="0.25">
      <c r="A49" t="s">
        <v>53</v>
      </c>
      <c r="B49">
        <f>(-B1-B46*(B5-B6))/(-B14)</f>
        <v>-5.3806064485814507E-2</v>
      </c>
    </row>
    <row r="50" spans="1:3" x14ac:dyDescent="0.25">
      <c r="A50" t="s">
        <v>51</v>
      </c>
      <c r="B50">
        <f>B45*B49*B9</f>
        <v>-11.245019909717934</v>
      </c>
      <c r="C50">
        <f>B50/9.81</f>
        <v>-1.1462813363626843</v>
      </c>
    </row>
    <row r="52" spans="1:3" x14ac:dyDescent="0.25">
      <c r="A52">
        <f>C47+C50</f>
        <v>37.167298483493589</v>
      </c>
    </row>
    <row r="54" spans="1:3" x14ac:dyDescent="0.25">
      <c r="A54">
        <f>B49/(B18)</f>
        <v>-0.67740229744195524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2024-10-04T13:08:58Z</dcterms:created>
  <dcterms:modified xsi:type="dcterms:W3CDTF">2024-10-04T17:02:33Z</dcterms:modified>
</cp:coreProperties>
</file>