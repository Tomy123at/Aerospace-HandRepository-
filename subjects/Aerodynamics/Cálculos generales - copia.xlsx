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PB\6to semestre\Lab Aero\Planeador\"/>
    </mc:Choice>
  </mc:AlternateContent>
  <xr:revisionPtr revIDLastSave="0" documentId="13_ncr:1_{E01F88F0-E4B3-4C26-8EB0-1574B82C1457}" xr6:coauthVersionLast="47" xr6:coauthVersionMax="47" xr10:uidLastSave="{00000000-0000-0000-0000-000000000000}"/>
  <bookViews>
    <workbookView xWindow="-108" yWindow="-108" windowWidth="23256" windowHeight="12576" xr2:uid="{4DB47FF1-29F2-41B4-AE84-84F6DAD80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F19" i="1"/>
  <c r="N9" i="1" l="1"/>
  <c r="F17" i="1" l="1"/>
  <c r="B24" i="1"/>
  <c r="N12" i="1" l="1"/>
  <c r="F35" i="1"/>
  <c r="F36" i="1"/>
  <c r="F32" i="1" s="1"/>
  <c r="F34" i="1"/>
  <c r="J10" i="1" l="1"/>
  <c r="J11" i="1" s="1"/>
  <c r="AE17" i="1" l="1"/>
  <c r="B14" i="1" l="1"/>
  <c r="B15" i="1" s="1"/>
  <c r="B12" i="1"/>
  <c r="AD14" i="1" l="1"/>
  <c r="AD16" i="1" s="1"/>
  <c r="AE15" i="1" l="1"/>
  <c r="AE16" i="1" s="1"/>
  <c r="AE18" i="1" s="1"/>
  <c r="AD18" i="1"/>
  <c r="AD17" i="1"/>
  <c r="J12" i="1" l="1"/>
  <c r="AD26" i="1" l="1"/>
  <c r="AD27" i="1" s="1"/>
  <c r="AD29" i="1" s="1"/>
  <c r="N14" i="1" l="1"/>
  <c r="N16" i="1" s="1"/>
  <c r="N15" i="1" l="1"/>
  <c r="AE22" i="1"/>
  <c r="AE25" i="1" l="1"/>
  <c r="AE26" i="1" s="1"/>
  <c r="AE27" i="1" s="1"/>
  <c r="AE28" i="1"/>
  <c r="AE29" i="1" s="1"/>
  <c r="F25" i="1" l="1"/>
  <c r="N10" i="1" l="1"/>
  <c r="N18" i="1" s="1"/>
  <c r="J21" i="1" s="1"/>
  <c r="J22" i="1" s="1"/>
  <c r="F26" i="1"/>
  <c r="F21" i="1" l="1"/>
  <c r="J23" i="1"/>
  <c r="F27" i="1" s="1"/>
  <c r="F28" i="1" s="1"/>
  <c r="J29" i="1" s="1"/>
  <c r="I29" i="1" s="1"/>
  <c r="I31" i="1" s="1"/>
  <c r="I32" i="1" s="1"/>
  <c r="F23" i="1"/>
  <c r="F22" i="1" l="1"/>
  <c r="AB12" i="1"/>
  <c r="AB30" i="1"/>
  <c r="AB20" i="1"/>
  <c r="AB19" i="1"/>
  <c r="AB16" i="1"/>
  <c r="AB34" i="1"/>
  <c r="AB15" i="1"/>
  <c r="AB33" i="1"/>
  <c r="AB23" i="1"/>
  <c r="AB27" i="1"/>
  <c r="AB14" i="1"/>
  <c r="AB29" i="1"/>
  <c r="AB28" i="1"/>
  <c r="AB26" i="1"/>
  <c r="AB36" i="1"/>
  <c r="AB24" i="1"/>
  <c r="AB13" i="1"/>
  <c r="AB21" i="1"/>
  <c r="AB31" i="1"/>
  <c r="AB18" i="1"/>
  <c r="AB22" i="1"/>
  <c r="AB35" i="1"/>
  <c r="AB32" i="1"/>
  <c r="AB17" i="1"/>
  <c r="AB25" i="1"/>
</calcChain>
</file>

<file path=xl/sharedStrings.xml><?xml version="1.0" encoding="utf-8"?>
<sst xmlns="http://schemas.openxmlformats.org/spreadsheetml/2006/main" count="117" uniqueCount="78">
  <si>
    <t>AR</t>
  </si>
  <si>
    <t>b</t>
  </si>
  <si>
    <t>λ</t>
  </si>
  <si>
    <t>Atmospheric data</t>
  </si>
  <si>
    <t>Humidity</t>
  </si>
  <si>
    <t>%</t>
  </si>
  <si>
    <r>
      <t>P</t>
    </r>
    <r>
      <rPr>
        <b/>
        <vertAlign val="subscript"/>
        <sz val="11"/>
        <color theme="1"/>
        <rFont val="Times New Roman"/>
        <family val="1"/>
      </rPr>
      <t>∞</t>
    </r>
  </si>
  <si>
    <t>Pa</t>
  </si>
  <si>
    <r>
      <t>T</t>
    </r>
    <r>
      <rPr>
        <b/>
        <vertAlign val="subscript"/>
        <sz val="11"/>
        <color theme="1"/>
        <rFont val="Times New Roman"/>
        <family val="1"/>
      </rPr>
      <t>∞</t>
    </r>
  </si>
  <si>
    <t>K</t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</si>
  <si>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Times New Roman"/>
        <family val="1"/>
      </rPr>
      <t>∞</t>
    </r>
  </si>
  <si>
    <t>kg/(m*s)</t>
  </si>
  <si>
    <r>
      <t>R</t>
    </r>
    <r>
      <rPr>
        <vertAlign val="subscript"/>
        <sz val="11"/>
        <color theme="1"/>
        <rFont val="Times New Roman"/>
        <family val="1"/>
      </rPr>
      <t>air</t>
    </r>
  </si>
  <si>
    <t>N*m/kg*K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</si>
  <si>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Times New Roman"/>
        <family val="1"/>
      </rPr>
      <t>∞</t>
    </r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</si>
  <si>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</si>
  <si>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m</t>
  </si>
  <si>
    <t>c</t>
  </si>
  <si>
    <t>S</t>
  </si>
  <si>
    <t>m^2</t>
  </si>
  <si>
    <t>V</t>
  </si>
  <si>
    <t>m/s</t>
  </si>
  <si>
    <r>
      <t>q</t>
    </r>
    <r>
      <rPr>
        <vertAlign val="subscript"/>
        <sz val="11"/>
        <color theme="1"/>
        <rFont val="Aptos Narrow"/>
        <family val="2"/>
        <scheme val="minor"/>
      </rPr>
      <t>∞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</si>
  <si>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0</t>
    </r>
  </si>
  <si>
    <t>1/deg</t>
  </si>
  <si>
    <t>deg</t>
  </si>
  <si>
    <t>a</t>
  </si>
  <si>
    <t>CL</t>
  </si>
  <si>
    <t>Flight conditions</t>
  </si>
  <si>
    <t>Wing geometric</t>
  </si>
  <si>
    <t>dԐ/dα</t>
  </si>
  <si>
    <r>
      <t>a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</si>
  <si>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</si>
  <si>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Ԑ</t>
    </r>
    <r>
      <rPr>
        <vertAlign val="subscript"/>
        <sz val="11"/>
        <color theme="1"/>
        <rFont val="Aptos Narrow"/>
        <family val="2"/>
      </rPr>
      <t>0</t>
    </r>
  </si>
  <si>
    <r>
      <t>i</t>
    </r>
    <r>
      <rPr>
        <vertAlign val="subscript"/>
        <sz val="11"/>
        <color theme="1"/>
        <rFont val="Aptos Narrow"/>
        <family val="2"/>
      </rPr>
      <t>t</t>
    </r>
  </si>
  <si>
    <t>Wing parameters</t>
  </si>
  <si>
    <t>Tail geometric</t>
  </si>
  <si>
    <t>Tail parameters</t>
  </si>
  <si>
    <t>h</t>
  </si>
  <si>
    <r>
      <t>h</t>
    </r>
    <r>
      <rPr>
        <vertAlign val="subscript"/>
        <sz val="11"/>
        <color theme="1"/>
        <rFont val="Aptos Narrow"/>
        <family val="2"/>
      </rPr>
      <t>ac,wb</t>
    </r>
  </si>
  <si>
    <r>
      <t>C</t>
    </r>
    <r>
      <rPr>
        <vertAlign val="subscript"/>
        <sz val="11"/>
        <color theme="1"/>
        <rFont val="Aptos Narrow"/>
        <family val="2"/>
      </rPr>
      <t>M,ac,wb</t>
    </r>
  </si>
  <si>
    <t>General parameters</t>
  </si>
  <si>
    <r>
      <t>h</t>
    </r>
    <r>
      <rPr>
        <vertAlign val="subscript"/>
        <sz val="11"/>
        <color theme="1"/>
        <rFont val="Aptos Narrow"/>
        <family val="2"/>
        <scheme val="minor"/>
      </rPr>
      <t>n</t>
    </r>
  </si>
  <si>
    <t>lt</t>
  </si>
  <si>
    <r>
      <t>S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</si>
  <si>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α</t>
    </r>
    <r>
      <rPr>
        <vertAlign val="subscript"/>
        <sz val="11"/>
        <color theme="1"/>
        <rFont val="Calibri"/>
        <family val="2"/>
      </rPr>
      <t>L=0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</si>
  <si>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a</t>
    </r>
  </si>
  <si>
    <t>S.M.</t>
  </si>
  <si>
    <r>
      <t>C</t>
    </r>
    <r>
      <rPr>
        <vertAlign val="subscript"/>
        <sz val="11"/>
        <color theme="1"/>
        <rFont val="Aptos Narrow"/>
        <family val="2"/>
        <scheme val="minor"/>
      </rPr>
      <t>M,0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</si>
  <si>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eq</t>
    </r>
  </si>
  <si>
    <r>
      <t>C</t>
    </r>
    <r>
      <rPr>
        <vertAlign val="subscript"/>
        <sz val="11"/>
        <color theme="1"/>
        <rFont val="Aptos Narrow"/>
        <family val="2"/>
      </rPr>
      <t>M,cg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</si>
  <si>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geo</t>
    </r>
  </si>
  <si>
    <r>
      <t>CL @ α</t>
    </r>
    <r>
      <rPr>
        <vertAlign val="subscript"/>
        <sz val="11"/>
        <color theme="1"/>
        <rFont val="Aptos Narrow"/>
        <family val="2"/>
        <scheme val="minor"/>
      </rPr>
      <t>geo</t>
    </r>
  </si>
  <si>
    <t>L</t>
  </si>
  <si>
    <t>Kg</t>
  </si>
  <si>
    <t>Ԑ</t>
  </si>
  <si>
    <t>x</t>
  </si>
  <si>
    <t>y</t>
  </si>
  <si>
    <t>Wing</t>
  </si>
  <si>
    <t>Fuselage</t>
  </si>
  <si>
    <t>Tail</t>
  </si>
  <si>
    <t>Vertical Stabilizer geometric</t>
  </si>
  <si>
    <r>
      <t>c</t>
    </r>
    <r>
      <rPr>
        <vertAlign val="subscript"/>
        <sz val="11"/>
        <color theme="1"/>
        <rFont val="Aptos Narrow"/>
        <family val="2"/>
        <scheme val="minor"/>
      </rPr>
      <t>root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</si>
  <si>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tip</t>
    </r>
  </si>
  <si>
    <t>MAC</t>
  </si>
  <si>
    <r>
      <t>S</t>
    </r>
    <r>
      <rPr>
        <vertAlign val="subscript"/>
        <sz val="11"/>
        <color theme="1"/>
        <rFont val="Aptos Narrow"/>
        <family val="2"/>
        <scheme val="minor"/>
      </rPr>
      <t>v</t>
    </r>
  </si>
  <si>
    <t>rad</t>
  </si>
  <si>
    <t>1/rad</t>
  </si>
  <si>
    <t>g</t>
  </si>
  <si>
    <t>Empennage</t>
  </si>
  <si>
    <t>TOTAL</t>
  </si>
  <si>
    <t xml:space="preserve">Weight </t>
  </si>
  <si>
    <r>
      <t>α</t>
    </r>
    <r>
      <rPr>
        <vertAlign val="subscript"/>
        <sz val="11"/>
        <color theme="1"/>
        <rFont val="Calibri"/>
        <family val="2"/>
      </rPr>
      <t>t</t>
    </r>
  </si>
  <si>
    <t>e</t>
  </si>
  <si>
    <t>cdi</t>
  </si>
  <si>
    <t>cd0</t>
  </si>
  <si>
    <t>Cd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</si>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</sst>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00"/>
    <numFmt numFmtId="166" formatCode="0.0000"/>
    <numFmt numFmtId="167" formatCode="0.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vertAlign val="subscript"/>
      <sz val="11"/>
      <color theme="1"/>
      <name val="Times New Roman"/>
      <family val="1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Calibri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2" fillId="0" borderId="13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4" xfId="0" applyFill="1" applyBorder="1" applyAlignment="1">
      <alignment horizontal="center"/>
    </xf>
    <xf numFmtId="0" fontId="0" fillId="3" borderId="22" xfId="0" applyFill="1" applyBorder="1"/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/>
    <xf numFmtId="0" fontId="0" fillId="0" borderId="16" xfId="0" applyBorder="1" applyAlignment="1">
      <alignment horizontal="center"/>
    </xf>
    <xf numFmtId="0" fontId="0" fillId="0" borderId="18" xfId="0" applyBorder="1"/>
    <xf numFmtId="0" fontId="0" fillId="5" borderId="17" xfId="0" applyFill="1" applyBorder="1" applyAlignment="1">
      <alignment horizontal="center"/>
    </xf>
    <xf numFmtId="167" fontId="0" fillId="3" borderId="25" xfId="0" applyNumberFormat="1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5" fontId="0" fillId="0" borderId="0" xfId="0" applyNumberFormat="1"/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6" xfId="0" applyFont="1" applyBorder="1"/>
    <xf numFmtId="166" fontId="0" fillId="0" borderId="9" xfId="0" applyNumberForma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</a:t>
            </a:r>
            <a:r>
              <a:rPr lang="es-CO" sz="1400" b="0" i="0" u="none" strike="noStrike" baseline="0">
                <a:effectLst/>
              </a:rPr>
              <a:t>C</a:t>
            </a:r>
            <a:r>
              <a:rPr lang="es-CO" sz="1400" b="0" i="0" u="none" strike="noStrike" baseline="-25000">
                <a:effectLst/>
              </a:rPr>
              <a:t>M,cg</a:t>
            </a:r>
            <a:r>
              <a:rPr lang="es-CO" sz="1400" b="0" i="0" u="none" strike="noStrike" baseline="0"/>
              <a:t> vs </a:t>
            </a:r>
            <a:r>
              <a:rPr lang="el-GR" sz="1400" b="0" i="0" u="none" strike="noStrike" baseline="0">
                <a:effectLst/>
              </a:rPr>
              <a:t>α</a:t>
            </a:r>
            <a:r>
              <a:rPr lang="es-CO" sz="1400" b="0" i="0" u="none" strike="noStrike" baseline="-25000">
                <a:effectLst/>
              </a:rPr>
              <a:t>eq</a:t>
            </a:r>
            <a:r>
              <a:rPr lang="es-CO" sz="1400" b="0" i="0" u="none" strike="noStrike" baseline="0"/>
              <a:t> 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7981372126453988E-2"/>
          <c:y val="0.13242077611395983"/>
          <c:w val="0.88906209827528182"/>
          <c:h val="0.742011496442507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Hoja1!$AA$12:$AA$36</c:f>
              <c:numCache>
                <c:formatCode>General</c:formatCode>
                <c:ptCount val="25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</c:numCache>
            </c:numRef>
          </c:xVal>
          <c:yVal>
            <c:numRef>
              <c:f>Hoja1!$AB$12:$AB$36</c:f>
              <c:numCache>
                <c:formatCode>General</c:formatCode>
                <c:ptCount val="25"/>
                <c:pt idx="0">
                  <c:v>0.17674880706715618</c:v>
                </c:pt>
                <c:pt idx="1">
                  <c:v>0.16948913950275096</c:v>
                </c:pt>
                <c:pt idx="2">
                  <c:v>0.16222947193834575</c:v>
                </c:pt>
                <c:pt idx="3">
                  <c:v>0.15496980437394053</c:v>
                </c:pt>
                <c:pt idx="4">
                  <c:v>0.14771013680953532</c:v>
                </c:pt>
                <c:pt idx="5">
                  <c:v>0.14045046924513011</c:v>
                </c:pt>
                <c:pt idx="6">
                  <c:v>0.13319080168072489</c:v>
                </c:pt>
                <c:pt idx="7">
                  <c:v>0.12593113411631968</c:v>
                </c:pt>
                <c:pt idx="8">
                  <c:v>0.11867146655191446</c:v>
                </c:pt>
                <c:pt idx="9">
                  <c:v>0.11141179898750925</c:v>
                </c:pt>
                <c:pt idx="10">
                  <c:v>0.10415213142310402</c:v>
                </c:pt>
                <c:pt idx="11">
                  <c:v>9.6892463858698805E-2</c:v>
                </c:pt>
                <c:pt idx="12">
                  <c:v>8.963279629429359E-2</c:v>
                </c:pt>
                <c:pt idx="13">
                  <c:v>8.2373128729888376E-2</c:v>
                </c:pt>
                <c:pt idx="14">
                  <c:v>7.5113461165483161E-2</c:v>
                </c:pt>
                <c:pt idx="15">
                  <c:v>6.7853793601077947E-2</c:v>
                </c:pt>
                <c:pt idx="16">
                  <c:v>6.0594126036672719E-2</c:v>
                </c:pt>
                <c:pt idx="17">
                  <c:v>5.3334458472267504E-2</c:v>
                </c:pt>
                <c:pt idx="18">
                  <c:v>4.607479090786229E-2</c:v>
                </c:pt>
                <c:pt idx="19">
                  <c:v>3.8815123343457075E-2</c:v>
                </c:pt>
                <c:pt idx="20">
                  <c:v>3.1555455779051861E-2</c:v>
                </c:pt>
                <c:pt idx="21">
                  <c:v>2.4295788214646646E-2</c:v>
                </c:pt>
                <c:pt idx="22">
                  <c:v>1.7036120650241432E-2</c:v>
                </c:pt>
                <c:pt idx="23">
                  <c:v>9.7764530858362175E-3</c:v>
                </c:pt>
                <c:pt idx="24">
                  <c:v>2.5167855214310031E-3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5-47B6-B160-F609816E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92064"/>
        <c:axId val="683692544"/>
      </c:scatterChart>
      <c:valAx>
        <c:axId val="68369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α</a:t>
                </a:r>
                <a:r>
                  <a:rPr lang="es-CO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eq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[deg] 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48946884268019264"/>
              <c:y val="0.93352671299386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692544"/>
        <c:crosses val="autoZero"/>
        <c:crossBetween val="midCat"/>
      </c:valAx>
      <c:valAx>
        <c:axId val="6836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C</a:t>
                </a:r>
                <a:r>
                  <a:rPr lang="es-CO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M,cg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3.9709530883098559E-2"/>
              <c:y val="0.43058056117399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69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236131661175272E-2"/>
          <c:y val="2.3456548705930374E-2"/>
          <c:w val="0.93028430783969851"/>
          <c:h val="0.93549449105869142"/>
        </c:manualLayout>
      </c:layout>
      <c:scatterChart>
        <c:scatterStyle val="smoothMarker"/>
        <c:varyColors val="0"/>
        <c:ser>
          <c:idx val="0"/>
          <c:order val="0"/>
          <c:tx>
            <c:v>LE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Hoja1!$AD$13:$AD$14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Hoja1!$AE$13:$AE$14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E5-4178-BBA9-D73BD8D9F191}"/>
            </c:ext>
          </c:extLst>
        </c:ser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Hoja1!$AD$15:$AD$16</c:f>
              <c:numCache>
                <c:formatCode>General</c:formatCode>
                <c:ptCount val="2"/>
                <c:pt idx="0">
                  <c:v>0</c:v>
                </c:pt>
                <c:pt idx="1">
                  <c:v>1.1000000000000001</c:v>
                </c:pt>
              </c:numCache>
            </c:numRef>
          </c:xVal>
          <c:yVal>
            <c:numRef>
              <c:f>Hoja1!$AE$15:$AE$16</c:f>
              <c:numCache>
                <c:formatCode>General</c:formatCode>
                <c:ptCount val="2"/>
                <c:pt idx="0">
                  <c:v>-0.3</c:v>
                </c:pt>
                <c:pt idx="1">
                  <c:v>-0.3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E5-4178-BBA9-D73BD8D9F1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Hoja1!$AD$17:$AD$18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1.1000000000000001</c:v>
                </c:pt>
              </c:numCache>
            </c:numRef>
          </c:xVal>
          <c:yVal>
            <c:numRef>
              <c:f>Hoja1!$AE$17:$AE$18</c:f>
              <c:numCache>
                <c:formatCode>General</c:formatCode>
                <c:ptCount val="2"/>
                <c:pt idx="0">
                  <c:v>0</c:v>
                </c:pt>
                <c:pt idx="1">
                  <c:v>-0.3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E5-4178-BBA9-D73BD8D9F191}"/>
            </c:ext>
          </c:extLst>
        </c:ser>
        <c:ser>
          <c:idx val="3"/>
          <c:order val="3"/>
          <c:tx>
            <c:v>Fuselage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Hoja1!$AD$21:$AD$22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Hoja1!$AE$21:$AE$22</c:f>
              <c:numCache>
                <c:formatCode>General</c:formatCode>
                <c:ptCount val="2"/>
                <c:pt idx="0">
                  <c:v>0</c:v>
                </c:pt>
                <c:pt idx="1">
                  <c:v>-1.4635607716915178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E5-4178-BBA9-D73BD8D9F191}"/>
            </c:ext>
          </c:extLst>
        </c:ser>
        <c:ser>
          <c:idx val="4"/>
          <c:order val="4"/>
          <c:tx>
            <c:v>LEtail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Hoja1!$AD$25:$AD$26</c:f>
              <c:numCache>
                <c:formatCode>General</c:formatCode>
                <c:ptCount val="2"/>
                <c:pt idx="0">
                  <c:v>0</c:v>
                </c:pt>
                <c:pt idx="1">
                  <c:v>0.33541019662496846</c:v>
                </c:pt>
              </c:numCache>
            </c:numRef>
          </c:xVal>
          <c:yVal>
            <c:numRef>
              <c:f>Hoja1!$AE$25:$AE$26</c:f>
              <c:numCache>
                <c:formatCode>General</c:formatCode>
                <c:ptCount val="2"/>
                <c:pt idx="0">
                  <c:v>-1.2846753334915346</c:v>
                </c:pt>
                <c:pt idx="1">
                  <c:v>-1.2846753334915346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E5-4178-BBA9-D73BD8D9F191}"/>
            </c:ext>
          </c:extLst>
        </c:ser>
        <c:ser>
          <c:idx val="5"/>
          <c:order val="5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Hoja1!$AD$26:$AD$27</c:f>
              <c:numCache>
                <c:formatCode>General</c:formatCode>
                <c:ptCount val="2"/>
                <c:pt idx="0">
                  <c:v>0.33541019662496846</c:v>
                </c:pt>
                <c:pt idx="1">
                  <c:v>0.33541019662496846</c:v>
                </c:pt>
              </c:numCache>
            </c:numRef>
          </c:xVal>
          <c:yVal>
            <c:numRef>
              <c:f>Hoja1!$AE$26:$AE$27</c:f>
              <c:numCache>
                <c:formatCode>General</c:formatCode>
                <c:ptCount val="2"/>
                <c:pt idx="0">
                  <c:v>-1.2846753334915346</c:v>
                </c:pt>
                <c:pt idx="1">
                  <c:v>-1.4635607716915178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E5-4178-BBA9-D73BD8D9F191}"/>
            </c:ext>
          </c:extLst>
        </c:ser>
        <c:ser>
          <c:idx val="6"/>
          <c:order val="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Hoja1!$AD$28:$AD$29</c:f>
              <c:numCache>
                <c:formatCode>General</c:formatCode>
                <c:ptCount val="2"/>
                <c:pt idx="0">
                  <c:v>0</c:v>
                </c:pt>
                <c:pt idx="1">
                  <c:v>0.33541019662496846</c:v>
                </c:pt>
              </c:numCache>
            </c:numRef>
          </c:xVal>
          <c:yVal>
            <c:numRef>
              <c:f>Hoja1!$AE$28:$AE$29</c:f>
              <c:numCache>
                <c:formatCode>General</c:formatCode>
                <c:ptCount val="2"/>
                <c:pt idx="0">
                  <c:v>-1.4635607716915178</c:v>
                </c:pt>
                <c:pt idx="1">
                  <c:v>-1.4635607716915178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E5-4178-BBA9-D73BD8D9F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727824"/>
        <c:axId val="868733584"/>
      </c:scatterChart>
      <c:valAx>
        <c:axId val="868727824"/>
        <c:scaling>
          <c:orientation val="minMax"/>
          <c:max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32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733584"/>
        <c:crosses val="autoZero"/>
        <c:crossBetween val="midCat"/>
      </c:valAx>
      <c:valAx>
        <c:axId val="868733584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7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746760</xdr:colOff>
      <xdr:row>0</xdr:row>
      <xdr:rowOff>114300</xdr:rowOff>
    </xdr:from>
    <xdr:to>
      <xdr:col>14</xdr:col>
      <xdr:colOff>101344</xdr:colOff>
      <xdr:row>5</xdr:row>
      <xdr:rowOff>19164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8B9E62-B258-D2E7-01CD-4EC7DB589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1560" y="114300"/>
          <a:ext cx="2715004" cy="819264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</xdr:row>
      <xdr:rowOff>0</xdr:rowOff>
    </xdr:from>
    <xdr:to>
      <xdr:col>9</xdr:col>
      <xdr:colOff>680836</xdr:colOff>
      <xdr:row>4</xdr:row>
      <xdr:rowOff>175361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939C37-0762-AC4D-5803-7639D08F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0780" y="182880"/>
          <a:ext cx="5382376" cy="724001"/>
        </a:xfrm>
        <a:prstGeom prst="rect">
          <a:avLst/>
        </a:prstGeom>
      </xdr:spPr>
    </xdr:pic>
    <xdr:clientData/>
  </xdr:twoCellAnchor>
  <xdr:twoCellAnchor editAs="oneCell">
    <xdr:from>
      <xdr:col>15</xdr:col>
      <xdr:colOff>368300</xdr:colOff>
      <xdr:row>1</xdr:row>
      <xdr:rowOff>6773</xdr:rowOff>
    </xdr:from>
    <xdr:to>
      <xdr:col>18</xdr:col>
      <xdr:colOff>534390</xdr:colOff>
      <xdr:row>8</xdr:row>
      <xdr:rowOff>73638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1202AA-38DB-99D4-1289-C48691292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2567" y="193040"/>
          <a:ext cx="2553690" cy="1387665"/>
        </a:xfrm>
        <a:prstGeom prst="rect">
          <a:avLst/>
        </a:prstGeom>
      </xdr:spPr>
    </xdr:pic>
    <xdr:clientData/>
  </xdr:twoCellAnchor>
  <xdr:twoCellAnchor editAs="oneCell">
    <xdr:from>
      <xdr:col>15</xdr:col>
      <xdr:colOff>365760</xdr:colOff>
      <xdr:row>9</xdr:row>
      <xdr:rowOff>144780</xdr:rowOff>
    </xdr:from>
    <xdr:to>
      <xdr:col>20</xdr:col>
      <xdr:colOff>385366</xdr:colOff>
      <xdr:row>13</xdr:row>
      <xdr:rowOff>142991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5C5226-9F3A-8FE5-9F82-C35AF8F0D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52960" y="1821180"/>
          <a:ext cx="3982006" cy="828791"/>
        </a:xfrm>
        <a:prstGeom prst="rect">
          <a:avLst/>
        </a:prstGeom>
      </xdr:spPr>
    </xdr:pic>
    <xdr:clientData/>
  </xdr:twoCellAnchor>
  <xdr:oneCellAnchor>
    <xdr:from>
      <xdr:col>12</xdr:col>
      <xdr:colOff>22860</xdr:colOff>
      <xdr:row>15</xdr:row>
      <xdr:rowOff>64770</xdr:rowOff>
    </xdr:from>
    <xdr:ext cx="753027" cy="3045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CEF3875-482A-A1D4-A937-6C4BE0EC02EF}"/>
                </a:ext>
              </a:extLst>
            </xdr:cNvPr>
            <xdr:cNvSpPr txBox="1"/>
          </xdr:nvSpPr>
          <xdr:spPr>
            <a:xfrm>
              <a:off x="9532620" y="2990850"/>
              <a:ext cx="753027" cy="30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skw"/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𝑐𝑔</m:t>
                            </m:r>
                          </m:sub>
                        </m:sSub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</a:rPr>
                              <m:t>α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CEF3875-482A-A1D4-A937-6C4BE0EC02EF}"/>
                </a:ext>
              </a:extLst>
            </xdr:cNvPr>
            <xdr:cNvSpPr txBox="1"/>
          </xdr:nvSpPr>
          <xdr:spPr>
            <a:xfrm>
              <a:off x="9532620" y="2990850"/>
              <a:ext cx="753027" cy="30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(</a:t>
              </a:r>
              <a:r>
                <a:rPr lang="es-CO" sz="1100" b="0" i="0">
                  <a:latin typeface="Cambria Math" panose="02040503050406030204" pitchFamily="18" charset="0"/>
                </a:rPr>
                <a:t>𝑑𝐶_(𝑀,𝑐𝑔))⁄(𝑑</a:t>
              </a:r>
              <a:r>
                <a:rPr lang="el-GR" sz="1100" b="0" i="0">
                  <a:latin typeface="Cambria Math" panose="02040503050406030204" pitchFamily="18" charset="0"/>
                </a:rPr>
                <a:t>α</a:t>
              </a:r>
              <a:r>
                <a:rPr lang="es-CO" sz="1100" b="0" i="0">
                  <a:latin typeface="Cambria Math" panose="02040503050406030204" pitchFamily="18" charset="0"/>
                </a:rPr>
                <a:t>_𝑎 )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15</xdr:col>
      <xdr:colOff>190500</xdr:colOff>
      <xdr:row>16</xdr:row>
      <xdr:rowOff>106680</xdr:rowOff>
    </xdr:from>
    <xdr:to>
      <xdr:col>20</xdr:col>
      <xdr:colOff>476843</xdr:colOff>
      <xdr:row>19</xdr:row>
      <xdr:rowOff>69720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9D4FF1-EB54-B389-F42B-6E6EB9C1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8200" y="3238500"/>
          <a:ext cx="4248743" cy="581106"/>
        </a:xfrm>
        <a:prstGeom prst="rect">
          <a:avLst/>
        </a:prstGeom>
      </xdr:spPr>
    </xdr:pic>
    <xdr:clientData/>
  </xdr:twoCellAnchor>
  <xdr:twoCellAnchor>
    <xdr:from>
      <xdr:col>14</xdr:col>
      <xdr:colOff>702734</xdr:colOff>
      <xdr:row>21</xdr:row>
      <xdr:rowOff>84667</xdr:rowOff>
    </xdr:from>
    <xdr:to>
      <xdr:col>22</xdr:col>
      <xdr:colOff>177799</xdr:colOff>
      <xdr:row>42</xdr:row>
      <xdr:rowOff>177553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29B3E1-ABF8-7542-3D99-A083DB23B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602135</xdr:colOff>
      <xdr:row>21</xdr:row>
      <xdr:rowOff>75593</xdr:rowOff>
    </xdr:from>
    <xdr:to>
      <xdr:col>14</xdr:col>
      <xdr:colOff>719960</xdr:colOff>
      <xdr:row>44</xdr:row>
      <xdr:rowOff>172725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8A563D-A15A-4402-D50A-0B134BF5D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26</xdr:row>
      <xdr:rowOff>131632</xdr:rowOff>
    </xdr:from>
    <xdr:to>
      <xdr:col>3</xdr:col>
      <xdr:colOff>586740</xdr:colOff>
      <xdr:row>34</xdr:row>
      <xdr:rowOff>89992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BC3DC5-9B37-F343-E7CC-285DF947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496112"/>
          <a:ext cx="2964180" cy="1467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8333-964F-4C71-B0AE-A38E584AF20A}">
  <dimension ref="A7:AE36"/>
  <sheetViews>
    <sheetView tabSelected="1" topLeftCell="A10" zoomScale="99" zoomScaleNormal="100" workbookViewId="0">
      <selection activeCell="J31" sqref="J31"/>
    </sheetView>
  </sheetViews>
  <sheetFormatPr baseColWidth="10" defaultRowHeight="14.4"/>
  <cols>
    <col min="10" max="10" width="13" bestFit="1" customWidth="1"/>
    <col min="14" max="14" width="14.33203125" customWidth="1"/>
  </cols>
  <sheetData>
    <row r="7" spans="1:31" ht="15" thickBot="1"/>
    <row r="8" spans="1:31" ht="15" thickBot="1">
      <c r="A8" s="56" t="s">
        <v>3</v>
      </c>
      <c r="B8" s="57"/>
      <c r="C8" s="58"/>
      <c r="E8" s="59" t="s">
        <v>29</v>
      </c>
      <c r="F8" s="60"/>
      <c r="G8" s="61"/>
      <c r="I8" s="47" t="s">
        <v>36</v>
      </c>
      <c r="J8" s="48"/>
      <c r="K8" s="49"/>
      <c r="M8" s="50" t="s">
        <v>41</v>
      </c>
      <c r="N8" s="51"/>
      <c r="O8" s="52"/>
    </row>
    <row r="9" spans="1:31" ht="15.6">
      <c r="A9" s="6" t="s">
        <v>4</v>
      </c>
      <c r="B9" s="21">
        <v>100</v>
      </c>
      <c r="C9" s="7" t="s">
        <v>5</v>
      </c>
      <c r="E9" s="19" t="s">
        <v>2</v>
      </c>
      <c r="F9" s="17">
        <v>1</v>
      </c>
      <c r="G9" s="18"/>
      <c r="I9" s="19" t="s">
        <v>2</v>
      </c>
      <c r="J9" s="17">
        <v>1</v>
      </c>
      <c r="K9" s="18"/>
      <c r="M9" s="25" t="s">
        <v>32</v>
      </c>
      <c r="N9" s="26">
        <f>(J13*J16)/(F12*F13)</f>
        <v>0.73846153846153839</v>
      </c>
      <c r="O9" s="7"/>
    </row>
    <row r="10" spans="1:31" ht="16.2">
      <c r="A10" s="8" t="s">
        <v>6</v>
      </c>
      <c r="B10" s="22">
        <v>101727.12</v>
      </c>
      <c r="C10" s="2" t="s">
        <v>7</v>
      </c>
      <c r="E10" s="14" t="s">
        <v>0</v>
      </c>
      <c r="F10" s="20">
        <v>7.5</v>
      </c>
      <c r="G10" s="2"/>
      <c r="I10" s="14" t="s">
        <v>0</v>
      </c>
      <c r="J10" s="20">
        <f>F10/2</f>
        <v>3.75</v>
      </c>
      <c r="K10" s="2"/>
      <c r="M10" s="29" t="s">
        <v>33</v>
      </c>
      <c r="N10" s="11">
        <f>(2*F25)/(PI()*F10)</f>
        <v>5.6679801342156777E-2</v>
      </c>
      <c r="O10" s="2" t="s">
        <v>66</v>
      </c>
    </row>
    <row r="11" spans="1:31" ht="16.2">
      <c r="A11" s="8" t="s">
        <v>8</v>
      </c>
      <c r="B11" s="22">
        <v>295.25</v>
      </c>
      <c r="C11" s="2" t="s">
        <v>9</v>
      </c>
      <c r="E11" s="14" t="s">
        <v>1</v>
      </c>
      <c r="F11" s="11">
        <v>2.2000000000000002</v>
      </c>
      <c r="G11" s="2" t="s">
        <v>16</v>
      </c>
      <c r="I11" s="14" t="s">
        <v>1</v>
      </c>
      <c r="J11" s="11">
        <f>SQRT(J10*J13)</f>
        <v>0.67082039324993692</v>
      </c>
      <c r="K11" s="2" t="s">
        <v>16</v>
      </c>
      <c r="M11" s="29" t="s">
        <v>30</v>
      </c>
      <c r="N11" s="11">
        <f>(2*DEGREES(F17))/(PI()*F10)</f>
        <v>0.3894367910475503</v>
      </c>
      <c r="O11" s="2" t="s">
        <v>67</v>
      </c>
      <c r="AA11" s="34" t="s">
        <v>49</v>
      </c>
      <c r="AB11" s="27" t="s">
        <v>40</v>
      </c>
      <c r="AD11" t="s">
        <v>58</v>
      </c>
    </row>
    <row r="12" spans="1:31" ht="16.2">
      <c r="A12" s="1" t="s">
        <v>10</v>
      </c>
      <c r="B12" s="4">
        <f>0.000001456*(SQRT(B11))/(1+(110/B11))</f>
        <v>1.8227336483224767E-5</v>
      </c>
      <c r="C12" s="2" t="s">
        <v>11</v>
      </c>
      <c r="E12" s="14" t="s">
        <v>17</v>
      </c>
      <c r="F12" s="11">
        <v>0.3</v>
      </c>
      <c r="G12" s="2" t="s">
        <v>16</v>
      </c>
      <c r="I12" s="14" t="s">
        <v>17</v>
      </c>
      <c r="J12" s="11">
        <f>J13/J11</f>
        <v>0.17888543819998318</v>
      </c>
      <c r="K12" s="2" t="s">
        <v>16</v>
      </c>
      <c r="M12" s="14" t="s">
        <v>42</v>
      </c>
      <c r="N12" s="11">
        <f>N13+N9*(J17/F17)*(1-N11)</f>
        <v>0.61264462027686939</v>
      </c>
      <c r="O12" s="2"/>
      <c r="AA12">
        <v>-2</v>
      </c>
      <c r="AB12">
        <f>$N$16*AA12+$F$21</f>
        <v>0.17674880706715618</v>
      </c>
      <c r="AD12" t="s">
        <v>56</v>
      </c>
      <c r="AE12" t="s">
        <v>57</v>
      </c>
    </row>
    <row r="13" spans="1:31" ht="16.8" thickBot="1">
      <c r="A13" s="9" t="s">
        <v>12</v>
      </c>
      <c r="B13" s="5">
        <v>287</v>
      </c>
      <c r="C13" s="2" t="s">
        <v>13</v>
      </c>
      <c r="E13" s="12" t="s">
        <v>18</v>
      </c>
      <c r="F13" s="16">
        <v>0.65</v>
      </c>
      <c r="G13" s="3" t="s">
        <v>19</v>
      </c>
      <c r="I13" s="12" t="s">
        <v>44</v>
      </c>
      <c r="J13" s="16">
        <v>0.12</v>
      </c>
      <c r="K13" s="3" t="s">
        <v>19</v>
      </c>
      <c r="M13" s="29" t="s">
        <v>39</v>
      </c>
      <c r="N13" s="20">
        <v>0.25</v>
      </c>
      <c r="O13" s="2"/>
      <c r="AA13">
        <v>-1.5</v>
      </c>
      <c r="AB13">
        <f>$N$16*AA13+$F$21</f>
        <v>0.16948913950275096</v>
      </c>
      <c r="AD13">
        <v>0</v>
      </c>
      <c r="AE13">
        <v>0</v>
      </c>
    </row>
    <row r="14" spans="1:31" ht="16.8" thickBot="1">
      <c r="A14" s="1" t="s">
        <v>14</v>
      </c>
      <c r="B14" s="10">
        <f>B10/(B11*B13)</f>
        <v>1.2005076899928306</v>
      </c>
      <c r="C14" s="2" t="s">
        <v>15</v>
      </c>
      <c r="M14" s="29" t="s">
        <v>38</v>
      </c>
      <c r="N14" s="11">
        <f>((N12-N13)/2)+N13</f>
        <v>0.43132231013843469</v>
      </c>
      <c r="O14" s="2"/>
      <c r="AA14">
        <v>-1</v>
      </c>
      <c r="AB14">
        <f>$N$16*AA14+$F$21</f>
        <v>0.16222947193834575</v>
      </c>
      <c r="AD14">
        <f>F11/2</f>
        <v>1.1000000000000001</v>
      </c>
      <c r="AE14">
        <v>0</v>
      </c>
    </row>
    <row r="15" spans="1:31" ht="16.2" thickBot="1">
      <c r="A15" s="12" t="s">
        <v>22</v>
      </c>
      <c r="B15" s="13">
        <f>0.5*B14*(B18^2)</f>
        <v>29.41243840482435</v>
      </c>
      <c r="C15" s="3" t="s">
        <v>7</v>
      </c>
      <c r="E15" s="62" t="s">
        <v>35</v>
      </c>
      <c r="F15" s="63"/>
      <c r="G15" s="64"/>
      <c r="I15" s="50" t="s">
        <v>37</v>
      </c>
      <c r="J15" s="51"/>
      <c r="K15" s="52"/>
      <c r="M15" s="14" t="s">
        <v>47</v>
      </c>
      <c r="N15" s="11">
        <f>N12-N14</f>
        <v>0.18132231013843469</v>
      </c>
      <c r="O15" s="2"/>
      <c r="AA15">
        <v>-0.5</v>
      </c>
      <c r="AB15">
        <f>$N$16*AA15+$F$21</f>
        <v>0.15496980437394053</v>
      </c>
      <c r="AD15">
        <v>0</v>
      </c>
      <c r="AE15">
        <f>-F12</f>
        <v>-0.3</v>
      </c>
    </row>
    <row r="16" spans="1:31" ht="16.2" thickBot="1">
      <c r="E16" s="25" t="s">
        <v>23</v>
      </c>
      <c r="F16" s="26">
        <v>9.9000000000000005E-2</v>
      </c>
      <c r="G16" s="7" t="s">
        <v>24</v>
      </c>
      <c r="I16" s="25" t="s">
        <v>43</v>
      </c>
      <c r="J16" s="26">
        <v>1.2</v>
      </c>
      <c r="K16" s="7" t="s">
        <v>16</v>
      </c>
      <c r="M16" s="53"/>
      <c r="N16" s="54">
        <f>F17*(N14-N13-N9*(J17/F17)*(1-N11))</f>
        <v>-1.4519335128810432E-2</v>
      </c>
      <c r="O16" s="55"/>
      <c r="AA16">
        <v>0</v>
      </c>
      <c r="AB16">
        <f>$N$16*AA16+$F$21</f>
        <v>0.14771013680953532</v>
      </c>
      <c r="AD16">
        <f>AD14</f>
        <v>1.1000000000000001</v>
      </c>
      <c r="AE16">
        <f>AE15</f>
        <v>-0.3</v>
      </c>
    </row>
    <row r="17" spans="1:31" ht="16.2" thickBot="1">
      <c r="A17" s="59" t="s">
        <v>28</v>
      </c>
      <c r="B17" s="60"/>
      <c r="C17" s="61"/>
      <c r="E17" s="14" t="s">
        <v>26</v>
      </c>
      <c r="F17" s="11">
        <f>F16/(1+(F16/PI()*F10))</f>
        <v>8.0074730559771226E-2</v>
      </c>
      <c r="G17" s="2" t="s">
        <v>24</v>
      </c>
      <c r="I17" s="14" t="s">
        <v>31</v>
      </c>
      <c r="J17" s="11">
        <v>6.4404796637947098E-2</v>
      </c>
      <c r="K17" s="2" t="s">
        <v>24</v>
      </c>
      <c r="M17" s="53"/>
      <c r="N17" s="54"/>
      <c r="O17" s="55"/>
      <c r="AA17">
        <v>0.5</v>
      </c>
      <c r="AB17">
        <f>$N$16*AA17+$F$21</f>
        <v>0.14045046924513011</v>
      </c>
      <c r="AD17">
        <f>AD14</f>
        <v>1.1000000000000001</v>
      </c>
      <c r="AE17">
        <f>AE14</f>
        <v>0</v>
      </c>
    </row>
    <row r="18" spans="1:31" ht="16.2" thickBot="1">
      <c r="A18" s="12" t="s">
        <v>20</v>
      </c>
      <c r="B18" s="23">
        <v>7</v>
      </c>
      <c r="C18" s="3" t="s">
        <v>21</v>
      </c>
      <c r="E18" s="15" t="s">
        <v>45</v>
      </c>
      <c r="F18" s="11">
        <v>-3.339</v>
      </c>
      <c r="G18" s="2" t="s">
        <v>25</v>
      </c>
      <c r="I18" s="15" t="s">
        <v>45</v>
      </c>
      <c r="J18" s="11">
        <v>0</v>
      </c>
      <c r="K18" s="2" t="s">
        <v>25</v>
      </c>
      <c r="M18" s="28" t="s">
        <v>55</v>
      </c>
      <c r="N18" s="16">
        <f>N10+N11*RADIANS(F19)</f>
        <v>0.11335960268431355</v>
      </c>
      <c r="O18" s="3" t="s">
        <v>66</v>
      </c>
      <c r="AA18">
        <v>1</v>
      </c>
      <c r="AB18">
        <f>$N$16*AA18+$F$21</f>
        <v>0.13319080168072489</v>
      </c>
      <c r="AD18">
        <f>AD16</f>
        <v>1.1000000000000001</v>
      </c>
      <c r="AE18">
        <f>AE16</f>
        <v>-0.3</v>
      </c>
    </row>
    <row r="19" spans="1:31" ht="16.2" thickBot="1">
      <c r="E19" s="14" t="s">
        <v>46</v>
      </c>
      <c r="F19" s="65">
        <f>F24-F18</f>
        <v>8.3390000000000004</v>
      </c>
      <c r="G19" s="2" t="s">
        <v>25</v>
      </c>
      <c r="I19" s="14" t="s">
        <v>27</v>
      </c>
      <c r="J19" s="11">
        <v>0.19321438991384099</v>
      </c>
      <c r="K19" s="2"/>
      <c r="AA19">
        <v>1.5</v>
      </c>
      <c r="AB19">
        <f>$N$16*AA19+$F$21</f>
        <v>0.12593113411631968</v>
      </c>
    </row>
    <row r="20" spans="1:31" ht="16.2" thickBot="1">
      <c r="A20" s="47" t="s">
        <v>71</v>
      </c>
      <c r="B20" s="48"/>
      <c r="C20" s="49"/>
      <c r="E20" s="29" t="s">
        <v>40</v>
      </c>
      <c r="F20" s="20">
        <v>-0.1023</v>
      </c>
      <c r="G20" s="2"/>
      <c r="I20" s="29" t="s">
        <v>34</v>
      </c>
      <c r="J20" s="11">
        <v>5.2</v>
      </c>
      <c r="K20" s="2" t="s">
        <v>25</v>
      </c>
      <c r="AA20">
        <v>2</v>
      </c>
      <c r="AB20">
        <f>$N$16*AA20+$F$21</f>
        <v>0.11867146655191446</v>
      </c>
      <c r="AD20" t="s">
        <v>59</v>
      </c>
    </row>
    <row r="21" spans="1:31" ht="16.2" thickBot="1">
      <c r="A21" s="66" t="s">
        <v>58</v>
      </c>
      <c r="B21" s="17">
        <v>164.98699999999999</v>
      </c>
      <c r="C21" s="18" t="s">
        <v>68</v>
      </c>
      <c r="E21" s="14" t="s">
        <v>48</v>
      </c>
      <c r="F21" s="11">
        <f>F20+N9*J17*(J20+N10)</f>
        <v>0.14771013680953532</v>
      </c>
      <c r="G21" s="2"/>
      <c r="I21" s="36" t="s">
        <v>72</v>
      </c>
      <c r="J21" s="43">
        <f>F19-J20-(DEGREES(N18))</f>
        <v>-3.3560268010910441</v>
      </c>
      <c r="K21" s="33" t="s">
        <v>25</v>
      </c>
      <c r="AA21">
        <v>2.5</v>
      </c>
      <c r="AB21">
        <f>$N$16*AA21+$F$21</f>
        <v>0.11141179898750925</v>
      </c>
      <c r="AD21">
        <v>0</v>
      </c>
      <c r="AE21">
        <v>0</v>
      </c>
    </row>
    <row r="22" spans="1:31" ht="15.6">
      <c r="A22" s="14" t="s">
        <v>59</v>
      </c>
      <c r="B22" s="11">
        <v>486.69799999999998</v>
      </c>
      <c r="C22" s="2" t="s">
        <v>68</v>
      </c>
      <c r="E22" s="30" t="s">
        <v>49</v>
      </c>
      <c r="F22" s="20">
        <f>-F21/N16</f>
        <v>10.173340273442479</v>
      </c>
      <c r="G22" s="31" t="s">
        <v>25</v>
      </c>
      <c r="I22" s="25" t="s">
        <v>52</v>
      </c>
      <c r="J22" s="44">
        <f>J17*(J21-J18)</f>
        <v>-0.21614422363576882</v>
      </c>
      <c r="K22" s="7"/>
      <c r="AA22">
        <v>3</v>
      </c>
      <c r="AB22">
        <f>$N$16*AA22+$F$21</f>
        <v>0.10415213142310402</v>
      </c>
      <c r="AD22">
        <v>0</v>
      </c>
      <c r="AE22">
        <f>-((F12*N14)+J16+(J12*0.75))</f>
        <v>-1.4635607716915178</v>
      </c>
    </row>
    <row r="23" spans="1:31" ht="16.2" thickBot="1">
      <c r="A23" s="37" t="s">
        <v>69</v>
      </c>
      <c r="B23" s="38">
        <v>61.606999999999999</v>
      </c>
      <c r="C23" s="39" t="s">
        <v>68</v>
      </c>
      <c r="E23" s="29" t="s">
        <v>50</v>
      </c>
      <c r="F23" s="11">
        <f>F20+F19*F17*(N14-N13-N9*(J17/F17)*(1-N11))+N9*J17*(J20+N10)</f>
        <v>2.6633401170385124E-2</v>
      </c>
      <c r="G23" s="2"/>
      <c r="H23" s="24"/>
      <c r="I23" s="12" t="s">
        <v>53</v>
      </c>
      <c r="J23" s="45">
        <f>(B15*J13*J22)/9.81</f>
        <v>-7.7765488247652961E-2</v>
      </c>
      <c r="K23" s="3" t="s">
        <v>54</v>
      </c>
      <c r="AA23">
        <v>3.5</v>
      </c>
      <c r="AB23">
        <f>$N$16*AA23+$F$21</f>
        <v>9.6892463858698805E-2</v>
      </c>
    </row>
    <row r="24" spans="1:31" ht="16.2" thickBot="1">
      <c r="A24" s="40" t="s">
        <v>70</v>
      </c>
      <c r="B24" s="42">
        <f>SUM(B21:B23)</f>
        <v>713.29199999999992</v>
      </c>
      <c r="C24" s="41" t="s">
        <v>68</v>
      </c>
      <c r="E24" s="32" t="s">
        <v>51</v>
      </c>
      <c r="F24" s="43">
        <v>5</v>
      </c>
      <c r="G24" s="33" t="s">
        <v>25</v>
      </c>
      <c r="AA24">
        <v>4</v>
      </c>
      <c r="AB24">
        <f>$N$16*AA24+$F$21</f>
        <v>8.963279629429359E-2</v>
      </c>
      <c r="AD24" t="s">
        <v>60</v>
      </c>
    </row>
    <row r="25" spans="1:31" ht="16.2" thickBot="1">
      <c r="E25" s="25" t="s">
        <v>52</v>
      </c>
      <c r="F25" s="44">
        <f>F17*(F24-F18)</f>
        <v>0.66774317813793227</v>
      </c>
      <c r="G25" s="7"/>
      <c r="I25" s="67" t="s">
        <v>73</v>
      </c>
      <c r="J25" s="41">
        <v>0.96785790629621704</v>
      </c>
      <c r="AA25">
        <v>4.5</v>
      </c>
      <c r="AB25">
        <f>$N$16*AA25+$F$21</f>
        <v>8.2373128729888376E-2</v>
      </c>
      <c r="AD25">
        <v>0</v>
      </c>
      <c r="AE25">
        <f>AE22+J12</f>
        <v>-1.2846753334915346</v>
      </c>
    </row>
    <row r="26" spans="1:31" ht="15" thickBot="1">
      <c r="E26" s="12" t="s">
        <v>53</v>
      </c>
      <c r="F26" s="45">
        <f>(B15*F13*F25)/9.81</f>
        <v>1.3013222031799523</v>
      </c>
      <c r="G26" s="3" t="s">
        <v>54</v>
      </c>
      <c r="AA26">
        <v>5</v>
      </c>
      <c r="AB26">
        <f>$N$16*AA26+$F$21</f>
        <v>7.5113461165483161E-2</v>
      </c>
      <c r="AD26">
        <f>J11/2</f>
        <v>0.33541019662496846</v>
      </c>
      <c r="AE26">
        <f>AE25</f>
        <v>-1.2846753334915346</v>
      </c>
    </row>
    <row r="27" spans="1:31">
      <c r="F27" s="46">
        <f>F26+J23</f>
        <v>1.2235567149322992</v>
      </c>
      <c r="AA27">
        <v>5.5</v>
      </c>
      <c r="AB27">
        <f>$N$16*AA27+$F$21</f>
        <v>6.7853793601077947E-2</v>
      </c>
      <c r="AD27">
        <f>AD26</f>
        <v>0.33541019662496846</v>
      </c>
      <c r="AE27">
        <f>AE26-J12</f>
        <v>-1.4635607716915178</v>
      </c>
    </row>
    <row r="28" spans="1:31" ht="15" thickBot="1">
      <c r="F28">
        <f>(F27*9.81)/(B15*F13)</f>
        <v>0.62783962915902114</v>
      </c>
      <c r="I28" t="s">
        <v>76</v>
      </c>
      <c r="J28" t="s">
        <v>74</v>
      </c>
      <c r="K28" t="s">
        <v>75</v>
      </c>
      <c r="AA28">
        <v>6</v>
      </c>
      <c r="AB28">
        <f>$N$16*AA28+$F$21</f>
        <v>6.0594126036672719E-2</v>
      </c>
      <c r="AD28">
        <v>0</v>
      </c>
      <c r="AE28">
        <f>AE22</f>
        <v>-1.4635607716915178</v>
      </c>
    </row>
    <row r="29" spans="1:31" ht="15" thickBot="1">
      <c r="E29" s="47" t="s">
        <v>61</v>
      </c>
      <c r="F29" s="48"/>
      <c r="G29" s="49"/>
      <c r="I29" s="69">
        <f>J29+K29</f>
        <v>4.2506515051969208E-2</v>
      </c>
      <c r="J29" s="46">
        <f>(F28^2)/($J$25*PI()*6)</f>
        <v>2.160651505196921E-2</v>
      </c>
      <c r="K29" s="68">
        <v>2.0899999999999998E-2</v>
      </c>
      <c r="AA29">
        <v>6.5</v>
      </c>
      <c r="AB29">
        <f>$N$16*AA29+$F$21</f>
        <v>5.3334458472267504E-2</v>
      </c>
      <c r="AD29">
        <f>AD27</f>
        <v>0.33541019662496846</v>
      </c>
      <c r="AE29">
        <f>AE28</f>
        <v>-1.4635607716915178</v>
      </c>
    </row>
    <row r="30" spans="1:31">
      <c r="E30" s="35" t="s">
        <v>2</v>
      </c>
      <c r="F30" s="26">
        <v>0.7</v>
      </c>
      <c r="G30" s="7"/>
      <c r="AA30">
        <v>7</v>
      </c>
      <c r="AB30">
        <f>$N$16*AA30+$F$21</f>
        <v>4.607479090786229E-2</v>
      </c>
    </row>
    <row r="31" spans="1:31">
      <c r="E31" s="14" t="s">
        <v>0</v>
      </c>
      <c r="F31" s="20">
        <v>1.5</v>
      </c>
      <c r="G31" s="2"/>
      <c r="I31">
        <f>(B15*F13*I29)/9.81</f>
        <v>8.2838243246723675E-2</v>
      </c>
      <c r="J31" t="s">
        <v>77</v>
      </c>
      <c r="AA31">
        <v>7.5</v>
      </c>
      <c r="AB31">
        <f>$N$16*AA31+$F$21</f>
        <v>3.8815123343457075E-2</v>
      </c>
    </row>
    <row r="32" spans="1:31">
      <c r="E32" s="14" t="s">
        <v>1</v>
      </c>
      <c r="F32" s="20">
        <f>SQRT(F36*F31)</f>
        <v>0.38242646351945886</v>
      </c>
      <c r="G32" s="2" t="s">
        <v>16</v>
      </c>
      <c r="I32">
        <f>I31*1000</f>
        <v>82.838243246723678</v>
      </c>
      <c r="J32" t="s">
        <v>68</v>
      </c>
      <c r="AA32">
        <v>8</v>
      </c>
      <c r="AB32">
        <f>$N$16*AA32+$F$21</f>
        <v>3.1555455779051861E-2</v>
      </c>
    </row>
    <row r="33" spans="5:28" ht="15.6">
      <c r="E33" s="14" t="s">
        <v>62</v>
      </c>
      <c r="F33" s="20">
        <v>0.17</v>
      </c>
      <c r="G33" s="2" t="s">
        <v>16</v>
      </c>
      <c r="AA33">
        <v>8.5</v>
      </c>
      <c r="AB33">
        <f>$N$16*AA33+$F$21</f>
        <v>2.4295788214646646E-2</v>
      </c>
    </row>
    <row r="34" spans="5:28" ht="15.6">
      <c r="E34" s="14" t="s">
        <v>63</v>
      </c>
      <c r="F34" s="11">
        <f>F33*F30</f>
        <v>0.11899999999999999</v>
      </c>
      <c r="G34" s="2" t="s">
        <v>16</v>
      </c>
      <c r="AA34">
        <v>9</v>
      </c>
      <c r="AB34">
        <f>$N$16*AA34+$F$21</f>
        <v>1.7036120650241432E-2</v>
      </c>
    </row>
    <row r="35" spans="5:28">
      <c r="E35" s="14" t="s">
        <v>64</v>
      </c>
      <c r="F35" s="11">
        <f>(2/3)*F33*((1+F30+(F30^2))/(1+F30))</f>
        <v>0.14600000000000002</v>
      </c>
      <c r="G35" s="2" t="s">
        <v>16</v>
      </c>
      <c r="AA35">
        <v>9.5</v>
      </c>
      <c r="AB35">
        <f>$N$16*AA35+$F$21</f>
        <v>9.7764530858362175E-3</v>
      </c>
    </row>
    <row r="36" spans="5:28" ht="16.2" thickBot="1">
      <c r="E36" s="12" t="s">
        <v>65</v>
      </c>
      <c r="F36" s="16">
        <f>F13*0.15</f>
        <v>9.7500000000000003E-2</v>
      </c>
      <c r="G36" s="3" t="s">
        <v>19</v>
      </c>
      <c r="AA36">
        <v>10</v>
      </c>
      <c r="AB36">
        <f>$N$16*AA36+$F$21</f>
        <v>2.5167855214310031E-3</v>
      </c>
    </row>
  </sheetData>
  <mergeCells count="12">
    <mergeCell ref="A20:C20"/>
    <mergeCell ref="A8:C8"/>
    <mergeCell ref="A17:C17"/>
    <mergeCell ref="E8:G8"/>
    <mergeCell ref="E15:G15"/>
    <mergeCell ref="I8:K8"/>
    <mergeCell ref="E29:G29"/>
    <mergeCell ref="M8:O8"/>
    <mergeCell ref="I15:K15"/>
    <mergeCell ref="M16:M17"/>
    <mergeCell ref="N16:N17"/>
    <mergeCell ref="O16:O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Rendon Hoyos</dc:creator>
  <cp:lastModifiedBy>Miguel Angel Rendon Hoyos</cp:lastModifiedBy>
  <dcterms:created xsi:type="dcterms:W3CDTF">2024-10-03T01:04:06Z</dcterms:created>
  <dcterms:modified xsi:type="dcterms:W3CDTF">2024-10-24T03:25:17Z</dcterms:modified>
</cp:coreProperties>
</file>