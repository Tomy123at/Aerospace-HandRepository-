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D3854062-EF93-482A-94FB-CCCC4FCF613F}" xr6:coauthVersionLast="47" xr6:coauthVersionMax="47" xr10:uidLastSave="{00000000-0000-0000-0000-000000000000}"/>
  <bookViews>
    <workbookView xWindow="-120" yWindow="-120" windowWidth="29040" windowHeight="15720" xr2:uid="{6A821FFB-F668-4F01-B9F7-9F17E141C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4" i="1"/>
  <c r="E20" i="1"/>
  <c r="F20" i="1" s="1"/>
  <c r="E36" i="1"/>
  <c r="F36" i="1" s="1"/>
  <c r="E68" i="1"/>
  <c r="F68" i="1" s="1"/>
  <c r="E84" i="1"/>
  <c r="F84" i="1" s="1"/>
  <c r="E116" i="1"/>
  <c r="F116" i="1" s="1"/>
  <c r="E140" i="1"/>
  <c r="F140" i="1" s="1"/>
  <c r="E148" i="1"/>
  <c r="F148" i="1" s="1"/>
  <c r="E180" i="1"/>
  <c r="F180" i="1" s="1"/>
  <c r="E4" i="1"/>
  <c r="F4" i="1" s="1"/>
  <c r="D11" i="1"/>
  <c r="E11" i="1" s="1"/>
  <c r="D12" i="1"/>
  <c r="E12" i="1" s="1"/>
  <c r="F12" i="1" s="1"/>
  <c r="D20" i="1"/>
  <c r="D28" i="1"/>
  <c r="E28" i="1" s="1"/>
  <c r="F28" i="1" s="1"/>
  <c r="D35" i="1"/>
  <c r="E35" i="1" s="1"/>
  <c r="D36" i="1"/>
  <c r="D43" i="1"/>
  <c r="E43" i="1" s="1"/>
  <c r="D44" i="1"/>
  <c r="E44" i="1" s="1"/>
  <c r="F44" i="1" s="1"/>
  <c r="D52" i="1"/>
  <c r="E52" i="1" s="1"/>
  <c r="F52" i="1" s="1"/>
  <c r="D60" i="1"/>
  <c r="E60" i="1" s="1"/>
  <c r="F60" i="1" s="1"/>
  <c r="D67" i="1"/>
  <c r="E67" i="1" s="1"/>
  <c r="D68" i="1"/>
  <c r="D75" i="1"/>
  <c r="E75" i="1" s="1"/>
  <c r="D76" i="1"/>
  <c r="E76" i="1" s="1"/>
  <c r="F76" i="1" s="1"/>
  <c r="D84" i="1"/>
  <c r="D92" i="1"/>
  <c r="E92" i="1" s="1"/>
  <c r="F92" i="1" s="1"/>
  <c r="D99" i="1"/>
  <c r="E99" i="1" s="1"/>
  <c r="D100" i="1"/>
  <c r="E100" i="1" s="1"/>
  <c r="F100" i="1" s="1"/>
  <c r="D107" i="1"/>
  <c r="E107" i="1" s="1"/>
  <c r="D108" i="1"/>
  <c r="E108" i="1" s="1"/>
  <c r="F108" i="1" s="1"/>
  <c r="D116" i="1"/>
  <c r="D124" i="1"/>
  <c r="E124" i="1" s="1"/>
  <c r="F124" i="1" s="1"/>
  <c r="D127" i="1"/>
  <c r="E127" i="1" s="1"/>
  <c r="D132" i="1"/>
  <c r="E132" i="1" s="1"/>
  <c r="F132" i="1" s="1"/>
  <c r="D135" i="1"/>
  <c r="E135" i="1" s="1"/>
  <c r="D140" i="1"/>
  <c r="D143" i="1"/>
  <c r="E143" i="1" s="1"/>
  <c r="D148" i="1"/>
  <c r="D151" i="1"/>
  <c r="E151" i="1" s="1"/>
  <c r="D155" i="1"/>
  <c r="E155" i="1" s="1"/>
  <c r="D156" i="1"/>
  <c r="E156" i="1" s="1"/>
  <c r="F156" i="1" s="1"/>
  <c r="D159" i="1"/>
  <c r="E159" i="1" s="1"/>
  <c r="D164" i="1"/>
  <c r="E164" i="1" s="1"/>
  <c r="F164" i="1" s="1"/>
  <c r="D167" i="1"/>
  <c r="E167" i="1" s="1"/>
  <c r="D172" i="1"/>
  <c r="E172" i="1" s="1"/>
  <c r="F172" i="1" s="1"/>
  <c r="D175" i="1"/>
  <c r="E175" i="1" s="1"/>
  <c r="D179" i="1"/>
  <c r="E179" i="1" s="1"/>
  <c r="D180" i="1"/>
  <c r="D183" i="1"/>
  <c r="E183" i="1" s="1"/>
  <c r="D188" i="1"/>
  <c r="E188" i="1" s="1"/>
  <c r="F188" i="1" s="1"/>
  <c r="D191" i="1"/>
  <c r="E191" i="1" s="1"/>
  <c r="D196" i="1"/>
  <c r="E196" i="1" s="1"/>
  <c r="F196" i="1" s="1"/>
  <c r="D199" i="1"/>
  <c r="E199" i="1" s="1"/>
  <c r="D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D27" i="1" s="1"/>
  <c r="E27" i="1" s="1"/>
  <c r="C28" i="1"/>
  <c r="C29" i="1"/>
  <c r="C30" i="1"/>
  <c r="C31" i="1"/>
  <c r="C32" i="1"/>
  <c r="C33" i="1"/>
  <c r="C34" i="1"/>
  <c r="C35" i="1"/>
  <c r="F35" i="1" s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D51" i="1" s="1"/>
  <c r="E51" i="1" s="1"/>
  <c r="F51" i="1" s="1"/>
  <c r="C52" i="1"/>
  <c r="C53" i="1"/>
  <c r="C54" i="1"/>
  <c r="C55" i="1"/>
  <c r="C56" i="1"/>
  <c r="C57" i="1"/>
  <c r="C58" i="1"/>
  <c r="C59" i="1"/>
  <c r="D59" i="1" s="1"/>
  <c r="E59" i="1" s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D91" i="1" s="1"/>
  <c r="E91" i="1" s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D123" i="1" s="1"/>
  <c r="E123" i="1" s="1"/>
  <c r="C124" i="1"/>
  <c r="C125" i="1"/>
  <c r="C126" i="1"/>
  <c r="C127" i="1"/>
  <c r="C128" i="1"/>
  <c r="C129" i="1"/>
  <c r="C130" i="1"/>
  <c r="C131" i="1"/>
  <c r="D131" i="1" s="1"/>
  <c r="E131" i="1" s="1"/>
  <c r="C132" i="1"/>
  <c r="C133" i="1"/>
  <c r="C134" i="1"/>
  <c r="C135" i="1"/>
  <c r="C136" i="1"/>
  <c r="C137" i="1"/>
  <c r="C138" i="1"/>
  <c r="C139" i="1"/>
  <c r="C140" i="1"/>
  <c r="C141" i="1"/>
  <c r="C142" i="1"/>
  <c r="C143" i="1"/>
  <c r="F143" i="1" s="1"/>
  <c r="C144" i="1"/>
  <c r="C145" i="1"/>
  <c r="C146" i="1"/>
  <c r="C147" i="1"/>
  <c r="D147" i="1" s="1"/>
  <c r="E147" i="1" s="1"/>
  <c r="C148" i="1"/>
  <c r="C149" i="1"/>
  <c r="C150" i="1"/>
  <c r="C151" i="1"/>
  <c r="F151" i="1" s="1"/>
  <c r="C152" i="1"/>
  <c r="C153" i="1"/>
  <c r="C154" i="1"/>
  <c r="C155" i="1"/>
  <c r="C156" i="1"/>
  <c r="C157" i="1"/>
  <c r="C158" i="1"/>
  <c r="C159" i="1"/>
  <c r="F159" i="1" s="1"/>
  <c r="C160" i="1"/>
  <c r="C161" i="1"/>
  <c r="C162" i="1"/>
  <c r="C163" i="1"/>
  <c r="C164" i="1"/>
  <c r="C165" i="1"/>
  <c r="C166" i="1"/>
  <c r="C167" i="1"/>
  <c r="F167" i="1" s="1"/>
  <c r="C168" i="1"/>
  <c r="C169" i="1"/>
  <c r="C170" i="1"/>
  <c r="C171" i="1"/>
  <c r="D171" i="1" s="1"/>
  <c r="E171" i="1" s="1"/>
  <c r="C172" i="1"/>
  <c r="C173" i="1"/>
  <c r="C174" i="1"/>
  <c r="C175" i="1"/>
  <c r="C176" i="1"/>
  <c r="C177" i="1"/>
  <c r="C178" i="1"/>
  <c r="C179" i="1"/>
  <c r="C180" i="1"/>
  <c r="C181" i="1"/>
  <c r="C182" i="1"/>
  <c r="C183" i="1"/>
  <c r="F183" i="1" s="1"/>
  <c r="C184" i="1"/>
  <c r="C185" i="1"/>
  <c r="C186" i="1"/>
  <c r="C187" i="1"/>
  <c r="D187" i="1" s="1"/>
  <c r="E187" i="1" s="1"/>
  <c r="C188" i="1"/>
  <c r="C189" i="1"/>
  <c r="C190" i="1"/>
  <c r="C191" i="1"/>
  <c r="F191" i="1" s="1"/>
  <c r="C192" i="1"/>
  <c r="C193" i="1"/>
  <c r="C194" i="1"/>
  <c r="C195" i="1"/>
  <c r="D195" i="1" s="1"/>
  <c r="E195" i="1" s="1"/>
  <c r="C196" i="1"/>
  <c r="C197" i="1"/>
  <c r="C198" i="1"/>
  <c r="C199" i="1"/>
  <c r="C200" i="1"/>
  <c r="C201" i="1"/>
  <c r="C202" i="1"/>
  <c r="C203" i="1"/>
  <c r="C3" i="1"/>
  <c r="F184" i="1" l="1"/>
  <c r="F48" i="1"/>
  <c r="F40" i="1"/>
  <c r="F199" i="1"/>
  <c r="F175" i="1"/>
  <c r="F135" i="1"/>
  <c r="F127" i="1"/>
  <c r="F182" i="1"/>
  <c r="F102" i="1"/>
  <c r="F94" i="1"/>
  <c r="F38" i="1"/>
  <c r="F30" i="1"/>
  <c r="F89" i="1"/>
  <c r="F41" i="1"/>
  <c r="F197" i="1"/>
  <c r="F133" i="1"/>
  <c r="F69" i="1"/>
  <c r="F5" i="1"/>
  <c r="F104" i="1"/>
  <c r="F195" i="1"/>
  <c r="F187" i="1"/>
  <c r="F179" i="1"/>
  <c r="F171" i="1"/>
  <c r="F155" i="1"/>
  <c r="F147" i="1"/>
  <c r="F139" i="1"/>
  <c r="F131" i="1"/>
  <c r="F123" i="1"/>
  <c r="F107" i="1"/>
  <c r="F99" i="1"/>
  <c r="F91" i="1"/>
  <c r="F75" i="1"/>
  <c r="F67" i="1"/>
  <c r="F59" i="1"/>
  <c r="F43" i="1"/>
  <c r="F27" i="1"/>
  <c r="F11" i="1"/>
  <c r="D163" i="1"/>
  <c r="E163" i="1" s="1"/>
  <c r="F163" i="1" s="1"/>
  <c r="F177" i="1"/>
  <c r="F203" i="1"/>
  <c r="F202" i="1"/>
  <c r="D202" i="1"/>
  <c r="E202" i="1" s="1"/>
  <c r="D194" i="1"/>
  <c r="E194" i="1" s="1"/>
  <c r="F194" i="1" s="1"/>
  <c r="D186" i="1"/>
  <c r="E186" i="1" s="1"/>
  <c r="F186" i="1" s="1"/>
  <c r="D178" i="1"/>
  <c r="E178" i="1" s="1"/>
  <c r="F178" i="1" s="1"/>
  <c r="F170" i="1"/>
  <c r="D170" i="1"/>
  <c r="E170" i="1" s="1"/>
  <c r="D162" i="1"/>
  <c r="E162" i="1" s="1"/>
  <c r="F162" i="1" s="1"/>
  <c r="D154" i="1"/>
  <c r="E154" i="1" s="1"/>
  <c r="F154" i="1" s="1"/>
  <c r="D146" i="1"/>
  <c r="E146" i="1" s="1"/>
  <c r="F146" i="1" s="1"/>
  <c r="F138" i="1"/>
  <c r="D138" i="1"/>
  <c r="E138" i="1" s="1"/>
  <c r="D130" i="1"/>
  <c r="E130" i="1" s="1"/>
  <c r="F130" i="1" s="1"/>
  <c r="D122" i="1"/>
  <c r="E122" i="1" s="1"/>
  <c r="F122" i="1" s="1"/>
  <c r="D114" i="1"/>
  <c r="E114" i="1" s="1"/>
  <c r="F114" i="1" s="1"/>
  <c r="F106" i="1"/>
  <c r="D106" i="1"/>
  <c r="E106" i="1" s="1"/>
  <c r="D98" i="1"/>
  <c r="E98" i="1" s="1"/>
  <c r="F98" i="1" s="1"/>
  <c r="D90" i="1"/>
  <c r="E90" i="1" s="1"/>
  <c r="F90" i="1" s="1"/>
  <c r="D82" i="1"/>
  <c r="E82" i="1" s="1"/>
  <c r="F82" i="1" s="1"/>
  <c r="F74" i="1"/>
  <c r="D74" i="1"/>
  <c r="E74" i="1" s="1"/>
  <c r="D66" i="1"/>
  <c r="E66" i="1" s="1"/>
  <c r="F66" i="1" s="1"/>
  <c r="D58" i="1"/>
  <c r="E58" i="1" s="1"/>
  <c r="F58" i="1" s="1"/>
  <c r="D50" i="1"/>
  <c r="E50" i="1" s="1"/>
  <c r="F50" i="1" s="1"/>
  <c r="F42" i="1"/>
  <c r="D42" i="1"/>
  <c r="E42" i="1" s="1"/>
  <c r="D34" i="1"/>
  <c r="E34" i="1" s="1"/>
  <c r="F34" i="1" s="1"/>
  <c r="D26" i="1"/>
  <c r="E26" i="1" s="1"/>
  <c r="F26" i="1" s="1"/>
  <c r="D18" i="1"/>
  <c r="E18" i="1" s="1"/>
  <c r="F18" i="1" s="1"/>
  <c r="F10" i="1"/>
  <c r="D10" i="1"/>
  <c r="E10" i="1" s="1"/>
  <c r="D203" i="1"/>
  <c r="E203" i="1" s="1"/>
  <c r="D139" i="1"/>
  <c r="E139" i="1" s="1"/>
  <c r="D115" i="1"/>
  <c r="E115" i="1" s="1"/>
  <c r="F115" i="1" s="1"/>
  <c r="D83" i="1"/>
  <c r="E83" i="1" s="1"/>
  <c r="F83" i="1" s="1"/>
  <c r="D19" i="1"/>
  <c r="E19" i="1" s="1"/>
  <c r="F19" i="1" s="1"/>
  <c r="D201" i="1"/>
  <c r="E201" i="1" s="1"/>
  <c r="F201" i="1" s="1"/>
  <c r="D193" i="1"/>
  <c r="E193" i="1" s="1"/>
  <c r="F193" i="1" s="1"/>
  <c r="D185" i="1"/>
  <c r="E185" i="1" s="1"/>
  <c r="F185" i="1" s="1"/>
  <c r="D177" i="1"/>
  <c r="E177" i="1" s="1"/>
  <c r="D169" i="1"/>
  <c r="E169" i="1" s="1"/>
  <c r="F169" i="1" s="1"/>
  <c r="D161" i="1"/>
  <c r="E161" i="1" s="1"/>
  <c r="F161" i="1" s="1"/>
  <c r="D153" i="1"/>
  <c r="E153" i="1" s="1"/>
  <c r="F153" i="1" s="1"/>
  <c r="D145" i="1"/>
  <c r="E145" i="1" s="1"/>
  <c r="F145" i="1" s="1"/>
  <c r="D137" i="1"/>
  <c r="E137" i="1" s="1"/>
  <c r="F137" i="1" s="1"/>
  <c r="D129" i="1"/>
  <c r="E129" i="1" s="1"/>
  <c r="F129" i="1" s="1"/>
  <c r="D121" i="1"/>
  <c r="E121" i="1" s="1"/>
  <c r="F121" i="1" s="1"/>
  <c r="D113" i="1"/>
  <c r="E113" i="1" s="1"/>
  <c r="F113" i="1" s="1"/>
  <c r="D105" i="1"/>
  <c r="E105" i="1" s="1"/>
  <c r="F105" i="1" s="1"/>
  <c r="D97" i="1"/>
  <c r="E97" i="1" s="1"/>
  <c r="F97" i="1" s="1"/>
  <c r="D89" i="1"/>
  <c r="E89" i="1" s="1"/>
  <c r="D81" i="1"/>
  <c r="E81" i="1" s="1"/>
  <c r="F81" i="1" s="1"/>
  <c r="D73" i="1"/>
  <c r="E73" i="1" s="1"/>
  <c r="F73" i="1" s="1"/>
  <c r="D65" i="1"/>
  <c r="E65" i="1" s="1"/>
  <c r="F65" i="1" s="1"/>
  <c r="D57" i="1"/>
  <c r="E57" i="1" s="1"/>
  <c r="F57" i="1" s="1"/>
  <c r="D49" i="1"/>
  <c r="E49" i="1" s="1"/>
  <c r="F49" i="1" s="1"/>
  <c r="D41" i="1"/>
  <c r="E41" i="1" s="1"/>
  <c r="D33" i="1"/>
  <c r="E33" i="1" s="1"/>
  <c r="F33" i="1" s="1"/>
  <c r="D25" i="1"/>
  <c r="E25" i="1" s="1"/>
  <c r="F25" i="1" s="1"/>
  <c r="D17" i="1"/>
  <c r="E17" i="1" s="1"/>
  <c r="F17" i="1" s="1"/>
  <c r="D9" i="1"/>
  <c r="E9" i="1" s="1"/>
  <c r="F9" i="1" s="1"/>
  <c r="D200" i="1"/>
  <c r="E200" i="1" s="1"/>
  <c r="F200" i="1" s="1"/>
  <c r="D192" i="1"/>
  <c r="E192" i="1" s="1"/>
  <c r="F192" i="1" s="1"/>
  <c r="D184" i="1"/>
  <c r="E184" i="1" s="1"/>
  <c r="D176" i="1"/>
  <c r="E176" i="1" s="1"/>
  <c r="F176" i="1" s="1"/>
  <c r="D168" i="1"/>
  <c r="E168" i="1" s="1"/>
  <c r="F168" i="1" s="1"/>
  <c r="D160" i="1"/>
  <c r="E160" i="1" s="1"/>
  <c r="F160" i="1" s="1"/>
  <c r="D152" i="1"/>
  <c r="E152" i="1" s="1"/>
  <c r="F152" i="1" s="1"/>
  <c r="D144" i="1"/>
  <c r="E144" i="1" s="1"/>
  <c r="F144" i="1" s="1"/>
  <c r="D136" i="1"/>
  <c r="E136" i="1" s="1"/>
  <c r="F136" i="1" s="1"/>
  <c r="D128" i="1"/>
  <c r="E128" i="1" s="1"/>
  <c r="F128" i="1" s="1"/>
  <c r="D120" i="1"/>
  <c r="E120" i="1" s="1"/>
  <c r="F120" i="1" s="1"/>
  <c r="D112" i="1"/>
  <c r="E112" i="1" s="1"/>
  <c r="F112" i="1" s="1"/>
  <c r="D104" i="1"/>
  <c r="E104" i="1" s="1"/>
  <c r="D96" i="1"/>
  <c r="E96" i="1" s="1"/>
  <c r="F96" i="1" s="1"/>
  <c r="D88" i="1"/>
  <c r="E88" i="1" s="1"/>
  <c r="F88" i="1" s="1"/>
  <c r="D80" i="1"/>
  <c r="E80" i="1" s="1"/>
  <c r="F80" i="1" s="1"/>
  <c r="D72" i="1"/>
  <c r="E72" i="1" s="1"/>
  <c r="F72" i="1" s="1"/>
  <c r="D64" i="1"/>
  <c r="E64" i="1" s="1"/>
  <c r="F64" i="1" s="1"/>
  <c r="D56" i="1"/>
  <c r="E56" i="1" s="1"/>
  <c r="F56" i="1" s="1"/>
  <c r="D48" i="1"/>
  <c r="E48" i="1" s="1"/>
  <c r="D40" i="1"/>
  <c r="E40" i="1" s="1"/>
  <c r="D32" i="1"/>
  <c r="E32" i="1" s="1"/>
  <c r="F32" i="1" s="1"/>
  <c r="D24" i="1"/>
  <c r="E24" i="1" s="1"/>
  <c r="F24" i="1" s="1"/>
  <c r="D16" i="1"/>
  <c r="E16" i="1" s="1"/>
  <c r="F16" i="1" s="1"/>
  <c r="D8" i="1"/>
  <c r="E8" i="1" s="1"/>
  <c r="F8" i="1" s="1"/>
  <c r="D119" i="1"/>
  <c r="E119" i="1" s="1"/>
  <c r="F119" i="1" s="1"/>
  <c r="D111" i="1"/>
  <c r="E111" i="1" s="1"/>
  <c r="F111" i="1" s="1"/>
  <c r="D103" i="1"/>
  <c r="E103" i="1" s="1"/>
  <c r="F103" i="1" s="1"/>
  <c r="D95" i="1"/>
  <c r="E95" i="1" s="1"/>
  <c r="F95" i="1" s="1"/>
  <c r="D87" i="1"/>
  <c r="E87" i="1" s="1"/>
  <c r="F87" i="1" s="1"/>
  <c r="D79" i="1"/>
  <c r="E79" i="1" s="1"/>
  <c r="F79" i="1" s="1"/>
  <c r="D71" i="1"/>
  <c r="E71" i="1" s="1"/>
  <c r="F71" i="1" s="1"/>
  <c r="D63" i="1"/>
  <c r="E63" i="1" s="1"/>
  <c r="F63" i="1" s="1"/>
  <c r="D55" i="1"/>
  <c r="E55" i="1" s="1"/>
  <c r="F55" i="1" s="1"/>
  <c r="D47" i="1"/>
  <c r="E47" i="1" s="1"/>
  <c r="F47" i="1" s="1"/>
  <c r="D39" i="1"/>
  <c r="E39" i="1" s="1"/>
  <c r="F39" i="1" s="1"/>
  <c r="D31" i="1"/>
  <c r="E31" i="1" s="1"/>
  <c r="F31" i="1" s="1"/>
  <c r="D23" i="1"/>
  <c r="E23" i="1" s="1"/>
  <c r="F23" i="1" s="1"/>
  <c r="D15" i="1"/>
  <c r="E15" i="1" s="1"/>
  <c r="F15" i="1" s="1"/>
  <c r="D7" i="1"/>
  <c r="E7" i="1" s="1"/>
  <c r="F7" i="1" s="1"/>
  <c r="D198" i="1"/>
  <c r="E198" i="1" s="1"/>
  <c r="F198" i="1" s="1"/>
  <c r="D190" i="1"/>
  <c r="E190" i="1" s="1"/>
  <c r="F190" i="1" s="1"/>
  <c r="D182" i="1"/>
  <c r="E182" i="1" s="1"/>
  <c r="D174" i="1"/>
  <c r="E174" i="1" s="1"/>
  <c r="F174" i="1" s="1"/>
  <c r="D166" i="1"/>
  <c r="E166" i="1" s="1"/>
  <c r="F166" i="1" s="1"/>
  <c r="D158" i="1"/>
  <c r="E158" i="1" s="1"/>
  <c r="F158" i="1" s="1"/>
  <c r="D150" i="1"/>
  <c r="E150" i="1" s="1"/>
  <c r="F150" i="1" s="1"/>
  <c r="D142" i="1"/>
  <c r="E142" i="1" s="1"/>
  <c r="F142" i="1" s="1"/>
  <c r="D134" i="1"/>
  <c r="E134" i="1" s="1"/>
  <c r="F134" i="1" s="1"/>
  <c r="D126" i="1"/>
  <c r="E126" i="1" s="1"/>
  <c r="F126" i="1" s="1"/>
  <c r="D118" i="1"/>
  <c r="E118" i="1" s="1"/>
  <c r="F118" i="1" s="1"/>
  <c r="D110" i="1"/>
  <c r="E110" i="1" s="1"/>
  <c r="F110" i="1" s="1"/>
  <c r="D102" i="1"/>
  <c r="E102" i="1" s="1"/>
  <c r="D94" i="1"/>
  <c r="E94" i="1" s="1"/>
  <c r="D86" i="1"/>
  <c r="E86" i="1" s="1"/>
  <c r="F86" i="1" s="1"/>
  <c r="D78" i="1"/>
  <c r="E78" i="1" s="1"/>
  <c r="F78" i="1" s="1"/>
  <c r="D70" i="1"/>
  <c r="E70" i="1" s="1"/>
  <c r="F70" i="1" s="1"/>
  <c r="D62" i="1"/>
  <c r="E62" i="1" s="1"/>
  <c r="F62" i="1" s="1"/>
  <c r="D54" i="1"/>
  <c r="E54" i="1" s="1"/>
  <c r="F54" i="1" s="1"/>
  <c r="D46" i="1"/>
  <c r="E46" i="1" s="1"/>
  <c r="F46" i="1" s="1"/>
  <c r="D38" i="1"/>
  <c r="E38" i="1" s="1"/>
  <c r="D30" i="1"/>
  <c r="E30" i="1" s="1"/>
  <c r="D22" i="1"/>
  <c r="E22" i="1" s="1"/>
  <c r="F22" i="1" s="1"/>
  <c r="D14" i="1"/>
  <c r="E14" i="1" s="1"/>
  <c r="F14" i="1" s="1"/>
  <c r="D6" i="1"/>
  <c r="E6" i="1" s="1"/>
  <c r="F6" i="1" s="1"/>
  <c r="D197" i="1"/>
  <c r="E197" i="1" s="1"/>
  <c r="D189" i="1"/>
  <c r="E189" i="1" s="1"/>
  <c r="F189" i="1" s="1"/>
  <c r="D181" i="1"/>
  <c r="E181" i="1" s="1"/>
  <c r="F181" i="1" s="1"/>
  <c r="D173" i="1"/>
  <c r="E173" i="1" s="1"/>
  <c r="F173" i="1" s="1"/>
  <c r="D165" i="1"/>
  <c r="E165" i="1" s="1"/>
  <c r="F165" i="1" s="1"/>
  <c r="D157" i="1"/>
  <c r="E157" i="1" s="1"/>
  <c r="F157" i="1" s="1"/>
  <c r="D149" i="1"/>
  <c r="E149" i="1" s="1"/>
  <c r="F149" i="1" s="1"/>
  <c r="D141" i="1"/>
  <c r="E141" i="1" s="1"/>
  <c r="F141" i="1" s="1"/>
  <c r="D133" i="1"/>
  <c r="E133" i="1" s="1"/>
  <c r="D125" i="1"/>
  <c r="E125" i="1" s="1"/>
  <c r="F125" i="1" s="1"/>
  <c r="D117" i="1"/>
  <c r="E117" i="1" s="1"/>
  <c r="F117" i="1" s="1"/>
  <c r="D109" i="1"/>
  <c r="E109" i="1" s="1"/>
  <c r="F109" i="1" s="1"/>
  <c r="D101" i="1"/>
  <c r="E101" i="1" s="1"/>
  <c r="F101" i="1" s="1"/>
  <c r="D93" i="1"/>
  <c r="E93" i="1" s="1"/>
  <c r="F93" i="1" s="1"/>
  <c r="D85" i="1"/>
  <c r="E85" i="1" s="1"/>
  <c r="F85" i="1" s="1"/>
  <c r="D77" i="1"/>
  <c r="E77" i="1" s="1"/>
  <c r="F77" i="1" s="1"/>
  <c r="D69" i="1"/>
  <c r="E69" i="1" s="1"/>
  <c r="D61" i="1"/>
  <c r="E61" i="1" s="1"/>
  <c r="F61" i="1" s="1"/>
  <c r="D53" i="1"/>
  <c r="E53" i="1" s="1"/>
  <c r="F53" i="1" s="1"/>
  <c r="D45" i="1"/>
  <c r="E45" i="1" s="1"/>
  <c r="F45" i="1" s="1"/>
  <c r="D37" i="1"/>
  <c r="E37" i="1" s="1"/>
  <c r="F37" i="1" s="1"/>
  <c r="D29" i="1"/>
  <c r="E29" i="1" s="1"/>
  <c r="F29" i="1" s="1"/>
  <c r="D21" i="1"/>
  <c r="E21" i="1" s="1"/>
  <c r="F21" i="1" s="1"/>
  <c r="D13" i="1"/>
  <c r="E13" i="1" s="1"/>
  <c r="F13" i="1" s="1"/>
  <c r="D5" i="1"/>
  <c r="E5" i="1" s="1"/>
</calcChain>
</file>

<file path=xl/sharedStrings.xml><?xml version="1.0" encoding="utf-8"?>
<sst xmlns="http://schemas.openxmlformats.org/spreadsheetml/2006/main" count="12" uniqueCount="12">
  <si>
    <t>V</t>
  </si>
  <si>
    <t>S</t>
  </si>
  <si>
    <t>AR</t>
  </si>
  <si>
    <t>W</t>
  </si>
  <si>
    <t>q</t>
  </si>
  <si>
    <t>rho</t>
  </si>
  <si>
    <t>Cl</t>
  </si>
  <si>
    <t>Cdi</t>
  </si>
  <si>
    <t>e</t>
  </si>
  <si>
    <t>Cdo</t>
  </si>
  <si>
    <t>Di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</si>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</sst>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Hoja1!$F$2</c:f>
              <c:strCache>
                <c:ptCount val="1"/>
                <c:pt idx="0">
                  <c:v>Di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Hoja1!$B$53:$B$203</c:f>
              <c:numCache>
                <c:formatCode>General</c:formatCode>
                <c:ptCount val="15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</c:numCache>
            </c:numRef>
          </c:xVal>
          <c:yVal>
            <c:numRef>
              <c:f>Hoja1!$F$53:$F$203</c:f>
              <c:numCache>
                <c:formatCode>General</c:formatCode>
                <c:ptCount val="151"/>
                <c:pt idx="0">
                  <c:v>80520.772394549829</c:v>
                </c:pt>
                <c:pt idx="1">
                  <c:v>77394.052666810676</c:v>
                </c:pt>
                <c:pt idx="2">
                  <c:v>74445.980394369297</c:v>
                </c:pt>
                <c:pt idx="3">
                  <c:v>71663.200778346232</c:v>
                </c:pt>
                <c:pt idx="4">
                  <c:v>69033.584014531734</c:v>
                </c:pt>
                <c:pt idx="5">
                  <c:v>66546.092888057712</c:v>
                </c:pt>
                <c:pt idx="6">
                  <c:v>64190.666768614326</c:v>
                </c:pt>
                <c:pt idx="7">
                  <c:v>61958.119724953707</c:v>
                </c:pt>
                <c:pt idx="8">
                  <c:v>59840.050828292093</c:v>
                </c:pt>
                <c:pt idx="9">
                  <c:v>57828.76500614034</c:v>
                </c:pt>
                <c:pt idx="10">
                  <c:v>55917.20305177071</c:v>
                </c:pt>
                <c:pt idx="11">
                  <c:v>54098.879598595682</c:v>
                </c:pt>
                <c:pt idx="12">
                  <c:v>52367.828040159875</c:v>
                </c:pt>
                <c:pt idx="13">
                  <c:v>50718.551520880472</c:v>
                </c:pt>
                <c:pt idx="14">
                  <c:v>49145.979244720344</c:v>
                </c:pt>
                <c:pt idx="15">
                  <c:v>47645.42745239634</c:v>
                </c:pt>
                <c:pt idx="16">
                  <c:v>46212.564505595627</c:v>
                </c:pt>
                <c:pt idx="17">
                  <c:v>44843.379591529192</c:v>
                </c:pt>
                <c:pt idx="18">
                  <c:v>43534.154625081006</c:v>
                </c:pt>
                <c:pt idx="19">
                  <c:v>42281.438980544968</c:v>
                </c:pt>
                <c:pt idx="20">
                  <c:v>41082.026731913174</c:v>
                </c:pt>
                <c:pt idx="21">
                  <c:v>39932.936121082035</c:v>
                </c:pt>
                <c:pt idx="22">
                  <c:v>38831.391008174098</c:v>
                </c:pt>
                <c:pt idx="23">
                  <c:v>37774.804088266937</c:v>
                </c:pt>
                <c:pt idx="24">
                  <c:v>36760.761684874822</c:v>
                </c:pt>
                <c:pt idx="25">
                  <c:v>35787.009953133245</c:v>
                </c:pt>
                <c:pt idx="26">
                  <c:v>34851.44234528645</c:v>
                </c:pt>
                <c:pt idx="27">
                  <c:v>33952.088208192705</c:v>
                </c:pt>
                <c:pt idx="28">
                  <c:v>33087.102397497474</c:v>
                </c:pt>
                <c:pt idx="29">
                  <c:v>32254.75580618083</c:v>
                </c:pt>
                <c:pt idx="30">
                  <c:v>31453.426716621023</c:v>
                </c:pt>
                <c:pt idx="31">
                  <c:v>30681.592895347432</c:v>
                </c:pt>
                <c:pt idx="32">
                  <c:v>29937.824358473317</c:v>
                </c:pt>
                <c:pt idx="33">
                  <c:v>29220.776743558505</c:v>
                </c:pt>
                <c:pt idx="34">
                  <c:v>28529.185230495263</c:v>
                </c:pt>
                <c:pt idx="35">
                  <c:v>27861.858960051843</c:v>
                </c:pt>
                <c:pt idx="36">
                  <c:v>27217.675904052805</c:v>
                </c:pt>
                <c:pt idx="37">
                  <c:v>26595.578145907592</c:v>
                </c:pt>
                <c:pt idx="38">
                  <c:v>25994.567534397545</c:v>
                </c:pt>
                <c:pt idx="39">
                  <c:v>25413.701677360747</c:v>
                </c:pt>
                <c:pt idx="40">
                  <c:v>24852.090245231426</c:v>
                </c:pt>
                <c:pt idx="41">
                  <c:v>24308.891557345076</c:v>
                </c:pt>
                <c:pt idx="42">
                  <c:v>23783.309426556538</c:v>
                </c:pt>
                <c:pt idx="43">
                  <c:v>23274.590240071055</c:v>
                </c:pt>
                <c:pt idx="44">
                  <c:v>22782.020256493273</c:v>
                </c:pt>
                <c:pt idx="45">
                  <c:v>22304.923100983331</c:v>
                </c:pt>
                <c:pt idx="46">
                  <c:v>21842.657442097934</c:v>
                </c:pt>
                <c:pt idx="47">
                  <c:v>21394.614835410201</c:v>
                </c:pt>
                <c:pt idx="48">
                  <c:v>20960.217720363868</c:v>
                </c:pt>
                <c:pt idx="49">
                  <c:v>20538.9175580425</c:v>
                </c:pt>
                <c:pt idx="50">
                  <c:v>20130.193098637457</c:v>
                </c:pt>
                <c:pt idx="51">
                  <c:v>19733.54876839276</c:v>
                </c:pt>
                <c:pt idx="52">
                  <c:v>19348.513166702669</c:v>
                </c:pt>
                <c:pt idx="53">
                  <c:v>18974.6376648482</c:v>
                </c:pt>
                <c:pt idx="54">
                  <c:v>18611.495098592324</c:v>
                </c:pt>
                <c:pt idx="55">
                  <c:v>18258.678547516967</c:v>
                </c:pt>
                <c:pt idx="56">
                  <c:v>17915.800194586558</c:v>
                </c:pt>
                <c:pt idx="57">
                  <c:v>17582.490259968083</c:v>
                </c:pt>
                <c:pt idx="58">
                  <c:v>17258.396003632934</c:v>
                </c:pt>
                <c:pt idx="59">
                  <c:v>16943.180791715728</c:v>
                </c:pt>
                <c:pt idx="60">
                  <c:v>16636.523222014428</c:v>
                </c:pt>
                <c:pt idx="61">
                  <c:v>16338.116304388817</c:v>
                </c:pt>
                <c:pt idx="62">
                  <c:v>16047.666692153582</c:v>
                </c:pt>
                <c:pt idx="63">
                  <c:v>15764.893960871999</c:v>
                </c:pt>
                <c:pt idx="64">
                  <c:v>15489.529931238427</c:v>
                </c:pt>
                <c:pt idx="65">
                  <c:v>15221.318032996189</c:v>
                </c:pt>
                <c:pt idx="66">
                  <c:v>14960.012707073023</c:v>
                </c:pt>
                <c:pt idx="67">
                  <c:v>14705.378843332206</c:v>
                </c:pt>
                <c:pt idx="68">
                  <c:v>14457.191251535085</c:v>
                </c:pt>
                <c:pt idx="69">
                  <c:v>14215.234163291758</c:v>
                </c:pt>
                <c:pt idx="70">
                  <c:v>13979.300762942677</c:v>
                </c:pt>
                <c:pt idx="71">
                  <c:v>13749.192745466467</c:v>
                </c:pt>
                <c:pt idx="72">
                  <c:v>13524.719899648921</c:v>
                </c:pt>
                <c:pt idx="73">
                  <c:v>13305.699714877028</c:v>
                </c:pt>
                <c:pt idx="74">
                  <c:v>13091.957010039969</c:v>
                </c:pt>
                <c:pt idx="75">
                  <c:v>12883.323583127973</c:v>
                </c:pt>
                <c:pt idx="76">
                  <c:v>12679.637880220118</c:v>
                </c:pt>
                <c:pt idx="77">
                  <c:v>12480.744682644587</c:v>
                </c:pt>
                <c:pt idx="78">
                  <c:v>12286.494811180086</c:v>
                </c:pt>
                <c:pt idx="79">
                  <c:v>12096.744846245694</c:v>
                </c:pt>
                <c:pt idx="80">
                  <c:v>11911.356863099085</c:v>
                </c:pt>
                <c:pt idx="81">
                  <c:v>11730.198181130154</c:v>
                </c:pt>
                <c:pt idx="82">
                  <c:v>11553.141126398907</c:v>
                </c:pt>
                <c:pt idx="83">
                  <c:v>11380.062806624148</c:v>
                </c:pt>
                <c:pt idx="84">
                  <c:v>11210.844897882298</c:v>
                </c:pt>
                <c:pt idx="85">
                  <c:v>11045.373442325077</c:v>
                </c:pt>
                <c:pt idx="86">
                  <c:v>10883.538656270252</c:v>
                </c:pt>
                <c:pt idx="87">
                  <c:v>10725.234748061939</c:v>
                </c:pt>
                <c:pt idx="88">
                  <c:v>10570.359745136242</c:v>
                </c:pt>
                <c:pt idx="89">
                  <c:v>10418.815329764224</c:v>
                </c:pt>
                <c:pt idx="90">
                  <c:v>10270.506682978294</c:v>
                </c:pt>
                <c:pt idx="91">
                  <c:v>10125.342336219232</c:v>
                </c:pt>
                <c:pt idx="92">
                  <c:v>9983.2340302705088</c:v>
                </c:pt>
                <c:pt idx="93">
                  <c:v>9844.0965810736252</c:v>
                </c:pt>
                <c:pt idx="94">
                  <c:v>9707.8477520435245</c:v>
                </c:pt>
                <c:pt idx="95">
                  <c:v>9574.4081325267343</c:v>
                </c:pt>
                <c:pt idx="96">
                  <c:v>9443.7010220667344</c:v>
                </c:pt>
                <c:pt idx="97">
                  <c:v>9315.6523201617147</c:v>
                </c:pt>
                <c:pt idx="98">
                  <c:v>9190.1904212187055</c:v>
                </c:pt>
                <c:pt idx="99">
                  <c:v>9067.2461144261324</c:v>
                </c:pt>
                <c:pt idx="100">
                  <c:v>8946.7524882833113</c:v>
                </c:pt>
                <c:pt idx="101">
                  <c:v>8828.6448395410116</c:v>
                </c:pt>
                <c:pt idx="102">
                  <c:v>8712.8605863216126</c:v>
                </c:pt>
                <c:pt idx="103">
                  <c:v>8599.3391852011846</c:v>
                </c:pt>
                <c:pt idx="104">
                  <c:v>8488.0220520481762</c:v>
                </c:pt>
                <c:pt idx="105">
                  <c:v>8378.8524864255796</c:v>
                </c:pt>
                <c:pt idx="106">
                  <c:v>8271.7755993743685</c:v>
                </c:pt>
                <c:pt idx="107">
                  <c:v>8166.7382444064469</c:v>
                </c:pt>
                <c:pt idx="108">
                  <c:v>8063.6889515452076</c:v>
                </c:pt>
                <c:pt idx="109">
                  <c:v>7962.577864260692</c:v>
                </c:pt>
                <c:pt idx="110">
                  <c:v>7863.3566791552557</c:v>
                </c:pt>
                <c:pt idx="111">
                  <c:v>7765.9785882633605</c:v>
                </c:pt>
                <c:pt idx="112">
                  <c:v>7670.3982238368581</c:v>
                </c:pt>
                <c:pt idx="113">
                  <c:v>7576.5716054941677</c:v>
                </c:pt>
                <c:pt idx="114">
                  <c:v>7484.4560896183293</c:v>
                </c:pt>
                <c:pt idx="115">
                  <c:v>7394.0103208952996</c:v>
                </c:pt>
                <c:pt idx="116">
                  <c:v>7305.1941858896262</c:v>
                </c:pt>
                <c:pt idx="117">
                  <c:v>7217.9687685601693</c:v>
                </c:pt>
                <c:pt idx="118">
                  <c:v>7132.2963076238157</c:v>
                </c:pt>
                <c:pt idx="119">
                  <c:v>7048.1401556799328</c:v>
                </c:pt>
                <c:pt idx="120">
                  <c:v>6965.4647400129606</c:v>
                </c:pt>
                <c:pt idx="121">
                  <c:v>6884.235524994855</c:v>
                </c:pt>
                <c:pt idx="122">
                  <c:v>6804.4189760132012</c:v>
                </c:pt>
                <c:pt idx="123">
                  <c:v>6725.9825248546404</c:v>
                </c:pt>
                <c:pt idx="124">
                  <c:v>6648.8945364768979</c:v>
                </c:pt>
                <c:pt idx="125">
                  <c:v>6573.1242771061088</c:v>
                </c:pt>
                <c:pt idx="126">
                  <c:v>6498.6418835993863</c:v>
                </c:pt>
                <c:pt idx="127">
                  <c:v>6425.4183340155942</c:v>
                </c:pt>
                <c:pt idx="128">
                  <c:v>6353.4254193401866</c:v>
                </c:pt>
                <c:pt idx="129">
                  <c:v>6282.6357163126795</c:v>
                </c:pt>
                <c:pt idx="130">
                  <c:v>6213.0225613078564</c:v>
                </c:pt>
                <c:pt idx="131">
                  <c:v>6144.5600252243394</c:v>
                </c:pt>
                <c:pt idx="132">
                  <c:v>6077.222889336269</c:v>
                </c:pt>
                <c:pt idx="133">
                  <c:v>6010.9866220661879</c:v>
                </c:pt>
                <c:pt idx="134">
                  <c:v>5945.8273566391345</c:v>
                </c:pt>
                <c:pt idx="135">
                  <c:v>5881.721869579972</c:v>
                </c:pt>
                <c:pt idx="136">
                  <c:v>5818.6475600177637</c:v>
                </c:pt>
                <c:pt idx="137">
                  <c:v>5756.582429762776</c:v>
                </c:pt>
                <c:pt idx="138">
                  <c:v>5695.5050641233183</c:v>
                </c:pt>
                <c:pt idx="139">
                  <c:v>5635.3946134311627</c:v>
                </c:pt>
                <c:pt idx="140">
                  <c:v>5576.2307752458328</c:v>
                </c:pt>
                <c:pt idx="141">
                  <c:v>5517.9937772093581</c:v>
                </c:pt>
                <c:pt idx="142">
                  <c:v>5460.6643605244835</c:v>
                </c:pt>
                <c:pt idx="143">
                  <c:v>5404.2237640305657</c:v>
                </c:pt>
                <c:pt idx="144">
                  <c:v>5348.6537088525502</c:v>
                </c:pt>
                <c:pt idx="145">
                  <c:v>5293.9363835995946</c:v>
                </c:pt>
                <c:pt idx="146">
                  <c:v>5240.0544300909669</c:v>
                </c:pt>
                <c:pt idx="147">
                  <c:v>5186.9909295878424</c:v>
                </c:pt>
                <c:pt idx="148">
                  <c:v>5134.729389510625</c:v>
                </c:pt>
                <c:pt idx="149">
                  <c:v>5083.2537306223212</c:v>
                </c:pt>
                <c:pt idx="150">
                  <c:v>5032.5482746593643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FB-4E1D-A981-AB6DE86F8303}"/>
            </c:ext>
          </c:extLst>
        </c:ser>
        <c:ser>
          <c:idx val="1"/>
          <c:order val="1"/>
          <c:tx>
            <c:strRef>
              <c:f>Hoja1!$G$2</c:f>
              <c:strCache>
                <c:ptCount val="1"/>
                <c:pt idx="0">
                  <c:v>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Hoja1!$B$47:$B$203</c:f>
              <c:numCache>
                <c:formatCode>General</c:formatCode>
                <c:ptCount val="157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  <c:pt idx="5">
                  <c:v>49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53</c:v>
                </c:pt>
                <c:pt idx="10">
                  <c:v>54</c:v>
                </c:pt>
                <c:pt idx="11">
                  <c:v>55</c:v>
                </c:pt>
                <c:pt idx="12">
                  <c:v>56</c:v>
                </c:pt>
                <c:pt idx="13">
                  <c:v>57</c:v>
                </c:pt>
                <c:pt idx="14">
                  <c:v>58</c:v>
                </c:pt>
                <c:pt idx="15">
                  <c:v>59</c:v>
                </c:pt>
                <c:pt idx="16">
                  <c:v>60</c:v>
                </c:pt>
                <c:pt idx="17">
                  <c:v>61</c:v>
                </c:pt>
                <c:pt idx="18">
                  <c:v>62</c:v>
                </c:pt>
                <c:pt idx="19">
                  <c:v>63</c:v>
                </c:pt>
                <c:pt idx="20">
                  <c:v>64</c:v>
                </c:pt>
                <c:pt idx="21">
                  <c:v>65</c:v>
                </c:pt>
                <c:pt idx="22">
                  <c:v>66</c:v>
                </c:pt>
                <c:pt idx="23">
                  <c:v>67</c:v>
                </c:pt>
                <c:pt idx="24">
                  <c:v>68</c:v>
                </c:pt>
                <c:pt idx="25">
                  <c:v>69</c:v>
                </c:pt>
                <c:pt idx="26">
                  <c:v>70</c:v>
                </c:pt>
                <c:pt idx="27">
                  <c:v>71</c:v>
                </c:pt>
                <c:pt idx="28">
                  <c:v>72</c:v>
                </c:pt>
                <c:pt idx="29">
                  <c:v>73</c:v>
                </c:pt>
                <c:pt idx="30">
                  <c:v>74</c:v>
                </c:pt>
                <c:pt idx="31">
                  <c:v>75</c:v>
                </c:pt>
                <c:pt idx="32">
                  <c:v>76</c:v>
                </c:pt>
                <c:pt idx="33">
                  <c:v>77</c:v>
                </c:pt>
                <c:pt idx="34">
                  <c:v>78</c:v>
                </c:pt>
                <c:pt idx="35">
                  <c:v>79</c:v>
                </c:pt>
                <c:pt idx="36">
                  <c:v>80</c:v>
                </c:pt>
                <c:pt idx="37">
                  <c:v>81</c:v>
                </c:pt>
                <c:pt idx="38">
                  <c:v>82</c:v>
                </c:pt>
                <c:pt idx="39">
                  <c:v>83</c:v>
                </c:pt>
                <c:pt idx="40">
                  <c:v>84</c:v>
                </c:pt>
                <c:pt idx="41">
                  <c:v>85</c:v>
                </c:pt>
                <c:pt idx="42">
                  <c:v>86</c:v>
                </c:pt>
                <c:pt idx="43">
                  <c:v>87</c:v>
                </c:pt>
                <c:pt idx="44">
                  <c:v>88</c:v>
                </c:pt>
                <c:pt idx="45">
                  <c:v>89</c:v>
                </c:pt>
                <c:pt idx="46">
                  <c:v>90</c:v>
                </c:pt>
                <c:pt idx="47">
                  <c:v>91</c:v>
                </c:pt>
                <c:pt idx="48">
                  <c:v>92</c:v>
                </c:pt>
                <c:pt idx="49">
                  <c:v>93</c:v>
                </c:pt>
                <c:pt idx="50">
                  <c:v>94</c:v>
                </c:pt>
                <c:pt idx="51">
                  <c:v>95</c:v>
                </c:pt>
                <c:pt idx="52">
                  <c:v>96</c:v>
                </c:pt>
                <c:pt idx="53">
                  <c:v>97</c:v>
                </c:pt>
                <c:pt idx="54">
                  <c:v>98</c:v>
                </c:pt>
                <c:pt idx="55">
                  <c:v>99</c:v>
                </c:pt>
                <c:pt idx="56">
                  <c:v>100</c:v>
                </c:pt>
                <c:pt idx="57">
                  <c:v>101</c:v>
                </c:pt>
                <c:pt idx="58">
                  <c:v>102</c:v>
                </c:pt>
                <c:pt idx="59">
                  <c:v>103</c:v>
                </c:pt>
                <c:pt idx="60">
                  <c:v>104</c:v>
                </c:pt>
                <c:pt idx="61">
                  <c:v>105</c:v>
                </c:pt>
                <c:pt idx="62">
                  <c:v>106</c:v>
                </c:pt>
                <c:pt idx="63">
                  <c:v>107</c:v>
                </c:pt>
                <c:pt idx="64">
                  <c:v>108</c:v>
                </c:pt>
                <c:pt idx="65">
                  <c:v>109</c:v>
                </c:pt>
                <c:pt idx="66">
                  <c:v>110</c:v>
                </c:pt>
                <c:pt idx="67">
                  <c:v>111</c:v>
                </c:pt>
                <c:pt idx="68">
                  <c:v>112</c:v>
                </c:pt>
                <c:pt idx="69">
                  <c:v>113</c:v>
                </c:pt>
                <c:pt idx="70">
                  <c:v>114</c:v>
                </c:pt>
                <c:pt idx="71">
                  <c:v>115</c:v>
                </c:pt>
                <c:pt idx="72">
                  <c:v>116</c:v>
                </c:pt>
                <c:pt idx="73">
                  <c:v>117</c:v>
                </c:pt>
                <c:pt idx="74">
                  <c:v>118</c:v>
                </c:pt>
                <c:pt idx="75">
                  <c:v>119</c:v>
                </c:pt>
                <c:pt idx="76">
                  <c:v>120</c:v>
                </c:pt>
                <c:pt idx="77">
                  <c:v>121</c:v>
                </c:pt>
                <c:pt idx="78">
                  <c:v>122</c:v>
                </c:pt>
                <c:pt idx="79">
                  <c:v>123</c:v>
                </c:pt>
                <c:pt idx="80">
                  <c:v>124</c:v>
                </c:pt>
                <c:pt idx="81">
                  <c:v>125</c:v>
                </c:pt>
                <c:pt idx="82">
                  <c:v>126</c:v>
                </c:pt>
                <c:pt idx="83">
                  <c:v>127</c:v>
                </c:pt>
                <c:pt idx="84">
                  <c:v>128</c:v>
                </c:pt>
                <c:pt idx="85">
                  <c:v>129</c:v>
                </c:pt>
                <c:pt idx="86">
                  <c:v>130</c:v>
                </c:pt>
                <c:pt idx="87">
                  <c:v>131</c:v>
                </c:pt>
                <c:pt idx="88">
                  <c:v>132</c:v>
                </c:pt>
                <c:pt idx="89">
                  <c:v>133</c:v>
                </c:pt>
                <c:pt idx="90">
                  <c:v>134</c:v>
                </c:pt>
                <c:pt idx="91">
                  <c:v>135</c:v>
                </c:pt>
                <c:pt idx="92">
                  <c:v>136</c:v>
                </c:pt>
                <c:pt idx="93">
                  <c:v>137</c:v>
                </c:pt>
                <c:pt idx="94">
                  <c:v>138</c:v>
                </c:pt>
                <c:pt idx="95">
                  <c:v>139</c:v>
                </c:pt>
                <c:pt idx="96">
                  <c:v>140</c:v>
                </c:pt>
                <c:pt idx="97">
                  <c:v>141</c:v>
                </c:pt>
                <c:pt idx="98">
                  <c:v>142</c:v>
                </c:pt>
                <c:pt idx="99">
                  <c:v>143</c:v>
                </c:pt>
                <c:pt idx="100">
                  <c:v>144</c:v>
                </c:pt>
                <c:pt idx="101">
                  <c:v>145</c:v>
                </c:pt>
                <c:pt idx="102">
                  <c:v>146</c:v>
                </c:pt>
                <c:pt idx="103">
                  <c:v>147</c:v>
                </c:pt>
                <c:pt idx="104">
                  <c:v>148</c:v>
                </c:pt>
                <c:pt idx="105">
                  <c:v>149</c:v>
                </c:pt>
                <c:pt idx="106">
                  <c:v>150</c:v>
                </c:pt>
                <c:pt idx="107">
                  <c:v>151</c:v>
                </c:pt>
                <c:pt idx="108">
                  <c:v>152</c:v>
                </c:pt>
                <c:pt idx="109">
                  <c:v>153</c:v>
                </c:pt>
                <c:pt idx="110">
                  <c:v>154</c:v>
                </c:pt>
                <c:pt idx="111">
                  <c:v>155</c:v>
                </c:pt>
                <c:pt idx="112">
                  <c:v>156</c:v>
                </c:pt>
                <c:pt idx="113">
                  <c:v>157</c:v>
                </c:pt>
                <c:pt idx="114">
                  <c:v>158</c:v>
                </c:pt>
                <c:pt idx="115">
                  <c:v>159</c:v>
                </c:pt>
                <c:pt idx="116">
                  <c:v>160</c:v>
                </c:pt>
                <c:pt idx="117">
                  <c:v>161</c:v>
                </c:pt>
                <c:pt idx="118">
                  <c:v>162</c:v>
                </c:pt>
                <c:pt idx="119">
                  <c:v>163</c:v>
                </c:pt>
                <c:pt idx="120">
                  <c:v>164</c:v>
                </c:pt>
                <c:pt idx="121">
                  <c:v>165</c:v>
                </c:pt>
                <c:pt idx="122">
                  <c:v>166</c:v>
                </c:pt>
                <c:pt idx="123">
                  <c:v>167</c:v>
                </c:pt>
                <c:pt idx="124">
                  <c:v>168</c:v>
                </c:pt>
                <c:pt idx="125">
                  <c:v>169</c:v>
                </c:pt>
                <c:pt idx="126">
                  <c:v>170</c:v>
                </c:pt>
                <c:pt idx="127">
                  <c:v>171</c:v>
                </c:pt>
                <c:pt idx="128">
                  <c:v>172</c:v>
                </c:pt>
                <c:pt idx="129">
                  <c:v>173</c:v>
                </c:pt>
                <c:pt idx="130">
                  <c:v>174</c:v>
                </c:pt>
                <c:pt idx="131">
                  <c:v>175</c:v>
                </c:pt>
                <c:pt idx="132">
                  <c:v>176</c:v>
                </c:pt>
                <c:pt idx="133">
                  <c:v>177</c:v>
                </c:pt>
                <c:pt idx="134">
                  <c:v>178</c:v>
                </c:pt>
                <c:pt idx="135">
                  <c:v>179</c:v>
                </c:pt>
                <c:pt idx="136">
                  <c:v>180</c:v>
                </c:pt>
                <c:pt idx="137">
                  <c:v>181</c:v>
                </c:pt>
                <c:pt idx="138">
                  <c:v>182</c:v>
                </c:pt>
                <c:pt idx="139">
                  <c:v>183</c:v>
                </c:pt>
                <c:pt idx="140">
                  <c:v>184</c:v>
                </c:pt>
                <c:pt idx="141">
                  <c:v>185</c:v>
                </c:pt>
                <c:pt idx="142">
                  <c:v>186</c:v>
                </c:pt>
                <c:pt idx="143">
                  <c:v>187</c:v>
                </c:pt>
                <c:pt idx="144">
                  <c:v>188</c:v>
                </c:pt>
                <c:pt idx="145">
                  <c:v>189</c:v>
                </c:pt>
                <c:pt idx="146">
                  <c:v>190</c:v>
                </c:pt>
                <c:pt idx="147">
                  <c:v>191</c:v>
                </c:pt>
                <c:pt idx="148">
                  <c:v>192</c:v>
                </c:pt>
                <c:pt idx="149">
                  <c:v>193</c:v>
                </c:pt>
                <c:pt idx="150">
                  <c:v>194</c:v>
                </c:pt>
                <c:pt idx="151">
                  <c:v>195</c:v>
                </c:pt>
                <c:pt idx="152">
                  <c:v>196</c:v>
                </c:pt>
                <c:pt idx="153">
                  <c:v>197</c:v>
                </c:pt>
                <c:pt idx="154">
                  <c:v>198</c:v>
                </c:pt>
                <c:pt idx="155">
                  <c:v>199</c:v>
                </c:pt>
                <c:pt idx="156">
                  <c:v>200</c:v>
                </c:pt>
              </c:numCache>
            </c:numRef>
          </c:xVal>
          <c:yVal>
            <c:numRef>
              <c:f>Hoja1!$G$47:$G$203</c:f>
              <c:numCache>
                <c:formatCode>General</c:formatCode>
                <c:ptCount val="157"/>
                <c:pt idx="0">
                  <c:v>1087.571232</c:v>
                </c:pt>
                <c:pt idx="1">
                  <c:v>1137.5680500000001</c:v>
                </c:pt>
                <c:pt idx="2">
                  <c:v>1188.688392</c:v>
                </c:pt>
                <c:pt idx="3">
                  <c:v>1240.932258</c:v>
                </c:pt>
                <c:pt idx="4">
                  <c:v>1294.2996480000002</c:v>
                </c:pt>
                <c:pt idx="5">
                  <c:v>1348.7905619999999</c:v>
                </c:pt>
                <c:pt idx="6">
                  <c:v>1404.405</c:v>
                </c:pt>
                <c:pt idx="7">
                  <c:v>1461.1429620000001</c:v>
                </c:pt>
                <c:pt idx="8">
                  <c:v>1519.0044480000001</c:v>
                </c:pt>
                <c:pt idx="9">
                  <c:v>1577.9894579999998</c:v>
                </c:pt>
                <c:pt idx="10">
                  <c:v>1638.0979920000004</c:v>
                </c:pt>
                <c:pt idx="11">
                  <c:v>1699.33005</c:v>
                </c:pt>
                <c:pt idx="12">
                  <c:v>1761.6856319999999</c:v>
                </c:pt>
                <c:pt idx="13">
                  <c:v>1825.1647379999997</c:v>
                </c:pt>
                <c:pt idx="14">
                  <c:v>1889.767368</c:v>
                </c:pt>
                <c:pt idx="15">
                  <c:v>1955.493522</c:v>
                </c:pt>
                <c:pt idx="16">
                  <c:v>2022.3432</c:v>
                </c:pt>
                <c:pt idx="17">
                  <c:v>2090.3164020000004</c:v>
                </c:pt>
                <c:pt idx="18">
                  <c:v>2159.4131279999997</c:v>
                </c:pt>
                <c:pt idx="19">
                  <c:v>2229.633378</c:v>
                </c:pt>
                <c:pt idx="20">
                  <c:v>2300.9771520000004</c:v>
                </c:pt>
                <c:pt idx="21">
                  <c:v>2373.44445</c:v>
                </c:pt>
                <c:pt idx="22">
                  <c:v>2447.0352720000001</c:v>
                </c:pt>
                <c:pt idx="23">
                  <c:v>2521.7496180000003</c:v>
                </c:pt>
                <c:pt idx="24">
                  <c:v>2597.5874880000001</c:v>
                </c:pt>
                <c:pt idx="25">
                  <c:v>2674.548882</c:v>
                </c:pt>
                <c:pt idx="26">
                  <c:v>2752.6338000000005</c:v>
                </c:pt>
                <c:pt idx="27">
                  <c:v>2831.8422420000002</c:v>
                </c:pt>
                <c:pt idx="28">
                  <c:v>2912.1742080000004</c:v>
                </c:pt>
                <c:pt idx="29">
                  <c:v>2993.6296980000002</c:v>
                </c:pt>
                <c:pt idx="30">
                  <c:v>3076.2087120000006</c:v>
                </c:pt>
                <c:pt idx="31">
                  <c:v>3159.9112500000001</c:v>
                </c:pt>
                <c:pt idx="32">
                  <c:v>3244.7373120000002</c:v>
                </c:pt>
                <c:pt idx="33">
                  <c:v>3330.6868979999999</c:v>
                </c:pt>
                <c:pt idx="34">
                  <c:v>3417.7600079999997</c:v>
                </c:pt>
                <c:pt idx="35">
                  <c:v>3505.9566420000006</c:v>
                </c:pt>
                <c:pt idx="36">
                  <c:v>3595.2768000000005</c:v>
                </c:pt>
                <c:pt idx="37">
                  <c:v>3685.7204820000006</c:v>
                </c:pt>
                <c:pt idx="38">
                  <c:v>3777.2876879999999</c:v>
                </c:pt>
                <c:pt idx="39">
                  <c:v>3869.9784180000006</c:v>
                </c:pt>
                <c:pt idx="40">
                  <c:v>3963.7926720000005</c:v>
                </c:pt>
                <c:pt idx="41">
                  <c:v>4058.7304500000005</c:v>
                </c:pt>
                <c:pt idx="42">
                  <c:v>4154.7917520000001</c:v>
                </c:pt>
                <c:pt idx="43">
                  <c:v>4251.9765780000007</c:v>
                </c:pt>
                <c:pt idx="44">
                  <c:v>4350.284928</c:v>
                </c:pt>
                <c:pt idx="45">
                  <c:v>4449.7168020000008</c:v>
                </c:pt>
                <c:pt idx="46">
                  <c:v>4550.2722000000003</c:v>
                </c:pt>
                <c:pt idx="47">
                  <c:v>4651.9511220000004</c:v>
                </c:pt>
                <c:pt idx="48">
                  <c:v>4754.7535680000001</c:v>
                </c:pt>
                <c:pt idx="49">
                  <c:v>4858.6795380000003</c:v>
                </c:pt>
                <c:pt idx="50">
                  <c:v>4963.7290320000002</c:v>
                </c:pt>
                <c:pt idx="51">
                  <c:v>5069.9020500000006</c:v>
                </c:pt>
                <c:pt idx="52">
                  <c:v>5177.1985920000006</c:v>
                </c:pt>
                <c:pt idx="53">
                  <c:v>5285.6186580000003</c:v>
                </c:pt>
                <c:pt idx="54">
                  <c:v>5395.1622479999996</c:v>
                </c:pt>
                <c:pt idx="55">
                  <c:v>5505.8293620000004</c:v>
                </c:pt>
                <c:pt idx="56">
                  <c:v>5617.62</c:v>
                </c:pt>
                <c:pt idx="57">
                  <c:v>5730.5341620000008</c:v>
                </c:pt>
                <c:pt idx="58">
                  <c:v>5844.5718480000005</c:v>
                </c:pt>
                <c:pt idx="59">
                  <c:v>5959.7330579999998</c:v>
                </c:pt>
                <c:pt idx="60">
                  <c:v>6076.0177920000006</c:v>
                </c:pt>
                <c:pt idx="61">
                  <c:v>6193.42605</c:v>
                </c:pt>
                <c:pt idx="62">
                  <c:v>6311.9578319999991</c:v>
                </c:pt>
                <c:pt idx="63">
                  <c:v>6431.6131380000006</c:v>
                </c:pt>
                <c:pt idx="64">
                  <c:v>6552.3919680000017</c:v>
                </c:pt>
                <c:pt idx="65">
                  <c:v>6674.2943219999997</c:v>
                </c:pt>
                <c:pt idx="66">
                  <c:v>6797.3202000000001</c:v>
                </c:pt>
                <c:pt idx="67">
                  <c:v>6921.4696020000001</c:v>
                </c:pt>
                <c:pt idx="68">
                  <c:v>7046.7425279999998</c:v>
                </c:pt>
                <c:pt idx="69">
                  <c:v>7173.1389780000009</c:v>
                </c:pt>
                <c:pt idx="70">
                  <c:v>7300.6589519999989</c:v>
                </c:pt>
                <c:pt idx="71">
                  <c:v>7429.3024500000001</c:v>
                </c:pt>
                <c:pt idx="72">
                  <c:v>7559.0694720000001</c:v>
                </c:pt>
                <c:pt idx="73">
                  <c:v>7689.9600180000007</c:v>
                </c:pt>
                <c:pt idx="74">
                  <c:v>7821.9740879999999</c:v>
                </c:pt>
                <c:pt idx="75">
                  <c:v>7955.1116819999997</c:v>
                </c:pt>
                <c:pt idx="76">
                  <c:v>8089.3728000000001</c:v>
                </c:pt>
                <c:pt idx="77">
                  <c:v>8224.7574420000001</c:v>
                </c:pt>
                <c:pt idx="78">
                  <c:v>8361.2656080000015</c:v>
                </c:pt>
                <c:pt idx="79">
                  <c:v>8498.8972980000017</c:v>
                </c:pt>
                <c:pt idx="80">
                  <c:v>8637.6525119999988</c:v>
                </c:pt>
                <c:pt idx="81">
                  <c:v>8777.53125</c:v>
                </c:pt>
                <c:pt idx="82">
                  <c:v>8918.533512</c:v>
                </c:pt>
                <c:pt idx="83">
                  <c:v>9060.6592980000005</c:v>
                </c:pt>
                <c:pt idx="84">
                  <c:v>9203.9086080000015</c:v>
                </c:pt>
                <c:pt idx="85">
                  <c:v>9348.2814419999995</c:v>
                </c:pt>
                <c:pt idx="86">
                  <c:v>9493.7777999999998</c:v>
                </c:pt>
                <c:pt idx="87">
                  <c:v>9640.3976819999989</c:v>
                </c:pt>
                <c:pt idx="88">
                  <c:v>9788.1410880000003</c:v>
                </c:pt>
                <c:pt idx="89">
                  <c:v>9937.0080180000004</c:v>
                </c:pt>
                <c:pt idx="90">
                  <c:v>10086.998472000001</c:v>
                </c:pt>
                <c:pt idx="91">
                  <c:v>10238.112450000001</c:v>
                </c:pt>
                <c:pt idx="92">
                  <c:v>10390.349952</c:v>
                </c:pt>
                <c:pt idx="93">
                  <c:v>10543.710978000001</c:v>
                </c:pt>
                <c:pt idx="94">
                  <c:v>10698.195528</c:v>
                </c:pt>
                <c:pt idx="95">
                  <c:v>10853.803602</c:v>
                </c:pt>
                <c:pt idx="96">
                  <c:v>11010.535200000002</c:v>
                </c:pt>
                <c:pt idx="97">
                  <c:v>11168.390322000001</c:v>
                </c:pt>
                <c:pt idx="98">
                  <c:v>11327.368968000001</c:v>
                </c:pt>
                <c:pt idx="99">
                  <c:v>11487.471138000001</c:v>
                </c:pt>
                <c:pt idx="100">
                  <c:v>11648.696832000001</c:v>
                </c:pt>
                <c:pt idx="101">
                  <c:v>11811.046050000003</c:v>
                </c:pt>
                <c:pt idx="102">
                  <c:v>11974.518792000001</c:v>
                </c:pt>
                <c:pt idx="103">
                  <c:v>12139.115058000001</c:v>
                </c:pt>
                <c:pt idx="104">
                  <c:v>12304.834848000002</c:v>
                </c:pt>
                <c:pt idx="105">
                  <c:v>12471.678162</c:v>
                </c:pt>
                <c:pt idx="106">
                  <c:v>12639.645</c:v>
                </c:pt>
                <c:pt idx="107">
                  <c:v>12808.735361999999</c:v>
                </c:pt>
                <c:pt idx="108">
                  <c:v>12978.949248000001</c:v>
                </c:pt>
                <c:pt idx="109">
                  <c:v>13150.286658000001</c:v>
                </c:pt>
                <c:pt idx="110">
                  <c:v>13322.747592</c:v>
                </c:pt>
                <c:pt idx="111">
                  <c:v>13496.332050000003</c:v>
                </c:pt>
                <c:pt idx="112">
                  <c:v>13671.040031999999</c:v>
                </c:pt>
                <c:pt idx="113">
                  <c:v>13846.871538000003</c:v>
                </c:pt>
                <c:pt idx="114">
                  <c:v>14023.826568000002</c:v>
                </c:pt>
                <c:pt idx="115">
                  <c:v>14201.905122</c:v>
                </c:pt>
                <c:pt idx="116">
                  <c:v>14381.107200000002</c:v>
                </c:pt>
                <c:pt idx="117">
                  <c:v>14561.432802000001</c:v>
                </c:pt>
                <c:pt idx="118">
                  <c:v>14742.881928000003</c:v>
                </c:pt>
                <c:pt idx="119">
                  <c:v>14925.454578000003</c:v>
                </c:pt>
                <c:pt idx="120">
                  <c:v>15109.150752</c:v>
                </c:pt>
                <c:pt idx="121">
                  <c:v>15293.970450000001</c:v>
                </c:pt>
                <c:pt idx="122">
                  <c:v>15479.913672000002</c:v>
                </c:pt>
                <c:pt idx="123">
                  <c:v>15666.980418000003</c:v>
                </c:pt>
                <c:pt idx="124">
                  <c:v>15855.170688000002</c:v>
                </c:pt>
                <c:pt idx="125">
                  <c:v>16044.484482</c:v>
                </c:pt>
                <c:pt idx="126">
                  <c:v>16234.921800000002</c:v>
                </c:pt>
                <c:pt idx="127">
                  <c:v>16426.482641999999</c:v>
                </c:pt>
                <c:pt idx="128">
                  <c:v>16619.167008</c:v>
                </c:pt>
                <c:pt idx="129">
                  <c:v>16812.974898</c:v>
                </c:pt>
                <c:pt idx="130">
                  <c:v>17007.906312000003</c:v>
                </c:pt>
                <c:pt idx="131">
                  <c:v>17203.96125</c:v>
                </c:pt>
                <c:pt idx="132">
                  <c:v>17401.139712</c:v>
                </c:pt>
                <c:pt idx="133">
                  <c:v>17599.441698000002</c:v>
                </c:pt>
                <c:pt idx="134">
                  <c:v>17798.867208000003</c:v>
                </c:pt>
                <c:pt idx="135">
                  <c:v>17999.416241999999</c:v>
                </c:pt>
                <c:pt idx="136">
                  <c:v>18201.088800000001</c:v>
                </c:pt>
                <c:pt idx="137">
                  <c:v>18403.884881999998</c:v>
                </c:pt>
                <c:pt idx="138">
                  <c:v>18607.804488000002</c:v>
                </c:pt>
                <c:pt idx="139">
                  <c:v>18812.847618</c:v>
                </c:pt>
                <c:pt idx="140">
                  <c:v>19019.014272</c:v>
                </c:pt>
                <c:pt idx="141">
                  <c:v>19226.304450000003</c:v>
                </c:pt>
                <c:pt idx="142">
                  <c:v>19434.718152000001</c:v>
                </c:pt>
                <c:pt idx="143">
                  <c:v>19644.255378000002</c:v>
                </c:pt>
                <c:pt idx="144">
                  <c:v>19854.916128000001</c:v>
                </c:pt>
                <c:pt idx="145">
                  <c:v>20066.700402000002</c:v>
                </c:pt>
                <c:pt idx="146">
                  <c:v>20279.608200000002</c:v>
                </c:pt>
                <c:pt idx="147">
                  <c:v>20493.639521999998</c:v>
                </c:pt>
                <c:pt idx="148">
                  <c:v>20708.794368000003</c:v>
                </c:pt>
                <c:pt idx="149">
                  <c:v>20925.072738000003</c:v>
                </c:pt>
                <c:pt idx="150">
                  <c:v>21142.474632000001</c:v>
                </c:pt>
                <c:pt idx="151">
                  <c:v>21361.000049999999</c:v>
                </c:pt>
                <c:pt idx="152">
                  <c:v>21580.648991999999</c:v>
                </c:pt>
                <c:pt idx="153">
                  <c:v>21801.421458000001</c:v>
                </c:pt>
                <c:pt idx="154">
                  <c:v>22023.317448000002</c:v>
                </c:pt>
                <c:pt idx="155">
                  <c:v>22246.336962000001</c:v>
                </c:pt>
                <c:pt idx="156">
                  <c:v>22470.48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FB-4E1D-A981-AB6DE86F8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378655"/>
        <c:axId val="765379135"/>
      </c:scatterChart>
      <c:valAx>
        <c:axId val="76537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5379135"/>
        <c:crosses val="autoZero"/>
        <c:crossBetween val="midCat"/>
      </c:valAx>
      <c:valAx>
        <c:axId val="76537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537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11</xdr:row>
      <xdr:rowOff>52387</xdr:rowOff>
    </xdr:from>
    <xdr:to>
      <xdr:col>16</xdr:col>
      <xdr:colOff>85725</xdr:colOff>
      <xdr:row>31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64BCE-8992-5D7F-4504-999817CB4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1286-ABE1-49A7-BD56-8C6EECFD9B38}">
  <dimension ref="B2:N203"/>
  <sheetViews>
    <sheetView tabSelected="1" workbookViewId="0">
      <selection activeCell="N10" sqref="N10"/>
    </sheetView>
  </sheetViews>
  <sheetFormatPr baseColWidth="10" defaultRowHeight="15" x14ac:dyDescent="0.25"/>
  <sheetData>
    <row r="2" spans="2:14" x14ac:dyDescent="0.25">
      <c r="B2" t="s">
        <v>0</v>
      </c>
      <c r="C2" t="s">
        <v>4</v>
      </c>
      <c r="D2" t="s">
        <v>6</v>
      </c>
      <c r="E2" t="s">
        <v>7</v>
      </c>
      <c r="F2" t="s">
        <v>10</v>
      </c>
      <c r="G2" t="s">
        <v>11</v>
      </c>
      <c r="J2" t="s">
        <v>1</v>
      </c>
      <c r="K2">
        <v>206</v>
      </c>
    </row>
    <row r="3" spans="2:14" x14ac:dyDescent="0.25">
      <c r="B3">
        <v>0</v>
      </c>
      <c r="C3">
        <f>(1/2)*$K$6*B3^2</f>
        <v>0</v>
      </c>
      <c r="J3" t="s">
        <v>2</v>
      </c>
      <c r="K3">
        <v>10</v>
      </c>
    </row>
    <row r="4" spans="2:14" x14ac:dyDescent="0.25">
      <c r="B4">
        <v>1</v>
      </c>
      <c r="C4">
        <f>(1/2)*$K$6*B4^2</f>
        <v>0.45450000000000002</v>
      </c>
      <c r="D4" s="1">
        <f>$K$4/(C4*$K$2)</f>
        <v>8010.5097888429609</v>
      </c>
      <c r="E4">
        <f>(D4^2)/(PI()*$K$7*$K$3)</f>
        <v>2150041.4515724578</v>
      </c>
      <c r="F4">
        <f>C4*$K$2*E4</f>
        <v>201301930.98637453</v>
      </c>
      <c r="G4">
        <f>C4*$K$2*$K$5</f>
        <v>0.56176200000000009</v>
      </c>
      <c r="J4" t="s">
        <v>3</v>
      </c>
      <c r="K4">
        <v>750000</v>
      </c>
    </row>
    <row r="5" spans="2:14" x14ac:dyDescent="0.25">
      <c r="B5">
        <v>2</v>
      </c>
      <c r="C5">
        <f>(1/2)*$K$6*B5^2</f>
        <v>1.8180000000000001</v>
      </c>
      <c r="D5" s="1">
        <f>$K$4/(C5*$K$2)</f>
        <v>2002.6274472107402</v>
      </c>
      <c r="E5">
        <f>(D5^2)/(PI()*$K$7*$K$3)</f>
        <v>134377.59072327861</v>
      </c>
      <c r="F5">
        <f>C5*$K$2*E5</f>
        <v>50325482.746593632</v>
      </c>
      <c r="G5">
        <f t="shared" ref="G5:G68" si="0">C5*$K$2*$K$5</f>
        <v>2.2470480000000004</v>
      </c>
      <c r="J5" t="s">
        <v>9</v>
      </c>
      <c r="K5">
        <v>6.0000000000000001E-3</v>
      </c>
    </row>
    <row r="6" spans="2:14" x14ac:dyDescent="0.25">
      <c r="B6">
        <v>3</v>
      </c>
      <c r="C6">
        <f>(1/2)*$K$6*B6^2</f>
        <v>4.0905000000000005</v>
      </c>
      <c r="D6" s="1">
        <f>$K$4/(C6*$K$2)</f>
        <v>890.05664320477342</v>
      </c>
      <c r="E6">
        <f>(D6^2)/(PI()*$K$7*$K$3)</f>
        <v>26543.721624351332</v>
      </c>
      <c r="F6">
        <f>C6*$K$2*E6</f>
        <v>22366881.220708285</v>
      </c>
      <c r="G6">
        <f t="shared" si="0"/>
        <v>5.0558580000000006</v>
      </c>
      <c r="J6" t="s">
        <v>5</v>
      </c>
      <c r="K6">
        <v>0.90900000000000003</v>
      </c>
    </row>
    <row r="7" spans="2:14" x14ac:dyDescent="0.25">
      <c r="B7">
        <v>4</v>
      </c>
      <c r="C7">
        <f>(1/2)*$K$6*B7^2</f>
        <v>7.2720000000000002</v>
      </c>
      <c r="D7" s="1">
        <f>$K$4/(C7*$K$2)</f>
        <v>500.65686180268506</v>
      </c>
      <c r="E7">
        <f>(D7^2)/(PI()*$K$7*$K$3)</f>
        <v>8398.5994202049133</v>
      </c>
      <c r="F7">
        <f>C7*$K$2*E7</f>
        <v>12581370.686648408</v>
      </c>
      <c r="G7">
        <f t="shared" si="0"/>
        <v>8.9881920000000015</v>
      </c>
      <c r="J7" t="s">
        <v>8</v>
      </c>
      <c r="K7">
        <v>0.95</v>
      </c>
    </row>
    <row r="8" spans="2:14" x14ac:dyDescent="0.25">
      <c r="B8">
        <v>5</v>
      </c>
      <c r="C8">
        <f>(1/2)*$K$6*B8^2</f>
        <v>11.362500000000001</v>
      </c>
      <c r="D8" s="1">
        <f>$K$4/(C8*$K$2)</f>
        <v>320.42039155371845</v>
      </c>
      <c r="E8">
        <f>(D8^2)/(PI()*$K$7*$K$3)</f>
        <v>3440.0663225159328</v>
      </c>
      <c r="F8">
        <f>C8*$K$2*E8</f>
        <v>8052077.2394549819</v>
      </c>
      <c r="G8">
        <f t="shared" si="0"/>
        <v>14.044050000000002</v>
      </c>
    </row>
    <row r="9" spans="2:14" x14ac:dyDescent="0.25">
      <c r="B9">
        <v>6</v>
      </c>
      <c r="C9">
        <f>(1/2)*$K$6*B9^2</f>
        <v>16.362000000000002</v>
      </c>
      <c r="D9" s="1">
        <f>$K$4/(C9*$K$2)</f>
        <v>222.51416080119336</v>
      </c>
      <c r="E9">
        <f>(D9^2)/(PI()*$K$7*$K$3)</f>
        <v>1658.9826015219583</v>
      </c>
      <c r="F9">
        <f>C9*$K$2*E9</f>
        <v>5591720.3051770711</v>
      </c>
      <c r="G9">
        <f t="shared" si="0"/>
        <v>20.223432000000003</v>
      </c>
    </row>
    <row r="10" spans="2:14" x14ac:dyDescent="0.25">
      <c r="B10">
        <v>7</v>
      </c>
      <c r="C10">
        <f>(1/2)*$K$6*B10^2</f>
        <v>22.270500000000002</v>
      </c>
      <c r="D10" s="1">
        <f>$K$4/(C10*$K$2)</f>
        <v>163.47979160904003</v>
      </c>
      <c r="E10">
        <f>(D10^2)/(PI()*$K$7*$K$3)</f>
        <v>895.477489201357</v>
      </c>
      <c r="F10">
        <f>C10*$K$2*E10</f>
        <v>4108202.6731913169</v>
      </c>
      <c r="G10">
        <f t="shared" si="0"/>
        <v>27.526337999999999</v>
      </c>
      <c r="N10" s="2"/>
    </row>
    <row r="11" spans="2:14" x14ac:dyDescent="0.25">
      <c r="B11">
        <v>8</v>
      </c>
      <c r="C11">
        <f>(1/2)*$K$6*B11^2</f>
        <v>29.088000000000001</v>
      </c>
      <c r="D11" s="1">
        <f>$K$4/(C11*$K$2)</f>
        <v>125.16421545067126</v>
      </c>
      <c r="E11">
        <f>(D11^2)/(PI()*$K$7*$K$3)</f>
        <v>524.91246376280708</v>
      </c>
      <c r="F11">
        <f>C11*$K$2*E11</f>
        <v>3145342.671662102</v>
      </c>
      <c r="G11">
        <f t="shared" si="0"/>
        <v>35.952768000000006</v>
      </c>
    </row>
    <row r="12" spans="2:14" x14ac:dyDescent="0.25">
      <c r="B12">
        <v>9</v>
      </c>
      <c r="C12">
        <f>(1/2)*$K$6*B12^2</f>
        <v>36.814500000000002</v>
      </c>
      <c r="D12" s="1">
        <f>$K$4/(C12*$K$2)</f>
        <v>98.895182578308166</v>
      </c>
      <c r="E12">
        <f>(D12^2)/(PI()*$K$7*$K$3)</f>
        <v>327.70026696730042</v>
      </c>
      <c r="F12">
        <f>C12*$K$2*E12</f>
        <v>2485209.0245231423</v>
      </c>
      <c r="G12">
        <f t="shared" si="0"/>
        <v>45.502722000000006</v>
      </c>
    </row>
    <row r="13" spans="2:14" x14ac:dyDescent="0.25">
      <c r="B13">
        <v>10</v>
      </c>
      <c r="C13">
        <f>(1/2)*$K$6*B13^2</f>
        <v>45.45</v>
      </c>
      <c r="D13" s="1">
        <f>$K$4/(C13*$K$2)</f>
        <v>80.105097888429611</v>
      </c>
      <c r="E13">
        <f>(D13^2)/(PI()*$K$7*$K$3)</f>
        <v>215.0041451572458</v>
      </c>
      <c r="F13">
        <f>C13*$K$2*E13</f>
        <v>2013019.3098637455</v>
      </c>
      <c r="G13">
        <f t="shared" si="0"/>
        <v>56.176200000000009</v>
      </c>
    </row>
    <row r="14" spans="2:14" x14ac:dyDescent="0.25">
      <c r="B14">
        <v>11</v>
      </c>
      <c r="C14">
        <f>(1/2)*$K$6*B14^2</f>
        <v>54.994500000000002</v>
      </c>
      <c r="D14" s="1">
        <f>$K$4/(C14*$K$2)</f>
        <v>66.202560238371589</v>
      </c>
      <c r="E14">
        <f>(D14^2)/(PI()*$K$7*$K$3)</f>
        <v>146.85072410166373</v>
      </c>
      <c r="F14">
        <f>C14*$K$2*E14</f>
        <v>1663652.3222014429</v>
      </c>
      <c r="G14">
        <f t="shared" si="0"/>
        <v>67.973202000000001</v>
      </c>
    </row>
    <row r="15" spans="2:14" x14ac:dyDescent="0.25">
      <c r="B15">
        <v>12</v>
      </c>
      <c r="C15">
        <f>(1/2)*$K$6*B15^2</f>
        <v>65.448000000000008</v>
      </c>
      <c r="D15" s="1">
        <f>$K$4/(C15*$K$2)</f>
        <v>55.628540200298339</v>
      </c>
      <c r="E15">
        <f>(D15^2)/(PI()*$K$7*$K$3)</f>
        <v>103.68641259512239</v>
      </c>
      <c r="F15">
        <f>C15*$K$2*E15</f>
        <v>1397930.0762942678</v>
      </c>
      <c r="G15">
        <f t="shared" si="0"/>
        <v>80.89372800000001</v>
      </c>
    </row>
    <row r="16" spans="2:14" x14ac:dyDescent="0.25">
      <c r="B16">
        <v>13</v>
      </c>
      <c r="C16">
        <f>(1/2)*$K$6*B16^2</f>
        <v>76.810500000000005</v>
      </c>
      <c r="D16" s="1">
        <f>$K$4/(C16*$K$2)</f>
        <v>47.399466206171368</v>
      </c>
      <c r="E16">
        <f>(D16^2)/(PI()*$K$7*$K$3)</f>
        <v>75.278927613615011</v>
      </c>
      <c r="F16">
        <f>C16*$K$2*E16</f>
        <v>1191135.6863099087</v>
      </c>
      <c r="G16">
        <f t="shared" si="0"/>
        <v>94.937778000000009</v>
      </c>
    </row>
    <row r="17" spans="2:7" x14ac:dyDescent="0.25">
      <c r="B17">
        <v>14</v>
      </c>
      <c r="C17">
        <f>(1/2)*$K$6*B17^2</f>
        <v>89.082000000000008</v>
      </c>
      <c r="D17" s="1">
        <f>$K$4/(C17*$K$2)</f>
        <v>40.869947902260009</v>
      </c>
      <c r="E17">
        <f>(D17^2)/(PI()*$K$7*$K$3)</f>
        <v>55.967343075084813</v>
      </c>
      <c r="F17">
        <f>C17*$K$2*E17</f>
        <v>1027050.6682978292</v>
      </c>
      <c r="G17">
        <f t="shared" si="0"/>
        <v>110.105352</v>
      </c>
    </row>
    <row r="18" spans="2:7" x14ac:dyDescent="0.25">
      <c r="B18">
        <v>15</v>
      </c>
      <c r="C18">
        <f>(1/2)*$K$6*B18^2</f>
        <v>102.2625</v>
      </c>
      <c r="D18" s="1">
        <f>$K$4/(C18*$K$2)</f>
        <v>35.602265728190943</v>
      </c>
      <c r="E18">
        <f>(D18^2)/(PI()*$K$7*$K$3)</f>
        <v>42.46995459896214</v>
      </c>
      <c r="F18">
        <f>C18*$K$2*E18</f>
        <v>894675.24882833136</v>
      </c>
      <c r="G18">
        <f t="shared" si="0"/>
        <v>126.39645</v>
      </c>
    </row>
    <row r="19" spans="2:7" x14ac:dyDescent="0.25">
      <c r="B19">
        <v>16</v>
      </c>
      <c r="C19">
        <f>(1/2)*$K$6*B19^2</f>
        <v>116.352</v>
      </c>
      <c r="D19" s="1">
        <f>$K$4/(C19*$K$2)</f>
        <v>31.291053862667816</v>
      </c>
      <c r="E19">
        <f>(D19^2)/(PI()*$K$7*$K$3)</f>
        <v>32.807028985175442</v>
      </c>
      <c r="F19">
        <f>C19*$K$2*E19</f>
        <v>786335.6679155255</v>
      </c>
      <c r="G19">
        <f t="shared" si="0"/>
        <v>143.81107200000002</v>
      </c>
    </row>
    <row r="20" spans="2:7" x14ac:dyDescent="0.25">
      <c r="B20">
        <v>17</v>
      </c>
      <c r="C20">
        <f>(1/2)*$K$6*B20^2</f>
        <v>131.35050000000001</v>
      </c>
      <c r="D20" s="1">
        <f>$K$4/(C20*$K$2)</f>
        <v>27.718026951013709</v>
      </c>
      <c r="E20">
        <f>(D20^2)/(PI()*$K$7*$K$3)</f>
        <v>25.742525252001993</v>
      </c>
      <c r="F20">
        <f>C20*$K$2*E20</f>
        <v>696546.4740012961</v>
      </c>
      <c r="G20">
        <f t="shared" si="0"/>
        <v>162.34921800000001</v>
      </c>
    </row>
    <row r="21" spans="2:7" x14ac:dyDescent="0.25">
      <c r="B21">
        <v>18</v>
      </c>
      <c r="C21">
        <f>(1/2)*$K$6*B21^2</f>
        <v>147.25800000000001</v>
      </c>
      <c r="D21" s="1">
        <f>$K$4/(C21*$K$2)</f>
        <v>24.723795644577041</v>
      </c>
      <c r="E21">
        <f>(D21^2)/(PI()*$K$7*$K$3)</f>
        <v>20.481266685456276</v>
      </c>
      <c r="F21">
        <f>C21*$K$2*E21</f>
        <v>621302.25613078556</v>
      </c>
      <c r="G21">
        <f t="shared" si="0"/>
        <v>182.01088800000002</v>
      </c>
    </row>
    <row r="22" spans="2:7" x14ac:dyDescent="0.25">
      <c r="B22">
        <v>19</v>
      </c>
      <c r="C22">
        <f>(1/2)*$K$6*B22^2</f>
        <v>164.0745</v>
      </c>
      <c r="D22" s="1">
        <f>$K$4/(C22*$K$2)</f>
        <v>22.189777808429255</v>
      </c>
      <c r="E22">
        <f>(D22^2)/(PI()*$K$7*$K$3)</f>
        <v>16.498042921497365</v>
      </c>
      <c r="F22">
        <f>C22*$K$2*E22</f>
        <v>557623.0775245832</v>
      </c>
      <c r="G22">
        <f t="shared" si="0"/>
        <v>202.79608200000001</v>
      </c>
    </row>
    <row r="23" spans="2:7" x14ac:dyDescent="0.25">
      <c r="B23">
        <v>20</v>
      </c>
      <c r="C23">
        <f>(1/2)*$K$6*B23^2</f>
        <v>181.8</v>
      </c>
      <c r="D23" s="1">
        <f>$K$4/(C23*$K$2)</f>
        <v>20.026274472107403</v>
      </c>
      <c r="E23">
        <f>(D23^2)/(PI()*$K$7*$K$3)</f>
        <v>13.437759072327863</v>
      </c>
      <c r="F23">
        <f>C23*$K$2*E23</f>
        <v>503254.82746593637</v>
      </c>
      <c r="G23">
        <f t="shared" si="0"/>
        <v>224.70480000000003</v>
      </c>
    </row>
    <row r="24" spans="2:7" x14ac:dyDescent="0.25">
      <c r="B24">
        <v>21</v>
      </c>
      <c r="C24">
        <f>(1/2)*$K$6*B24^2</f>
        <v>200.43450000000001</v>
      </c>
      <c r="D24" s="1">
        <f>$K$4/(C24*$K$2)</f>
        <v>18.164421289893337</v>
      </c>
      <c r="E24">
        <f>(D24^2)/(PI()*$K$7*$K$3)</f>
        <v>11.055277644461198</v>
      </c>
      <c r="F24">
        <f>C24*$K$2*E24</f>
        <v>456466.9636879242</v>
      </c>
      <c r="G24">
        <f t="shared" si="0"/>
        <v>247.73704200000003</v>
      </c>
    </row>
    <row r="25" spans="2:7" x14ac:dyDescent="0.25">
      <c r="B25">
        <v>22</v>
      </c>
      <c r="C25">
        <f>(1/2)*$K$6*B25^2</f>
        <v>219.97800000000001</v>
      </c>
      <c r="D25" s="1">
        <f>$K$4/(C25*$K$2)</f>
        <v>16.550640059592897</v>
      </c>
      <c r="E25">
        <f>(D25^2)/(PI()*$K$7*$K$3)</f>
        <v>9.1781702563539831</v>
      </c>
      <c r="F25">
        <f>C25*$K$2*E25</f>
        <v>415913.08055036073</v>
      </c>
      <c r="G25">
        <f t="shared" si="0"/>
        <v>271.892808</v>
      </c>
    </row>
    <row r="26" spans="2:7" x14ac:dyDescent="0.25">
      <c r="B26">
        <v>23</v>
      </c>
      <c r="C26">
        <f>(1/2)*$K$6*B26^2</f>
        <v>240.43049999999999</v>
      </c>
      <c r="D26" s="1">
        <f>$K$4/(C26*$K$2)</f>
        <v>15.142740621631308</v>
      </c>
      <c r="E26">
        <f>(D26^2)/(PI()*$K$7*$K$3)</f>
        <v>7.6830823631006835</v>
      </c>
      <c r="F26">
        <f>C26*$K$2*E26</f>
        <v>380532.9508249046</v>
      </c>
      <c r="G26">
        <f t="shared" si="0"/>
        <v>297.17209800000001</v>
      </c>
    </row>
    <row r="27" spans="2:7" x14ac:dyDescent="0.25">
      <c r="B27">
        <v>24</v>
      </c>
      <c r="C27">
        <f>(1/2)*$K$6*B27^2</f>
        <v>261.79200000000003</v>
      </c>
      <c r="D27" s="1">
        <f>$K$4/(C27*$K$2)</f>
        <v>13.907135050074585</v>
      </c>
      <c r="E27">
        <f>(D27^2)/(PI()*$K$7*$K$3)</f>
        <v>6.4804007871951494</v>
      </c>
      <c r="F27">
        <f>C27*$K$2*E27</f>
        <v>349482.51907356695</v>
      </c>
      <c r="G27">
        <f t="shared" si="0"/>
        <v>323.57491200000004</v>
      </c>
    </row>
    <row r="28" spans="2:7" x14ac:dyDescent="0.25">
      <c r="B28">
        <v>25</v>
      </c>
      <c r="C28">
        <f>(1/2)*$K$6*B28^2</f>
        <v>284.0625</v>
      </c>
      <c r="D28" s="1">
        <f>$K$4/(C28*$K$2)</f>
        <v>12.816815662148739</v>
      </c>
      <c r="E28">
        <f>(D28^2)/(PI()*$K$7*$K$3)</f>
        <v>5.5041061160254943</v>
      </c>
      <c r="F28">
        <f>C28*$K$2*E28</f>
        <v>322083.08957819932</v>
      </c>
      <c r="G28">
        <f t="shared" si="0"/>
        <v>351.10124999999999</v>
      </c>
    </row>
    <row r="29" spans="2:7" x14ac:dyDescent="0.25">
      <c r="B29">
        <v>26</v>
      </c>
      <c r="C29">
        <f>(1/2)*$K$6*B29^2</f>
        <v>307.24200000000002</v>
      </c>
      <c r="D29" s="1">
        <f>$K$4/(C29*$K$2)</f>
        <v>11.849866551542842</v>
      </c>
      <c r="E29">
        <f>(D29^2)/(PI()*$K$7*$K$3)</f>
        <v>4.7049329758509382</v>
      </c>
      <c r="F29">
        <f>C29*$K$2*E29</f>
        <v>297783.92157747719</v>
      </c>
      <c r="G29">
        <f t="shared" si="0"/>
        <v>379.75111200000003</v>
      </c>
    </row>
    <row r="30" spans="2:7" x14ac:dyDescent="0.25">
      <c r="B30">
        <v>27</v>
      </c>
      <c r="C30">
        <f>(1/2)*$K$6*B30^2</f>
        <v>331.33050000000003</v>
      </c>
      <c r="D30" s="1">
        <f>$K$4/(C30*$K$2)</f>
        <v>10.988353619812017</v>
      </c>
      <c r="E30">
        <f>(D30^2)/(PI()*$K$7*$K$3)</f>
        <v>4.045682308238276</v>
      </c>
      <c r="F30">
        <f>C30*$K$2*E30</f>
        <v>276134.33605812694</v>
      </c>
      <c r="G30">
        <f t="shared" si="0"/>
        <v>409.52449800000011</v>
      </c>
    </row>
    <row r="31" spans="2:7" x14ac:dyDescent="0.25">
      <c r="B31">
        <v>28</v>
      </c>
      <c r="C31">
        <f>(1/2)*$K$6*B31^2</f>
        <v>356.32800000000003</v>
      </c>
      <c r="D31" s="1">
        <f>$K$4/(C31*$K$2)</f>
        <v>10.217486975565002</v>
      </c>
      <c r="E31">
        <f>(D31^2)/(PI()*$K$7*$K$3)</f>
        <v>3.4979589421928008</v>
      </c>
      <c r="F31">
        <f>C31*$K$2*E31</f>
        <v>256762.66707445731</v>
      </c>
      <c r="G31">
        <f t="shared" si="0"/>
        <v>440.42140799999999</v>
      </c>
    </row>
    <row r="32" spans="2:7" x14ac:dyDescent="0.25">
      <c r="B32">
        <v>29</v>
      </c>
      <c r="C32">
        <f>(1/2)*$K$6*B32^2</f>
        <v>382.23450000000003</v>
      </c>
      <c r="D32" s="1">
        <f>$K$4/(C32*$K$2)</f>
        <v>9.524981913011846</v>
      </c>
      <c r="E32">
        <f>(D32^2)/(PI()*$K$7*$K$3)</f>
        <v>3.0398688096703554</v>
      </c>
      <c r="F32">
        <f>C32*$K$2*E32</f>
        <v>239360.20331316837</v>
      </c>
      <c r="G32">
        <f t="shared" si="0"/>
        <v>472.44184200000001</v>
      </c>
    </row>
    <row r="33" spans="2:7" x14ac:dyDescent="0.25">
      <c r="B33">
        <v>30</v>
      </c>
      <c r="C33">
        <f>(1/2)*$K$6*B33^2</f>
        <v>409.05</v>
      </c>
      <c r="D33" s="1">
        <f>$K$4/(C33*$K$2)</f>
        <v>8.9005664320477358</v>
      </c>
      <c r="E33">
        <f>(D33^2)/(PI()*$K$7*$K$3)</f>
        <v>2.6543721624351337</v>
      </c>
      <c r="F33">
        <f>C33*$K$2*E33</f>
        <v>223668.81220708284</v>
      </c>
      <c r="G33">
        <f t="shared" si="0"/>
        <v>505.58580000000001</v>
      </c>
    </row>
    <row r="34" spans="2:7" x14ac:dyDescent="0.25">
      <c r="B34">
        <v>31</v>
      </c>
      <c r="C34">
        <f>(1/2)*$K$6*B34^2</f>
        <v>436.77449999999999</v>
      </c>
      <c r="D34" s="1">
        <f>$K$4/(C34*$K$2)</f>
        <v>8.3355981153412717</v>
      </c>
      <c r="E34">
        <f>(D34^2)/(PI()*$K$7*$K$3)</f>
        <v>2.3280915664857198</v>
      </c>
      <c r="F34">
        <f>C34*$K$2*E34</f>
        <v>209471.3121606395</v>
      </c>
      <c r="G34">
        <f t="shared" si="0"/>
        <v>539.85328199999992</v>
      </c>
    </row>
    <row r="35" spans="2:7" x14ac:dyDescent="0.25">
      <c r="B35">
        <v>32</v>
      </c>
      <c r="C35">
        <f>(1/2)*$K$6*B35^2</f>
        <v>465.40800000000002</v>
      </c>
      <c r="D35" s="1">
        <f>$K$4/(C35*$K$2)</f>
        <v>7.822763465666954</v>
      </c>
      <c r="E35">
        <f>(D35^2)/(PI()*$K$7*$K$3)</f>
        <v>2.0504393115734652</v>
      </c>
      <c r="F35">
        <f>C35*$K$2*E35</f>
        <v>196583.91697888137</v>
      </c>
      <c r="G35">
        <f t="shared" si="0"/>
        <v>575.2442880000001</v>
      </c>
    </row>
    <row r="36" spans="2:7" x14ac:dyDescent="0.25">
      <c r="B36">
        <v>33</v>
      </c>
      <c r="C36">
        <f>(1/2)*$K$6*B36^2</f>
        <v>494.95050000000003</v>
      </c>
      <c r="D36" s="1">
        <f>$K$4/(C36*$K$2)</f>
        <v>7.3558400264857315</v>
      </c>
      <c r="E36">
        <f>(D36^2)/(PI()*$K$7*$K$3)</f>
        <v>1.8129719024896753</v>
      </c>
      <c r="F36">
        <f>C36*$K$2*E36</f>
        <v>184850.25802238251</v>
      </c>
      <c r="G36">
        <f t="shared" si="0"/>
        <v>611.75881800000002</v>
      </c>
    </row>
    <row r="37" spans="2:7" x14ac:dyDescent="0.25">
      <c r="B37">
        <v>34</v>
      </c>
      <c r="C37">
        <f>(1/2)*$K$6*B37^2</f>
        <v>525.40200000000004</v>
      </c>
      <c r="D37" s="1">
        <f>$K$4/(C37*$K$2)</f>
        <v>6.9295067377534272</v>
      </c>
      <c r="E37">
        <f>(D37^2)/(PI()*$K$7*$K$3)</f>
        <v>1.6089078282501246</v>
      </c>
      <c r="F37">
        <f>C37*$K$2*E37</f>
        <v>174136.61850032402</v>
      </c>
      <c r="G37">
        <f t="shared" si="0"/>
        <v>649.39687200000003</v>
      </c>
    </row>
    <row r="38" spans="2:7" x14ac:dyDescent="0.25">
      <c r="B38">
        <v>35</v>
      </c>
      <c r="C38">
        <f>(1/2)*$K$6*B38^2</f>
        <v>556.76250000000005</v>
      </c>
      <c r="D38" s="1">
        <f>$K$4/(C38*$K$2)</f>
        <v>6.539191664361601</v>
      </c>
      <c r="E38">
        <f>(D38^2)/(PI()*$K$7*$K$3)</f>
        <v>1.4327639827221712</v>
      </c>
      <c r="F38">
        <f>C38*$K$2*E38</f>
        <v>164328.1069276527</v>
      </c>
      <c r="G38">
        <f t="shared" si="0"/>
        <v>688.15845000000013</v>
      </c>
    </row>
    <row r="39" spans="2:7" x14ac:dyDescent="0.25">
      <c r="B39">
        <v>36</v>
      </c>
      <c r="C39">
        <f>(1/2)*$K$6*B39^2</f>
        <v>589.03200000000004</v>
      </c>
      <c r="D39" s="1">
        <f>$K$4/(C39*$K$2)</f>
        <v>6.1809489111442604</v>
      </c>
      <c r="E39">
        <f>(D39^2)/(PI()*$K$7*$K$3)</f>
        <v>1.2800791678410173</v>
      </c>
      <c r="F39">
        <f>C39*$K$2*E39</f>
        <v>155325.56403269639</v>
      </c>
      <c r="G39">
        <f t="shared" si="0"/>
        <v>728.04355200000009</v>
      </c>
    </row>
    <row r="40" spans="2:7" x14ac:dyDescent="0.25">
      <c r="B40">
        <v>37</v>
      </c>
      <c r="C40">
        <f>(1/2)*$K$6*B40^2</f>
        <v>622.21050000000002</v>
      </c>
      <c r="D40" s="1">
        <f>$K$4/(C40*$K$2)</f>
        <v>5.8513585017114398</v>
      </c>
      <c r="E40">
        <f>(D40^2)/(PI()*$K$7*$K$3)</f>
        <v>1.147202108875629</v>
      </c>
      <c r="F40">
        <f>C40*$K$2*E40</f>
        <v>147043.04673949929</v>
      </c>
      <c r="G40">
        <f t="shared" si="0"/>
        <v>769.05217800000014</v>
      </c>
    </row>
    <row r="41" spans="2:7" x14ac:dyDescent="0.25">
      <c r="B41">
        <v>38</v>
      </c>
      <c r="C41">
        <f>(1/2)*$K$6*B41^2</f>
        <v>656.298</v>
      </c>
      <c r="D41" s="1">
        <f>$K$4/(C41*$K$2)</f>
        <v>5.5474444521073139</v>
      </c>
      <c r="E41">
        <f>(D41^2)/(PI()*$K$7*$K$3)</f>
        <v>1.0311276825935853</v>
      </c>
      <c r="F41">
        <f>C41*$K$2*E41</f>
        <v>139405.7693811458</v>
      </c>
      <c r="G41">
        <f t="shared" si="0"/>
        <v>811.18432800000005</v>
      </c>
    </row>
    <row r="42" spans="2:7" x14ac:dyDescent="0.25">
      <c r="B42">
        <v>39</v>
      </c>
      <c r="C42">
        <f>(1/2)*$K$6*B42^2</f>
        <v>691.29449999999997</v>
      </c>
      <c r="D42" s="1">
        <f>$K$4/(C42*$K$2)</f>
        <v>5.2666073562412645</v>
      </c>
      <c r="E42">
        <f>(D42^2)/(PI()*$K$7*$K$3)</f>
        <v>0.92936947671129677</v>
      </c>
      <c r="F42">
        <f>C42*$K$2*E42</f>
        <v>132348.4095899899</v>
      </c>
      <c r="G42">
        <f t="shared" si="0"/>
        <v>854.44000199999994</v>
      </c>
    </row>
    <row r="43" spans="2:7" x14ac:dyDescent="0.25">
      <c r="B43">
        <v>40</v>
      </c>
      <c r="C43">
        <f>(1/2)*$K$6*B43^2</f>
        <v>727.2</v>
      </c>
      <c r="D43" s="1">
        <f>$K$4/(C43*$K$2)</f>
        <v>5.0065686180268507</v>
      </c>
      <c r="E43">
        <f>(D43^2)/(PI()*$K$7*$K$3)</f>
        <v>0.83985994202049141</v>
      </c>
      <c r="F43">
        <f>C43*$K$2*E43</f>
        <v>125813.70686648409</v>
      </c>
      <c r="G43">
        <f t="shared" si="0"/>
        <v>898.81920000000014</v>
      </c>
    </row>
    <row r="44" spans="2:7" x14ac:dyDescent="0.25">
      <c r="B44">
        <v>41</v>
      </c>
      <c r="C44">
        <f>(1/2)*$K$6*B44^2</f>
        <v>764.0145</v>
      </c>
      <c r="D44" s="1">
        <f>$K$4/(C44*$K$2)</f>
        <v>4.7653240861647603</v>
      </c>
      <c r="E44">
        <f>(D44^2)/(PI()*$K$7*$K$3)</f>
        <v>0.7608716560149491</v>
      </c>
      <c r="F44">
        <f>C44*$K$2*E44</f>
        <v>119751.29743389327</v>
      </c>
      <c r="G44">
        <f t="shared" si="0"/>
        <v>944.32192199999997</v>
      </c>
    </row>
    <row r="45" spans="2:7" x14ac:dyDescent="0.25">
      <c r="B45">
        <v>42</v>
      </c>
      <c r="C45">
        <f>(1/2)*$K$6*B45^2</f>
        <v>801.73800000000006</v>
      </c>
      <c r="D45" s="1">
        <f>$K$4/(C45*$K$2)</f>
        <v>4.5411053224733342</v>
      </c>
      <c r="E45">
        <f>(D45^2)/(PI()*$K$7*$K$3)</f>
        <v>0.69095485277882485</v>
      </c>
      <c r="F45">
        <f>C45*$K$2*E45</f>
        <v>114116.74092198105</v>
      </c>
      <c r="G45">
        <f t="shared" si="0"/>
        <v>990.94816800000012</v>
      </c>
    </row>
    <row r="46" spans="2:7" x14ac:dyDescent="0.25">
      <c r="B46">
        <v>43</v>
      </c>
      <c r="C46">
        <f>(1/2)*$K$6*B46^2</f>
        <v>840.37049999999999</v>
      </c>
      <c r="D46" s="1">
        <f>$K$4/(C46*$K$2)</f>
        <v>4.3323471005099847</v>
      </c>
      <c r="E46">
        <f>(D46^2)/(PI()*$K$7*$K$3)</f>
        <v>0.62888756952289948</v>
      </c>
      <c r="F46">
        <f>C46*$K$2*E46</f>
        <v>108870.70361621122</v>
      </c>
      <c r="G46">
        <f t="shared" si="0"/>
        <v>1038.697938</v>
      </c>
    </row>
    <row r="47" spans="2:7" x14ac:dyDescent="0.25">
      <c r="B47">
        <v>44</v>
      </c>
      <c r="C47">
        <f>(1/2)*$K$6*B47^2</f>
        <v>879.91200000000003</v>
      </c>
      <c r="D47" s="1">
        <f>$K$4/(C47*$K$2)</f>
        <v>4.1376600148982243</v>
      </c>
      <c r="E47">
        <f>(D47^2)/(PI()*$K$7*$K$3)</f>
        <v>0.57363564102212394</v>
      </c>
      <c r="F47">
        <f>C47*$K$2*E47</f>
        <v>103978.27013759018</v>
      </c>
      <c r="G47">
        <f t="shared" si="0"/>
        <v>1087.571232</v>
      </c>
    </row>
    <row r="48" spans="2:7" x14ac:dyDescent="0.25">
      <c r="B48">
        <v>45</v>
      </c>
      <c r="C48">
        <f>(1/2)*$K$6*B48^2</f>
        <v>920.36250000000007</v>
      </c>
      <c r="D48" s="1">
        <f>$K$4/(C48*$K$2)</f>
        <v>3.9558073031323264</v>
      </c>
      <c r="E48">
        <f>(D48^2)/(PI()*$K$7*$K$3)</f>
        <v>0.52432042714768068</v>
      </c>
      <c r="F48">
        <f>C48*$K$2*E48</f>
        <v>99408.360980925703</v>
      </c>
      <c r="G48">
        <f t="shared" si="0"/>
        <v>1137.5680500000001</v>
      </c>
    </row>
    <row r="49" spans="2:7" x14ac:dyDescent="0.25">
      <c r="B49">
        <v>46</v>
      </c>
      <c r="C49">
        <f>(1/2)*$K$6*B49^2</f>
        <v>961.72199999999998</v>
      </c>
      <c r="D49" s="1">
        <f>$K$4/(C49*$K$2)</f>
        <v>3.785685155407827</v>
      </c>
      <c r="E49">
        <f>(D49^2)/(PI()*$K$7*$K$3)</f>
        <v>0.48019264769379272</v>
      </c>
      <c r="F49">
        <f>C49*$K$2*E49</f>
        <v>95133.237706226151</v>
      </c>
      <c r="G49">
        <f t="shared" si="0"/>
        <v>1188.688392</v>
      </c>
    </row>
    <row r="50" spans="2:7" x14ac:dyDescent="0.25">
      <c r="B50">
        <v>47</v>
      </c>
      <c r="C50">
        <f>(1/2)*$K$6*B50^2</f>
        <v>1003.9905</v>
      </c>
      <c r="D50" s="1">
        <f>$K$4/(C50*$K$2)</f>
        <v>3.6263059252344778</v>
      </c>
      <c r="E50">
        <f>(D50^2)/(PI()*$K$7*$K$3)</f>
        <v>0.44061106690631174</v>
      </c>
      <c r="F50">
        <f>C50*$K$2*E50</f>
        <v>91128.081025973093</v>
      </c>
      <c r="G50">
        <f t="shared" si="0"/>
        <v>1240.932258</v>
      </c>
    </row>
    <row r="51" spans="2:7" x14ac:dyDescent="0.25">
      <c r="B51">
        <v>48</v>
      </c>
      <c r="C51">
        <f>(1/2)*$K$6*B51^2</f>
        <v>1047.1680000000001</v>
      </c>
      <c r="D51" s="1">
        <f>$K$4/(C51*$K$2)</f>
        <v>3.4767837625186462</v>
      </c>
      <c r="E51">
        <f>(D51^2)/(PI()*$K$7*$K$3)</f>
        <v>0.40502504919969684</v>
      </c>
      <c r="F51">
        <f>C51*$K$2*E51</f>
        <v>87370.629768391736</v>
      </c>
      <c r="G51">
        <f t="shared" si="0"/>
        <v>1294.2996480000002</v>
      </c>
    </row>
    <row r="52" spans="2:7" x14ac:dyDescent="0.25">
      <c r="B52">
        <v>49</v>
      </c>
      <c r="C52">
        <f>(1/2)*$K$6*B52^2</f>
        <v>1091.2545</v>
      </c>
      <c r="D52" s="1">
        <f>$K$4/(C52*$K$2)</f>
        <v>3.336322277735511</v>
      </c>
      <c r="E52">
        <f>(D52^2)/(PI()*$K$7*$K$3)</f>
        <v>0.3729602204087285</v>
      </c>
      <c r="F52">
        <f>C52*$K$2*E52</f>
        <v>83840.87088145547</v>
      </c>
      <c r="G52">
        <f t="shared" si="0"/>
        <v>1348.7905619999999</v>
      </c>
    </row>
    <row r="53" spans="2:7" x14ac:dyDescent="0.25">
      <c r="B53">
        <v>50</v>
      </c>
      <c r="C53">
        <f>(1/2)*$K$6*B53^2</f>
        <v>1136.25</v>
      </c>
      <c r="D53" s="1">
        <f>$K$4/(C53*$K$2)</f>
        <v>3.2042039155371849</v>
      </c>
      <c r="E53">
        <f>(D53^2)/(PI()*$K$7*$K$3)</f>
        <v>0.34400663225159339</v>
      </c>
      <c r="F53">
        <f>C53*$K$2*E53</f>
        <v>80520.772394549829</v>
      </c>
      <c r="G53">
        <f t="shared" si="0"/>
        <v>1404.405</v>
      </c>
    </row>
    <row r="54" spans="2:7" x14ac:dyDescent="0.25">
      <c r="B54">
        <v>51</v>
      </c>
      <c r="C54">
        <f>(1/2)*$K$6*B54^2</f>
        <v>1182.1545000000001</v>
      </c>
      <c r="D54" s="1">
        <f>$K$4/(C54*$K$2)</f>
        <v>3.0797807723348565</v>
      </c>
      <c r="E54">
        <f>(D54^2)/(PI()*$K$7*$K$3)</f>
        <v>0.31780895372841966</v>
      </c>
      <c r="F54">
        <f>C54*$K$2*E54</f>
        <v>77394.052666810676</v>
      </c>
      <c r="G54">
        <f t="shared" si="0"/>
        <v>1461.1429620000001</v>
      </c>
    </row>
    <row r="55" spans="2:7" x14ac:dyDescent="0.25">
      <c r="B55">
        <v>52</v>
      </c>
      <c r="C55">
        <f>(1/2)*$K$6*B55^2</f>
        <v>1228.9680000000001</v>
      </c>
      <c r="D55" s="1">
        <f>$K$4/(C55*$K$2)</f>
        <v>2.9624666378857105</v>
      </c>
      <c r="E55">
        <f>(D55^2)/(PI()*$K$7*$K$3)</f>
        <v>0.29405831099068364</v>
      </c>
      <c r="F55">
        <f>C55*$K$2*E55</f>
        <v>74445.980394369297</v>
      </c>
      <c r="G55">
        <f t="shared" si="0"/>
        <v>1519.0044480000001</v>
      </c>
    </row>
    <row r="56" spans="2:7" x14ac:dyDescent="0.25">
      <c r="B56">
        <v>53</v>
      </c>
      <c r="C56">
        <f>(1/2)*$K$6*B56^2</f>
        <v>1276.6904999999999</v>
      </c>
      <c r="D56" s="1">
        <f>$K$4/(C56*$K$2)</f>
        <v>2.8517300779077832</v>
      </c>
      <c r="E56">
        <f>(D56^2)/(PI()*$K$7*$K$3)</f>
        <v>0.27248547351833924</v>
      </c>
      <c r="F56">
        <f>C56*$K$2*E56</f>
        <v>71663.200778346232</v>
      </c>
      <c r="G56">
        <f t="shared" si="0"/>
        <v>1577.9894579999998</v>
      </c>
    </row>
    <row r="57" spans="2:7" x14ac:dyDescent="0.25">
      <c r="B57">
        <v>54</v>
      </c>
      <c r="C57">
        <f>(1/2)*$K$6*B57^2</f>
        <v>1325.3220000000001</v>
      </c>
      <c r="D57" s="1">
        <f>$K$4/(C57*$K$2)</f>
        <v>2.7470884049530042</v>
      </c>
      <c r="E57">
        <f>(D57^2)/(PI()*$K$7*$K$3)</f>
        <v>0.25285514426489225</v>
      </c>
      <c r="F57">
        <f>C57*$K$2*E57</f>
        <v>69033.584014531734</v>
      </c>
      <c r="G57">
        <f t="shared" si="0"/>
        <v>1638.0979920000004</v>
      </c>
    </row>
    <row r="58" spans="2:7" x14ac:dyDescent="0.25">
      <c r="B58">
        <v>55</v>
      </c>
      <c r="C58">
        <f>(1/2)*$K$6*B58^2</f>
        <v>1374.8625</v>
      </c>
      <c r="D58" s="1">
        <f>$K$4/(C58*$K$2)</f>
        <v>2.6481024095348635</v>
      </c>
      <c r="E58">
        <f>(D58^2)/(PI()*$K$7*$K$3)</f>
        <v>0.23496115856266195</v>
      </c>
      <c r="F58">
        <f>C58*$K$2*E58</f>
        <v>66546.092888057712</v>
      </c>
      <c r="G58">
        <f t="shared" si="0"/>
        <v>1699.33005</v>
      </c>
    </row>
    <row r="59" spans="2:7" x14ac:dyDescent="0.25">
      <c r="B59">
        <v>56</v>
      </c>
      <c r="C59">
        <f>(1/2)*$K$6*B59^2</f>
        <v>1425.3120000000001</v>
      </c>
      <c r="D59" s="1">
        <f>$K$4/(C59*$K$2)</f>
        <v>2.5543717438912505</v>
      </c>
      <c r="E59">
        <f>(D59^2)/(PI()*$K$7*$K$3)</f>
        <v>0.21862243388705005</v>
      </c>
      <c r="F59">
        <f>C59*$K$2*E59</f>
        <v>64190.666768614326</v>
      </c>
      <c r="G59">
        <f t="shared" si="0"/>
        <v>1761.6856319999999</v>
      </c>
    </row>
    <row r="60" spans="2:7" x14ac:dyDescent="0.25">
      <c r="B60">
        <v>57</v>
      </c>
      <c r="C60">
        <f>(1/2)*$K$6*B60^2</f>
        <v>1476.6704999999999</v>
      </c>
      <c r="D60" s="1">
        <f>$K$4/(C60*$K$2)</f>
        <v>2.4655308676032512</v>
      </c>
      <c r="E60">
        <f>(D60^2)/(PI()*$K$7*$K$3)</f>
        <v>0.20367954224070831</v>
      </c>
      <c r="F60">
        <f>C60*$K$2*E60</f>
        <v>61958.119724953707</v>
      </c>
      <c r="G60">
        <f t="shared" si="0"/>
        <v>1825.1647379999997</v>
      </c>
    </row>
    <row r="61" spans="2:7" x14ac:dyDescent="0.25">
      <c r="B61">
        <v>58</v>
      </c>
      <c r="C61">
        <f>(1/2)*$K$6*B61^2</f>
        <v>1528.9380000000001</v>
      </c>
      <c r="D61" s="1">
        <f>$K$4/(C61*$K$2)</f>
        <v>2.3812454782529615</v>
      </c>
      <c r="E61">
        <f>(D61^2)/(PI()*$K$7*$K$3)</f>
        <v>0.18999180060439722</v>
      </c>
      <c r="F61">
        <f>C61*$K$2*E61</f>
        <v>59840.050828292093</v>
      </c>
      <c r="G61">
        <f t="shared" si="0"/>
        <v>1889.767368</v>
      </c>
    </row>
    <row r="62" spans="2:7" x14ac:dyDescent="0.25">
      <c r="B62">
        <v>59</v>
      </c>
      <c r="C62">
        <f>(1/2)*$K$6*B62^2</f>
        <v>1582.1145000000001</v>
      </c>
      <c r="D62" s="1">
        <f>$K$4/(C62*$K$2)</f>
        <v>2.3012093619198395</v>
      </c>
      <c r="E62">
        <f>(D62^2)/(PI()*$K$7*$K$3)</f>
        <v>0.17743479389385675</v>
      </c>
      <c r="F62">
        <f>C62*$K$2*E62</f>
        <v>57828.76500614034</v>
      </c>
      <c r="G62">
        <f t="shared" si="0"/>
        <v>1955.493522</v>
      </c>
    </row>
    <row r="63" spans="2:7" x14ac:dyDescent="0.25">
      <c r="B63">
        <v>60</v>
      </c>
      <c r="C63">
        <f>(1/2)*$K$6*B63^2</f>
        <v>1636.2</v>
      </c>
      <c r="D63" s="1">
        <f>$K$4/(C63*$K$2)</f>
        <v>2.2251416080119339</v>
      </c>
      <c r="E63">
        <f>(D63^2)/(PI()*$K$7*$K$3)</f>
        <v>0.16589826015219586</v>
      </c>
      <c r="F63">
        <f>C63*$K$2*E63</f>
        <v>55917.20305177071</v>
      </c>
      <c r="G63">
        <f t="shared" si="0"/>
        <v>2022.3432</v>
      </c>
    </row>
    <row r="64" spans="2:7" x14ac:dyDescent="0.25">
      <c r="B64">
        <v>61</v>
      </c>
      <c r="C64">
        <f>(1/2)*$K$6*B64^2</f>
        <v>1691.1945000000001</v>
      </c>
      <c r="D64" s="1">
        <f>$K$4/(C64*$K$2)</f>
        <v>2.152784141048901</v>
      </c>
      <c r="E64">
        <f>(D64^2)/(PI()*$K$7*$K$3)</f>
        <v>0.1552842800644943</v>
      </c>
      <c r="F64">
        <f>C64*$K$2*E64</f>
        <v>54098.879598595682</v>
      </c>
      <c r="G64">
        <f t="shared" si="0"/>
        <v>2090.3164020000004</v>
      </c>
    </row>
    <row r="65" spans="2:7" x14ac:dyDescent="0.25">
      <c r="B65">
        <v>62</v>
      </c>
      <c r="C65">
        <f>(1/2)*$K$6*B65^2</f>
        <v>1747.098</v>
      </c>
      <c r="D65" s="1">
        <f>$K$4/(C65*$K$2)</f>
        <v>2.0838995288353179</v>
      </c>
      <c r="E65">
        <f>(D65^2)/(PI()*$K$7*$K$3)</f>
        <v>0.14550572290535749</v>
      </c>
      <c r="F65">
        <f>C65*$K$2*E65</f>
        <v>52367.828040159875</v>
      </c>
      <c r="G65">
        <f t="shared" si="0"/>
        <v>2159.4131279999997</v>
      </c>
    </row>
    <row r="66" spans="2:7" x14ac:dyDescent="0.25">
      <c r="B66">
        <v>63</v>
      </c>
      <c r="C66">
        <f>(1/2)*$K$6*B66^2</f>
        <v>1803.9105</v>
      </c>
      <c r="D66" s="1">
        <f>$K$4/(C66*$K$2)</f>
        <v>2.0182690322103709</v>
      </c>
      <c r="E66">
        <f>(D66^2)/(PI()*$K$7*$K$3)</f>
        <v>0.13648490919087902</v>
      </c>
      <c r="F66">
        <f>C66*$K$2*E66</f>
        <v>50718.551520880472</v>
      </c>
      <c r="G66">
        <f t="shared" si="0"/>
        <v>2229.633378</v>
      </c>
    </row>
    <row r="67" spans="2:7" x14ac:dyDescent="0.25">
      <c r="B67">
        <v>64</v>
      </c>
      <c r="C67">
        <f>(1/2)*$K$6*B67^2</f>
        <v>1861.6320000000001</v>
      </c>
      <c r="D67" s="1">
        <f>$K$4/(C67*$K$2)</f>
        <v>1.9556908664167385</v>
      </c>
      <c r="E67">
        <f>(D67^2)/(PI()*$K$7*$K$3)</f>
        <v>0.12815245697334157</v>
      </c>
      <c r="F67">
        <f>C67*$K$2*E67</f>
        <v>49145.979244720344</v>
      </c>
      <c r="G67">
        <f t="shared" si="0"/>
        <v>2300.9771520000004</v>
      </c>
    </row>
    <row r="68" spans="2:7" x14ac:dyDescent="0.25">
      <c r="B68">
        <v>65</v>
      </c>
      <c r="C68">
        <f>(1/2)*$K$6*B68^2</f>
        <v>1920.2625</v>
      </c>
      <c r="D68" s="1">
        <f>$K$4/(C68*$K$2)</f>
        <v>1.8959786482468548</v>
      </c>
      <c r="E68">
        <f>(D68^2)/(PI()*$K$7*$K$3)</f>
        <v>0.12044628418178401</v>
      </c>
      <c r="F68">
        <f>C68*$K$2*E68</f>
        <v>47645.42745239634</v>
      </c>
      <c r="G68">
        <f t="shared" si="0"/>
        <v>2373.44445</v>
      </c>
    </row>
    <row r="69" spans="2:7" x14ac:dyDescent="0.25">
      <c r="B69">
        <v>66</v>
      </c>
      <c r="C69">
        <f>(1/2)*$K$6*B69^2</f>
        <v>1979.8020000000001</v>
      </c>
      <c r="D69" s="1">
        <f>$K$4/(C69*$K$2)</f>
        <v>1.8389600066214329</v>
      </c>
      <c r="E69">
        <f>(D69^2)/(PI()*$K$7*$K$3)</f>
        <v>0.11331074390560471</v>
      </c>
      <c r="F69">
        <f>C69*$K$2*E69</f>
        <v>46212.564505595627</v>
      </c>
      <c r="G69">
        <f t="shared" ref="G69:G132" si="1">C69*$K$2*$K$5</f>
        <v>2447.0352720000001</v>
      </c>
    </row>
    <row r="70" spans="2:7" x14ac:dyDescent="0.25">
      <c r="B70">
        <v>67</v>
      </c>
      <c r="C70">
        <f>(1/2)*$K$6*B70^2</f>
        <v>2040.2505000000001</v>
      </c>
      <c r="D70" s="1">
        <f>$K$4/(C70*$K$2)</f>
        <v>1.7844753372338966</v>
      </c>
      <c r="E70">
        <f>(D70^2)/(PI()*$K$7*$K$3)</f>
        <v>0.10669587322573559</v>
      </c>
      <c r="F70">
        <f>C70*$K$2*E70</f>
        <v>44843.379591529192</v>
      </c>
      <c r="G70">
        <f t="shared" si="1"/>
        <v>2521.7496180000003</v>
      </c>
    </row>
    <row r="71" spans="2:7" x14ac:dyDescent="0.25">
      <c r="B71">
        <v>68</v>
      </c>
      <c r="C71">
        <f>(1/2)*$K$6*B71^2</f>
        <v>2101.6080000000002</v>
      </c>
      <c r="D71" s="1">
        <f>$K$4/(C71*$K$2)</f>
        <v>1.7323766844383568</v>
      </c>
      <c r="E71">
        <f>(D71^2)/(PI()*$K$7*$K$3)</f>
        <v>0.10055673926563279</v>
      </c>
      <c r="F71">
        <f>C71*$K$2*E71</f>
        <v>43534.154625081006</v>
      </c>
      <c r="G71">
        <f t="shared" si="1"/>
        <v>2597.5874880000001</v>
      </c>
    </row>
    <row r="72" spans="2:7" x14ac:dyDescent="0.25">
      <c r="B72">
        <v>69</v>
      </c>
      <c r="C72">
        <f>(1/2)*$K$6*B72^2</f>
        <v>2163.8744999999999</v>
      </c>
      <c r="D72" s="1">
        <f>$K$4/(C72*$K$2)</f>
        <v>1.6825267357368121</v>
      </c>
      <c r="E72">
        <f>(D72^2)/(PI()*$K$7*$K$3)</f>
        <v>9.4852868680255373E-2</v>
      </c>
      <c r="F72">
        <f>C72*$K$2*E72</f>
        <v>42281.438980544968</v>
      </c>
      <c r="G72">
        <f t="shared" si="1"/>
        <v>2674.548882</v>
      </c>
    </row>
    <row r="73" spans="2:7" x14ac:dyDescent="0.25">
      <c r="B73">
        <v>70</v>
      </c>
      <c r="C73">
        <f>(1/2)*$K$6*B73^2</f>
        <v>2227.0500000000002</v>
      </c>
      <c r="D73" s="1">
        <f>$K$4/(C73*$K$2)</f>
        <v>1.6347979160904003</v>
      </c>
      <c r="E73">
        <f>(D73^2)/(PI()*$K$7*$K$3)</f>
        <v>8.95477489201357E-2</v>
      </c>
      <c r="F73">
        <f>C73*$K$2*E73</f>
        <v>41082.026731913174</v>
      </c>
      <c r="G73">
        <f t="shared" si="1"/>
        <v>2752.6338000000005</v>
      </c>
    </row>
    <row r="74" spans="2:7" x14ac:dyDescent="0.25">
      <c r="B74">
        <v>71</v>
      </c>
      <c r="C74">
        <f>(1/2)*$K$6*B74^2</f>
        <v>2291.1345000000001</v>
      </c>
      <c r="D74" s="1">
        <f>$K$4/(C74*$K$2)</f>
        <v>1.5890715708873162</v>
      </c>
      <c r="E74">
        <f>(D74^2)/(PI()*$K$7*$K$3)</f>
        <v>8.4608391376094244E-2</v>
      </c>
      <c r="F74">
        <f>C74*$K$2*E74</f>
        <v>39932.936121082035</v>
      </c>
      <c r="G74">
        <f t="shared" si="1"/>
        <v>2831.8422420000002</v>
      </c>
    </row>
    <row r="75" spans="2:7" x14ac:dyDescent="0.25">
      <c r="B75">
        <v>72</v>
      </c>
      <c r="C75">
        <f>(1/2)*$K$6*B75^2</f>
        <v>2356.1280000000002</v>
      </c>
      <c r="D75" s="1">
        <f>$K$4/(C75*$K$2)</f>
        <v>1.5452372277860651</v>
      </c>
      <c r="E75">
        <f>(D75^2)/(PI()*$K$7*$K$3)</f>
        <v>8.000494799006358E-2</v>
      </c>
      <c r="F75">
        <f>C75*$K$2*E75</f>
        <v>38831.391008174098</v>
      </c>
      <c r="G75">
        <f t="shared" si="1"/>
        <v>2912.1742080000004</v>
      </c>
    </row>
    <row r="76" spans="2:7" x14ac:dyDescent="0.25">
      <c r="B76">
        <v>73</v>
      </c>
      <c r="C76">
        <f>(1/2)*$K$6*B76^2</f>
        <v>2422.0305000000003</v>
      </c>
      <c r="D76" s="1">
        <f>$K$4/(C76*$K$2)</f>
        <v>1.503191928850246</v>
      </c>
      <c r="E76">
        <f>(D76^2)/(PI()*$K$7*$K$3)</f>
        <v>7.5710374159176183E-2</v>
      </c>
      <c r="F76">
        <f>C76*$K$2*E76</f>
        <v>37774.804088266937</v>
      </c>
      <c r="G76">
        <f t="shared" si="1"/>
        <v>2993.6296980000002</v>
      </c>
    </row>
    <row r="77" spans="2:7" x14ac:dyDescent="0.25">
      <c r="B77">
        <v>74</v>
      </c>
      <c r="C77">
        <f>(1/2)*$K$6*B77^2</f>
        <v>2488.8420000000001</v>
      </c>
      <c r="D77" s="1">
        <f>$K$4/(C77*$K$2)</f>
        <v>1.4628396254278599</v>
      </c>
      <c r="E77">
        <f>(D77^2)/(PI()*$K$7*$K$3)</f>
        <v>7.1700131804726813E-2</v>
      </c>
      <c r="F77">
        <f>C77*$K$2*E77</f>
        <v>36760.761684874822</v>
      </c>
      <c r="G77">
        <f t="shared" si="1"/>
        <v>3076.2087120000006</v>
      </c>
    </row>
    <row r="78" spans="2:7" x14ac:dyDescent="0.25">
      <c r="B78">
        <v>75</v>
      </c>
      <c r="C78">
        <f>(1/2)*$K$6*B78^2</f>
        <v>2556.5625</v>
      </c>
      <c r="D78" s="1">
        <f>$K$4/(C78*$K$2)</f>
        <v>1.4240906291276376</v>
      </c>
      <c r="E78">
        <f>(D78^2)/(PI()*$K$7*$K$3)</f>
        <v>6.7951927358339409E-2</v>
      </c>
      <c r="F78">
        <f>C78*$K$2*E78</f>
        <v>35787.009953133245</v>
      </c>
      <c r="G78">
        <f t="shared" si="1"/>
        <v>3159.9112500000001</v>
      </c>
    </row>
    <row r="79" spans="2:7" x14ac:dyDescent="0.25">
      <c r="B79">
        <v>76</v>
      </c>
      <c r="C79">
        <f>(1/2)*$K$6*B79^2</f>
        <v>2625.192</v>
      </c>
      <c r="D79" s="1">
        <f>$K$4/(C79*$K$2)</f>
        <v>1.3868611130268285</v>
      </c>
      <c r="E79">
        <f>(D79^2)/(PI()*$K$7*$K$3)</f>
        <v>6.4445480162099084E-2</v>
      </c>
      <c r="F79">
        <f>C79*$K$2*E79</f>
        <v>34851.44234528645</v>
      </c>
      <c r="G79">
        <f t="shared" si="1"/>
        <v>3244.7373120000002</v>
      </c>
    </row>
    <row r="80" spans="2:7" x14ac:dyDescent="0.25">
      <c r="B80">
        <v>77</v>
      </c>
      <c r="C80">
        <f>(1/2)*$K$6*B80^2</f>
        <v>2694.7305000000001</v>
      </c>
      <c r="D80" s="1">
        <f>$K$4/(C80*$K$2)</f>
        <v>1.3510726579259507</v>
      </c>
      <c r="E80">
        <f>(D80^2)/(PI()*$K$7*$K$3)</f>
        <v>6.1162317410105665E-2</v>
      </c>
      <c r="F80">
        <f>C80*$K$2*E80</f>
        <v>33952.088208192705</v>
      </c>
      <c r="G80">
        <f t="shared" si="1"/>
        <v>3330.6868979999999</v>
      </c>
    </row>
    <row r="81" spans="2:7" x14ac:dyDescent="0.25">
      <c r="B81">
        <v>78</v>
      </c>
      <c r="C81">
        <f>(1/2)*$K$6*B81^2</f>
        <v>2765.1779999999999</v>
      </c>
      <c r="D81" s="1">
        <f>$K$4/(C81*$K$2)</f>
        <v>1.3166518390603161</v>
      </c>
      <c r="E81">
        <f>(D81^2)/(PI()*$K$7*$K$3)</f>
        <v>5.8085592294456048E-2</v>
      </c>
      <c r="F81">
        <f>C81*$K$2*E81</f>
        <v>33087.102397497474</v>
      </c>
      <c r="G81">
        <f t="shared" si="1"/>
        <v>3417.7600079999997</v>
      </c>
    </row>
    <row r="82" spans="2:7" x14ac:dyDescent="0.25">
      <c r="B82">
        <v>79</v>
      </c>
      <c r="C82">
        <f>(1/2)*$K$6*B82^2</f>
        <v>2836.5345000000002</v>
      </c>
      <c r="D82" s="1">
        <f>$K$4/(C82*$K$2)</f>
        <v>1.2835298491977185</v>
      </c>
      <c r="E82">
        <f>(D82^2)/(PI()*$K$7*$K$3)</f>
        <v>5.5199922474422021E-2</v>
      </c>
      <c r="F82">
        <f>C82*$K$2*E82</f>
        <v>32254.75580618083</v>
      </c>
      <c r="G82">
        <f t="shared" si="1"/>
        <v>3505.9566420000006</v>
      </c>
    </row>
    <row r="83" spans="2:7" x14ac:dyDescent="0.25">
      <c r="B83">
        <v>80</v>
      </c>
      <c r="C83">
        <f>(1/2)*$K$6*B83^2</f>
        <v>2908.8</v>
      </c>
      <c r="D83" s="1">
        <f>$K$4/(C83*$K$2)</f>
        <v>1.2516421545067127</v>
      </c>
      <c r="E83">
        <f>(D83^2)/(PI()*$K$7*$K$3)</f>
        <v>5.2491246376280713E-2</v>
      </c>
      <c r="F83">
        <f>C83*$K$2*E83</f>
        <v>31453.426716621023</v>
      </c>
      <c r="G83">
        <f t="shared" si="1"/>
        <v>3595.2768000000005</v>
      </c>
    </row>
    <row r="84" spans="2:7" x14ac:dyDescent="0.25">
      <c r="B84">
        <v>81</v>
      </c>
      <c r="C84">
        <f>(1/2)*$K$6*B84^2</f>
        <v>2981.9745000000003</v>
      </c>
      <c r="D84" s="1">
        <f>$K$4/(C84*$K$2)</f>
        <v>1.220928179979113</v>
      </c>
      <c r="E84">
        <f>(D84^2)/(PI()*$K$7*$K$3)</f>
        <v>4.9946695163435501E-2</v>
      </c>
      <c r="F84">
        <f>C84*$K$2*E84</f>
        <v>30681.592895347432</v>
      </c>
      <c r="G84">
        <f t="shared" si="1"/>
        <v>3685.7204820000006</v>
      </c>
    </row>
    <row r="85" spans="2:7" x14ac:dyDescent="0.25">
      <c r="B85">
        <v>82</v>
      </c>
      <c r="C85">
        <f>(1/2)*$K$6*B85^2</f>
        <v>3056.058</v>
      </c>
      <c r="D85" s="1">
        <f>$K$4/(C85*$K$2)</f>
        <v>1.1913310215411901</v>
      </c>
      <c r="E85">
        <f>(D85^2)/(PI()*$K$7*$K$3)</f>
        <v>4.7554478500934319E-2</v>
      </c>
      <c r="F85">
        <f>C85*$K$2*E85</f>
        <v>29937.824358473317</v>
      </c>
      <c r="G85">
        <f t="shared" si="1"/>
        <v>3777.2876879999999</v>
      </c>
    </row>
    <row r="86" spans="2:7" x14ac:dyDescent="0.25">
      <c r="B86">
        <v>83</v>
      </c>
      <c r="C86">
        <f>(1/2)*$K$6*B86^2</f>
        <v>3131.0505000000003</v>
      </c>
      <c r="D86" s="1">
        <f>$K$4/(C86*$K$2)</f>
        <v>1.1627971822968444</v>
      </c>
      <c r="E86">
        <f>(D86^2)/(PI()*$K$7*$K$3)</f>
        <v>4.5303782482579991E-2</v>
      </c>
      <c r="F86">
        <f>C86*$K$2*E86</f>
        <v>29220.776743558505</v>
      </c>
      <c r="G86">
        <f t="shared" si="1"/>
        <v>3869.9784180000006</v>
      </c>
    </row>
    <row r="87" spans="2:7" x14ac:dyDescent="0.25">
      <c r="B87">
        <v>84</v>
      </c>
      <c r="C87">
        <f>(1/2)*$K$6*B87^2</f>
        <v>3206.9520000000002</v>
      </c>
      <c r="D87" s="1">
        <f>$K$4/(C87*$K$2)</f>
        <v>1.1352763306183336</v>
      </c>
      <c r="E87">
        <f>(D87^2)/(PI()*$K$7*$K$3)</f>
        <v>4.3184678298676553E-2</v>
      </c>
      <c r="F87">
        <f>C87*$K$2*E87</f>
        <v>28529.185230495263</v>
      </c>
      <c r="G87">
        <f t="shared" si="1"/>
        <v>3963.7926720000005</v>
      </c>
    </row>
    <row r="88" spans="2:7" x14ac:dyDescent="0.25">
      <c r="B88">
        <v>85</v>
      </c>
      <c r="C88">
        <f>(1/2)*$K$6*B88^2</f>
        <v>3283.7625000000003</v>
      </c>
      <c r="D88" s="1">
        <f>$K$4/(C88*$K$2)</f>
        <v>1.1087210780405483</v>
      </c>
      <c r="E88">
        <f>(D88^2)/(PI()*$K$7*$K$3)</f>
        <v>4.1188040403203181E-2</v>
      </c>
      <c r="F88">
        <f>C88*$K$2*E88</f>
        <v>27861.858960051843</v>
      </c>
      <c r="G88">
        <f t="shared" si="1"/>
        <v>4058.7304500000005</v>
      </c>
    </row>
    <row r="89" spans="2:7" x14ac:dyDescent="0.25">
      <c r="B89">
        <v>86</v>
      </c>
      <c r="C89">
        <f>(1/2)*$K$6*B89^2</f>
        <v>3361.482</v>
      </c>
      <c r="D89" s="1">
        <f>$K$4/(C89*$K$2)</f>
        <v>1.0830867751274962</v>
      </c>
      <c r="E89">
        <f>(D89^2)/(PI()*$K$7*$K$3)</f>
        <v>3.9305473095181218E-2</v>
      </c>
      <c r="F89">
        <f>C89*$K$2*E89</f>
        <v>27217.675904052805</v>
      </c>
      <c r="G89">
        <f t="shared" si="1"/>
        <v>4154.7917520000001</v>
      </c>
    </row>
    <row r="90" spans="2:7" x14ac:dyDescent="0.25">
      <c r="B90">
        <v>87</v>
      </c>
      <c r="C90">
        <f>(1/2)*$K$6*B90^2</f>
        <v>3440.1105000000002</v>
      </c>
      <c r="D90" s="1">
        <f>$K$4/(C90*$K$2)</f>
        <v>1.0583313236679828</v>
      </c>
      <c r="E90">
        <f>(D90^2)/(PI()*$K$7*$K$3)</f>
        <v>3.752924456383154E-2</v>
      </c>
      <c r="F90">
        <f>C90*$K$2*E90</f>
        <v>26595.578145907592</v>
      </c>
      <c r="G90">
        <f t="shared" si="1"/>
        <v>4251.9765780000007</v>
      </c>
    </row>
    <row r="91" spans="2:7" x14ac:dyDescent="0.25">
      <c r="B91">
        <v>88</v>
      </c>
      <c r="C91">
        <f>(1/2)*$K$6*B91^2</f>
        <v>3519.6480000000001</v>
      </c>
      <c r="D91" s="1">
        <f>$K$4/(C91*$K$2)</f>
        <v>1.0344150037245561</v>
      </c>
      <c r="E91">
        <f>(D91^2)/(PI()*$K$7*$K$3)</f>
        <v>3.5852227563882746E-2</v>
      </c>
      <c r="F91">
        <f>C91*$K$2*E91</f>
        <v>25994.567534397545</v>
      </c>
      <c r="G91">
        <f t="shared" si="1"/>
        <v>4350.284928</v>
      </c>
    </row>
    <row r="92" spans="2:7" x14ac:dyDescent="0.25">
      <c r="B92">
        <v>89</v>
      </c>
      <c r="C92">
        <f>(1/2)*$K$6*B92^2</f>
        <v>3600.0945000000002</v>
      </c>
      <c r="D92" s="1">
        <f>$K$4/(C92*$K$2)</f>
        <v>1.0113003142081758</v>
      </c>
      <c r="E92">
        <f>(D92^2)/(PI()*$K$7*$K$3)</f>
        <v>3.4267845988677027E-2</v>
      </c>
      <c r="F92">
        <f>C92*$K$2*E92</f>
        <v>25413.701677360747</v>
      </c>
      <c r="G92">
        <f t="shared" si="1"/>
        <v>4449.7168020000008</v>
      </c>
    </row>
    <row r="93" spans="2:7" x14ac:dyDescent="0.25">
      <c r="B93">
        <v>90</v>
      </c>
      <c r="C93">
        <f>(1/2)*$K$6*B93^2</f>
        <v>3681.4500000000003</v>
      </c>
      <c r="D93" s="1">
        <f>$K$4/(C93*$K$2)</f>
        <v>0.98895182578308161</v>
      </c>
      <c r="E93">
        <f>(D93^2)/(PI()*$K$7*$K$3)</f>
        <v>3.2770026696730042E-2</v>
      </c>
      <c r="F93">
        <f>C93*$K$2*E93</f>
        <v>24852.090245231426</v>
      </c>
      <c r="G93">
        <f t="shared" si="1"/>
        <v>4550.2722000000003</v>
      </c>
    </row>
    <row r="94" spans="2:7" x14ac:dyDescent="0.25">
      <c r="B94">
        <v>91</v>
      </c>
      <c r="C94">
        <f>(1/2)*$K$6*B94^2</f>
        <v>3763.7145</v>
      </c>
      <c r="D94" s="1">
        <f>$K$4/(C94*$K$2)</f>
        <v>0.96733604502390547</v>
      </c>
      <c r="E94">
        <f>(D94^2)/(PI()*$K$7*$K$3)</f>
        <v>3.1353156023996256E-2</v>
      </c>
      <c r="F94">
        <f>C94*$K$2*E94</f>
        <v>24308.891557345076</v>
      </c>
      <c r="G94">
        <f t="shared" si="1"/>
        <v>4651.9511220000004</v>
      </c>
    </row>
    <row r="95" spans="2:7" x14ac:dyDescent="0.25">
      <c r="B95">
        <v>92</v>
      </c>
      <c r="C95">
        <f>(1/2)*$K$6*B95^2</f>
        <v>3846.8879999999999</v>
      </c>
      <c r="D95" s="1">
        <f>$K$4/(C95*$K$2)</f>
        <v>0.94642128885195675</v>
      </c>
      <c r="E95">
        <f>(D95^2)/(PI()*$K$7*$K$3)</f>
        <v>3.0012040480862045E-2</v>
      </c>
      <c r="F95">
        <f>C95*$K$2*E95</f>
        <v>23783.309426556538</v>
      </c>
      <c r="G95">
        <f t="shared" si="1"/>
        <v>4754.7535680000001</v>
      </c>
    </row>
    <row r="96" spans="2:7" x14ac:dyDescent="0.25">
      <c r="B96">
        <v>93</v>
      </c>
      <c r="C96">
        <f>(1/2)*$K$6*B96^2</f>
        <v>3930.9705000000004</v>
      </c>
      <c r="D96" s="1">
        <f>$K$4/(C96*$K$2)</f>
        <v>0.92617756837125231</v>
      </c>
      <c r="E96">
        <f>(D96^2)/(PI()*$K$7*$K$3)</f>
        <v>2.8741871191181722E-2</v>
      </c>
      <c r="F96">
        <f>C96*$K$2*E96</f>
        <v>23274.590240071055</v>
      </c>
      <c r="G96">
        <f t="shared" si="1"/>
        <v>4858.6795380000003</v>
      </c>
    </row>
    <row r="97" spans="2:7" x14ac:dyDescent="0.25">
      <c r="B97">
        <v>94</v>
      </c>
      <c r="C97">
        <f>(1/2)*$K$6*B97^2</f>
        <v>4015.962</v>
      </c>
      <c r="D97" s="1">
        <f>$K$4/(C97*$K$2)</f>
        <v>0.90657648130861945</v>
      </c>
      <c r="E97">
        <f>(D97^2)/(PI()*$K$7*$K$3)</f>
        <v>2.7538191681644484E-2</v>
      </c>
      <c r="F97">
        <f>C97*$K$2*E97</f>
        <v>22782.020256493273</v>
      </c>
      <c r="G97">
        <f t="shared" si="1"/>
        <v>4963.7290320000002</v>
      </c>
    </row>
    <row r="98" spans="2:7" x14ac:dyDescent="0.25">
      <c r="B98">
        <v>95</v>
      </c>
      <c r="C98">
        <f>(1/2)*$K$6*B98^2</f>
        <v>4101.8625000000002</v>
      </c>
      <c r="D98" s="1">
        <f>$K$4/(C98*$K$2)</f>
        <v>0.88759111233717025</v>
      </c>
      <c r="E98">
        <f>(D98^2)/(PI()*$K$7*$K$3)</f>
        <v>2.6396868674395786E-2</v>
      </c>
      <c r="F98">
        <f>C98*$K$2*E98</f>
        <v>22304.923100983331</v>
      </c>
      <c r="G98">
        <f t="shared" si="1"/>
        <v>5069.9020500000006</v>
      </c>
    </row>
    <row r="99" spans="2:7" x14ac:dyDescent="0.25">
      <c r="B99">
        <v>96</v>
      </c>
      <c r="C99">
        <f>(1/2)*$K$6*B99^2</f>
        <v>4188.6720000000005</v>
      </c>
      <c r="D99" s="1">
        <f>$K$4/(C99*$K$2)</f>
        <v>0.86919594062966155</v>
      </c>
      <c r="E99">
        <f>(D99^2)/(PI()*$K$7*$K$3)</f>
        <v>2.5314065574981053E-2</v>
      </c>
      <c r="F99">
        <f>C99*$K$2*E99</f>
        <v>21842.657442097934</v>
      </c>
      <c r="G99">
        <f t="shared" si="1"/>
        <v>5177.1985920000006</v>
      </c>
    </row>
    <row r="100" spans="2:7" x14ac:dyDescent="0.25">
      <c r="B100">
        <v>97</v>
      </c>
      <c r="C100">
        <f>(1/2)*$K$6*B100^2</f>
        <v>4276.3905000000004</v>
      </c>
      <c r="D100" s="1">
        <f>$K$4/(C100*$K$2)</f>
        <v>0.85136675404856643</v>
      </c>
      <c r="E100">
        <f>(D100^2)/(PI()*$K$7*$K$3)</f>
        <v>2.4286218382056649E-2</v>
      </c>
      <c r="F100">
        <f>C100*$K$2*E100</f>
        <v>21394.614835410201</v>
      </c>
      <c r="G100">
        <f t="shared" si="1"/>
        <v>5285.6186580000003</v>
      </c>
    </row>
    <row r="101" spans="2:7" x14ac:dyDescent="0.25">
      <c r="B101">
        <v>98</v>
      </c>
      <c r="C101">
        <f>(1/2)*$K$6*B101^2</f>
        <v>4365.018</v>
      </c>
      <c r="D101" s="1">
        <f>$K$4/(C101*$K$2)</f>
        <v>0.83408056943387776</v>
      </c>
      <c r="E101">
        <f>(D101^2)/(PI()*$K$7*$K$3)</f>
        <v>2.3310013775545532E-2</v>
      </c>
      <c r="F101">
        <f>C101*$K$2*E101</f>
        <v>20960.217720363868</v>
      </c>
      <c r="G101">
        <f t="shared" si="1"/>
        <v>5395.1622479999996</v>
      </c>
    </row>
    <row r="102" spans="2:7" x14ac:dyDescent="0.25">
      <c r="B102">
        <v>99</v>
      </c>
      <c r="C102">
        <f>(1/2)*$K$6*B102^2</f>
        <v>4454.5545000000002</v>
      </c>
      <c r="D102" s="1">
        <f>$K$4/(C102*$K$2)</f>
        <v>0.81731555849841453</v>
      </c>
      <c r="E102">
        <f>(D102^2)/(PI()*$K$7*$K$3)</f>
        <v>2.2382369166539198E-2</v>
      </c>
      <c r="F102">
        <f>C102*$K$2*E102</f>
        <v>20538.9175580425</v>
      </c>
      <c r="G102">
        <f t="shared" si="1"/>
        <v>5505.8293620000004</v>
      </c>
    </row>
    <row r="103" spans="2:7" x14ac:dyDescent="0.25">
      <c r="B103">
        <v>100</v>
      </c>
      <c r="C103">
        <f>(1/2)*$K$6*B103^2</f>
        <v>4545</v>
      </c>
      <c r="D103" s="1">
        <f>$K$4/(C103*$K$2)</f>
        <v>0.80105097888429622</v>
      </c>
      <c r="E103">
        <f>(D103^2)/(PI()*$K$7*$K$3)</f>
        <v>2.1500414515724587E-2</v>
      </c>
      <c r="F103">
        <f>C103*$K$2*E103</f>
        <v>20130.193098637457</v>
      </c>
      <c r="G103">
        <f t="shared" si="1"/>
        <v>5617.62</v>
      </c>
    </row>
    <row r="104" spans="2:7" x14ac:dyDescent="0.25">
      <c r="B104">
        <v>101</v>
      </c>
      <c r="C104">
        <f>(1/2)*$K$6*B104^2</f>
        <v>4636.3545000000004</v>
      </c>
      <c r="D104" s="1">
        <f>$K$4/(C104*$K$2)</f>
        <v>0.78526710997382232</v>
      </c>
      <c r="E104">
        <f>(D104^2)/(PI()*$K$7*$K$3)</f>
        <v>2.0661475747844351E-2</v>
      </c>
      <c r="F104">
        <f>C104*$K$2*E104</f>
        <v>19733.54876839276</v>
      </c>
      <c r="G104">
        <f t="shared" si="1"/>
        <v>5730.5341620000008</v>
      </c>
    </row>
    <row r="105" spans="2:7" x14ac:dyDescent="0.25">
      <c r="B105">
        <v>102</v>
      </c>
      <c r="C105">
        <f>(1/2)*$K$6*B105^2</f>
        <v>4728.6180000000004</v>
      </c>
      <c r="D105" s="1">
        <f>$K$4/(C105*$K$2)</f>
        <v>0.76994519308371412</v>
      </c>
      <c r="E105">
        <f>(D105^2)/(PI()*$K$7*$K$3)</f>
        <v>1.9863059608026229E-2</v>
      </c>
      <c r="F105">
        <f>C105*$K$2*E105</f>
        <v>19348.513166702669</v>
      </c>
      <c r="G105">
        <f t="shared" si="1"/>
        <v>5844.5718480000005</v>
      </c>
    </row>
    <row r="106" spans="2:7" x14ac:dyDescent="0.25">
      <c r="B106">
        <v>103</v>
      </c>
      <c r="C106">
        <f>(1/2)*$K$6*B106^2</f>
        <v>4821.7905000000001</v>
      </c>
      <c r="D106" s="1">
        <f>$K$4/(C106*$K$2)</f>
        <v>0.75506737570392701</v>
      </c>
      <c r="E106">
        <f>(D106^2)/(PI()*$K$7*$K$3)</f>
        <v>1.9102839822039763E-2</v>
      </c>
      <c r="F106">
        <f>C106*$K$2*E106</f>
        <v>18974.6376648482</v>
      </c>
      <c r="G106">
        <f t="shared" si="1"/>
        <v>5959.7330579999998</v>
      </c>
    </row>
    <row r="107" spans="2:7" x14ac:dyDescent="0.25">
      <c r="B107">
        <v>104</v>
      </c>
      <c r="C107">
        <f>(1/2)*$K$6*B107^2</f>
        <v>4915.8720000000003</v>
      </c>
      <c r="D107" s="1">
        <f>$K$4/(C107*$K$2)</f>
        <v>0.74061665947142763</v>
      </c>
      <c r="E107">
        <f>(D107^2)/(PI()*$K$7*$K$3)</f>
        <v>1.8378644436917727E-2</v>
      </c>
      <c r="F107">
        <f>C107*$K$2*E107</f>
        <v>18611.495098592324</v>
      </c>
      <c r="G107">
        <f t="shared" si="1"/>
        <v>6076.0177920000006</v>
      </c>
    </row>
    <row r="108" spans="2:7" x14ac:dyDescent="0.25">
      <c r="B108">
        <v>105</v>
      </c>
      <c r="C108">
        <f>(1/2)*$K$6*B108^2</f>
        <v>5010.8625000000002</v>
      </c>
      <c r="D108" s="1">
        <f>$K$4/(C108*$K$2)</f>
        <v>0.72657685159573349</v>
      </c>
      <c r="E108">
        <f>(D108^2)/(PI()*$K$7*$K$3)</f>
        <v>1.7688444231137919E-2</v>
      </c>
      <c r="F108">
        <f>C108*$K$2*E108</f>
        <v>18258.678547516967</v>
      </c>
      <c r="G108">
        <f t="shared" si="1"/>
        <v>6193.42605</v>
      </c>
    </row>
    <row r="109" spans="2:7" x14ac:dyDescent="0.25">
      <c r="B109">
        <v>106</v>
      </c>
      <c r="C109">
        <f>(1/2)*$K$6*B109^2</f>
        <v>5106.7619999999997</v>
      </c>
      <c r="D109" s="1">
        <f>$K$4/(C109*$K$2)</f>
        <v>0.7129325194769458</v>
      </c>
      <c r="E109">
        <f>(D109^2)/(PI()*$K$7*$K$3)</f>
        <v>1.7030342094896202E-2</v>
      </c>
      <c r="F109">
        <f>C109*$K$2*E109</f>
        <v>17915.800194586558</v>
      </c>
      <c r="G109">
        <f t="shared" si="1"/>
        <v>6311.9578319999991</v>
      </c>
    </row>
    <row r="110" spans="2:7" x14ac:dyDescent="0.25">
      <c r="B110">
        <v>107</v>
      </c>
      <c r="C110">
        <f>(1/2)*$K$6*B110^2</f>
        <v>5203.5704999999998</v>
      </c>
      <c r="D110" s="1">
        <f>$K$4/(C110*$K$2)</f>
        <v>0.69966894827871096</v>
      </c>
      <c r="E110">
        <f>(D110^2)/(PI()*$K$7*$K$3)</f>
        <v>1.6402563291083395E-2</v>
      </c>
      <c r="F110">
        <f>C110*$K$2*E110</f>
        <v>17582.490259968083</v>
      </c>
      <c r="G110">
        <f t="shared" si="1"/>
        <v>6431.6131380000006</v>
      </c>
    </row>
    <row r="111" spans="2:7" x14ac:dyDescent="0.25">
      <c r="B111">
        <v>108</v>
      </c>
      <c r="C111">
        <f>(1/2)*$K$6*B111^2</f>
        <v>5301.2880000000005</v>
      </c>
      <c r="D111" s="1">
        <f>$K$4/(C111*$K$2)</f>
        <v>0.68677210123825105</v>
      </c>
      <c r="E111">
        <f>(D111^2)/(PI()*$K$7*$K$3)</f>
        <v>1.5803446516555766E-2</v>
      </c>
      <c r="F111">
        <f>C111*$K$2*E111</f>
        <v>17258.396003632934</v>
      </c>
      <c r="G111">
        <f t="shared" si="1"/>
        <v>6552.3919680000017</v>
      </c>
    </row>
    <row r="112" spans="2:7" x14ac:dyDescent="0.25">
      <c r="B112">
        <v>109</v>
      </c>
      <c r="C112">
        <f>(1/2)*$K$6*B112^2</f>
        <v>5399.9144999999999</v>
      </c>
      <c r="D112" s="1">
        <f>$K$4/(C112*$K$2)</f>
        <v>0.67422858251350581</v>
      </c>
      <c r="E112">
        <f>(D112^2)/(PI()*$K$7*$K$3)</f>
        <v>1.5231435691291408E-2</v>
      </c>
      <c r="F112">
        <f>C112*$K$2*E112</f>
        <v>16943.180791715728</v>
      </c>
      <c r="G112">
        <f t="shared" si="1"/>
        <v>6674.2943219999997</v>
      </c>
    </row>
    <row r="113" spans="2:7" x14ac:dyDescent="0.25">
      <c r="B113">
        <v>110</v>
      </c>
      <c r="C113">
        <f>(1/2)*$K$6*B113^2</f>
        <v>5499.45</v>
      </c>
      <c r="D113" s="1">
        <f>$K$4/(C113*$K$2)</f>
        <v>0.66202560238371588</v>
      </c>
      <c r="E113">
        <f>(D113^2)/(PI()*$K$7*$K$3)</f>
        <v>1.4685072410166372E-2</v>
      </c>
      <c r="F113">
        <f>C113*$K$2*E113</f>
        <v>16636.523222014428</v>
      </c>
      <c r="G113">
        <f t="shared" si="1"/>
        <v>6797.3202000000001</v>
      </c>
    </row>
    <row r="114" spans="2:7" x14ac:dyDescent="0.25">
      <c r="B114">
        <v>111</v>
      </c>
      <c r="C114">
        <f>(1/2)*$K$6*B114^2</f>
        <v>5599.8945000000003</v>
      </c>
      <c r="D114" s="1">
        <f>$K$4/(C114*$K$2)</f>
        <v>0.65015094463460454</v>
      </c>
      <c r="E114">
        <f>(D114^2)/(PI()*$K$7*$K$3)</f>
        <v>1.4162988998464564E-2</v>
      </c>
      <c r="F114">
        <f>C114*$K$2*E114</f>
        <v>16338.116304388817</v>
      </c>
      <c r="G114">
        <f t="shared" si="1"/>
        <v>6921.4696020000001</v>
      </c>
    </row>
    <row r="115" spans="2:7" x14ac:dyDescent="0.25">
      <c r="B115">
        <v>112</v>
      </c>
      <c r="C115">
        <f>(1/2)*$K$6*B115^2</f>
        <v>5701.2480000000005</v>
      </c>
      <c r="D115" s="1">
        <f>$K$4/(C115*$K$2)</f>
        <v>0.63859293597281264</v>
      </c>
      <c r="E115">
        <f>(D115^2)/(PI()*$K$7*$K$3)</f>
        <v>1.3663902117940628E-2</v>
      </c>
      <c r="F115">
        <f>C115*$K$2*E115</f>
        <v>16047.666692153582</v>
      </c>
      <c r="G115">
        <f t="shared" si="1"/>
        <v>7046.7425279999998</v>
      </c>
    </row>
    <row r="116" spans="2:7" x14ac:dyDescent="0.25">
      <c r="B116">
        <v>113</v>
      </c>
      <c r="C116">
        <f>(1/2)*$K$6*B116^2</f>
        <v>5803.5105000000003</v>
      </c>
      <c r="D116" s="1">
        <f>$K$4/(C116*$K$2)</f>
        <v>0.62734041732656909</v>
      </c>
      <c r="E116">
        <f>(D116^2)/(PI()*$K$7*$K$3)</f>
        <v>1.3186606875363398E-2</v>
      </c>
      <c r="F116">
        <f>C116*$K$2*E116</f>
        <v>15764.893960871999</v>
      </c>
      <c r="G116">
        <f t="shared" si="1"/>
        <v>7173.1389780000009</v>
      </c>
    </row>
    <row r="117" spans="2:7" x14ac:dyDescent="0.25">
      <c r="B117">
        <v>114</v>
      </c>
      <c r="C117">
        <f>(1/2)*$K$6*B117^2</f>
        <v>5906.6819999999998</v>
      </c>
      <c r="D117" s="1">
        <f>$K$4/(C117*$K$2)</f>
        <v>0.61638271690081281</v>
      </c>
      <c r="E117">
        <f>(D117^2)/(PI()*$K$7*$K$3)</f>
        <v>1.2729971390044269E-2</v>
      </c>
      <c r="F117">
        <f>C117*$K$2*E117</f>
        <v>15489.529931238427</v>
      </c>
      <c r="G117">
        <f t="shared" si="1"/>
        <v>7300.6589519999989</v>
      </c>
    </row>
    <row r="118" spans="2:7" x14ac:dyDescent="0.25">
      <c r="B118">
        <v>115</v>
      </c>
      <c r="C118">
        <f>(1/2)*$K$6*B118^2</f>
        <v>6010.7624999999998</v>
      </c>
      <c r="D118" s="1">
        <f>$K$4/(C118*$K$2)</f>
        <v>0.60570962486525237</v>
      </c>
      <c r="E118">
        <f>(D118^2)/(PI()*$K$7*$K$3)</f>
        <v>1.2292931780961096E-2</v>
      </c>
      <c r="F118">
        <f>C118*$K$2*E118</f>
        <v>15221.318032996189</v>
      </c>
      <c r="G118">
        <f t="shared" si="1"/>
        <v>7429.3024500000001</v>
      </c>
    </row>
    <row r="119" spans="2:7" x14ac:dyDescent="0.25">
      <c r="B119">
        <v>116</v>
      </c>
      <c r="C119">
        <f>(1/2)*$K$6*B119^2</f>
        <v>6115.7520000000004</v>
      </c>
      <c r="D119" s="1">
        <f>$K$4/(C119*$K$2)</f>
        <v>0.59531136956324038</v>
      </c>
      <c r="E119">
        <f>(D119^2)/(PI()*$K$7*$K$3)</f>
        <v>1.1874487537774826E-2</v>
      </c>
      <c r="F119">
        <f>C119*$K$2*E119</f>
        <v>14960.012707073023</v>
      </c>
      <c r="G119">
        <f t="shared" si="1"/>
        <v>7559.0694720000001</v>
      </c>
    </row>
    <row r="120" spans="2:7" x14ac:dyDescent="0.25">
      <c r="B120">
        <v>117</v>
      </c>
      <c r="C120">
        <f>(1/2)*$K$6*B120^2</f>
        <v>6221.6505000000006</v>
      </c>
      <c r="D120" s="1">
        <f>$K$4/(C120*$K$2)</f>
        <v>0.58517859513791814</v>
      </c>
      <c r="E120">
        <f>(D120^2)/(PI()*$K$7*$K$3)</f>
        <v>1.1473697243349339E-2</v>
      </c>
      <c r="F120">
        <f>C120*$K$2*E120</f>
        <v>14705.378843332206</v>
      </c>
      <c r="G120">
        <f t="shared" si="1"/>
        <v>7689.9600180000007</v>
      </c>
    </row>
    <row r="121" spans="2:7" x14ac:dyDescent="0.25">
      <c r="B121">
        <v>118</v>
      </c>
      <c r="C121">
        <f>(1/2)*$K$6*B121^2</f>
        <v>6328.4580000000005</v>
      </c>
      <c r="D121" s="1">
        <f>$K$4/(C121*$K$2)</f>
        <v>0.57530234047995987</v>
      </c>
      <c r="E121">
        <f>(D121^2)/(PI()*$K$7*$K$3)</f>
        <v>1.1089674618366047E-2</v>
      </c>
      <c r="F121">
        <f>C121*$K$2*E121</f>
        <v>14457.191251535085</v>
      </c>
      <c r="G121">
        <f t="shared" si="1"/>
        <v>7821.9740879999999</v>
      </c>
    </row>
    <row r="122" spans="2:7" x14ac:dyDescent="0.25">
      <c r="B122">
        <v>119</v>
      </c>
      <c r="C122">
        <f>(1/2)*$K$6*B122^2</f>
        <v>6436.1745000000001</v>
      </c>
      <c r="D122" s="1">
        <f>$K$4/(C122*$K$2)</f>
        <v>0.56567401940844309</v>
      </c>
      <c r="E122">
        <f>(D122^2)/(PI()*$K$7*$K$3)</f>
        <v>1.0721584861308619E-2</v>
      </c>
      <c r="F122">
        <f>C122*$K$2*E122</f>
        <v>14215.234163291758</v>
      </c>
      <c r="G122">
        <f t="shared" si="1"/>
        <v>7955.1116819999997</v>
      </c>
    </row>
    <row r="123" spans="2:7" x14ac:dyDescent="0.25">
      <c r="B123">
        <v>120</v>
      </c>
      <c r="C123">
        <f>(1/2)*$K$6*B123^2</f>
        <v>6544.8</v>
      </c>
      <c r="D123" s="1">
        <f>$K$4/(C123*$K$2)</f>
        <v>0.55628540200298349</v>
      </c>
      <c r="E123">
        <f>(D123^2)/(PI()*$K$7*$K$3)</f>
        <v>1.0368641259512241E-2</v>
      </c>
      <c r="F123">
        <f>C123*$K$2*E123</f>
        <v>13979.300762942677</v>
      </c>
      <c r="G123">
        <f t="shared" si="1"/>
        <v>8089.3728000000001</v>
      </c>
    </row>
    <row r="124" spans="2:7" x14ac:dyDescent="0.25">
      <c r="B124">
        <v>121</v>
      </c>
      <c r="C124">
        <f>(1/2)*$K$6*B124^2</f>
        <v>6654.3344999999999</v>
      </c>
      <c r="D124" s="1">
        <f>$K$4/(C124*$K$2)</f>
        <v>0.54712859701133543</v>
      </c>
      <c r="E124">
        <f>(D124^2)/(PI()*$K$7*$K$3)</f>
        <v>1.0030102049153999E-2</v>
      </c>
      <c r="F124">
        <f>C124*$K$2*E124</f>
        <v>13749.192745466467</v>
      </c>
      <c r="G124">
        <f t="shared" si="1"/>
        <v>8224.7574420000001</v>
      </c>
    </row>
    <row r="125" spans="2:7" x14ac:dyDescent="0.25">
      <c r="B125">
        <v>122</v>
      </c>
      <c r="C125">
        <f>(1/2)*$K$6*B125^2</f>
        <v>6764.7780000000002</v>
      </c>
      <c r="D125" s="1">
        <f>$K$4/(C125*$K$2)</f>
        <v>0.53819603526222526</v>
      </c>
      <c r="E125">
        <f>(D125^2)/(PI()*$K$7*$K$3)</f>
        <v>9.7052675040308935E-3</v>
      </c>
      <c r="F125">
        <f>C125*$K$2*E125</f>
        <v>13524.719899648921</v>
      </c>
      <c r="G125">
        <f t="shared" si="1"/>
        <v>8361.2656080000015</v>
      </c>
    </row>
    <row r="126" spans="2:7" x14ac:dyDescent="0.25">
      <c r="B126">
        <v>123</v>
      </c>
      <c r="C126">
        <f>(1/2)*$K$6*B126^2</f>
        <v>6876.1305000000002</v>
      </c>
      <c r="D126" s="1">
        <f>$K$4/(C126*$K$2)</f>
        <v>0.52948045401830668</v>
      </c>
      <c r="E126">
        <f>(D126^2)/(PI()*$K$7*$K$3)</f>
        <v>9.3934772347524561E-3</v>
      </c>
      <c r="F126">
        <f>C126*$K$2*E126</f>
        <v>13305.699714877028</v>
      </c>
      <c r="G126">
        <f t="shared" si="1"/>
        <v>8498.8972980000017</v>
      </c>
    </row>
    <row r="127" spans="2:7" x14ac:dyDescent="0.25">
      <c r="B127">
        <v>124</v>
      </c>
      <c r="C127">
        <f>(1/2)*$K$6*B127^2</f>
        <v>6988.3919999999998</v>
      </c>
      <c r="D127" s="1">
        <f>$K$4/(C127*$K$2)</f>
        <v>0.52097488220882948</v>
      </c>
      <c r="E127">
        <f>(D127^2)/(PI()*$K$7*$K$3)</f>
        <v>9.094107681584843E-3</v>
      </c>
      <c r="F127">
        <f>C127*$K$2*E127</f>
        <v>13091.957010039969</v>
      </c>
      <c r="G127">
        <f t="shared" si="1"/>
        <v>8637.6525119999988</v>
      </c>
    </row>
    <row r="128" spans="2:7" x14ac:dyDescent="0.25">
      <c r="B128">
        <v>125</v>
      </c>
      <c r="C128">
        <f>(1/2)*$K$6*B128^2</f>
        <v>7101.5625</v>
      </c>
      <c r="D128" s="1">
        <f>$K$4/(C128*$K$2)</f>
        <v>0.51267262648594958</v>
      </c>
      <c r="E128">
        <f>(D128^2)/(PI()*$K$7*$K$3)</f>
        <v>8.8065697856407905E-3</v>
      </c>
      <c r="F128">
        <f>C128*$K$2*E128</f>
        <v>12883.323583127973</v>
      </c>
      <c r="G128">
        <f t="shared" si="1"/>
        <v>8777.53125</v>
      </c>
    </row>
    <row r="129" spans="2:7" x14ac:dyDescent="0.25">
      <c r="B129">
        <v>126</v>
      </c>
      <c r="C129">
        <f>(1/2)*$K$6*B129^2</f>
        <v>7215.6419999999998</v>
      </c>
      <c r="D129" s="1">
        <f>$K$4/(C129*$K$2)</f>
        <v>0.50456725805259273</v>
      </c>
      <c r="E129">
        <f>(D129^2)/(PI()*$K$7*$K$3)</f>
        <v>8.5303068244299389E-3</v>
      </c>
      <c r="F129">
        <f>C129*$K$2*E129</f>
        <v>12679.637880220118</v>
      </c>
      <c r="G129">
        <f t="shared" si="1"/>
        <v>8918.533512</v>
      </c>
    </row>
    <row r="130" spans="2:7" x14ac:dyDescent="0.25">
      <c r="B130">
        <v>127</v>
      </c>
      <c r="C130">
        <f>(1/2)*$K$6*B130^2</f>
        <v>7330.6305000000002</v>
      </c>
      <c r="D130" s="1">
        <f>$K$4/(C130*$K$2)</f>
        <v>0.49665260021346402</v>
      </c>
      <c r="E130">
        <f>(D130^2)/(PI()*$K$7*$K$3)</f>
        <v>8.2647923989810652E-3</v>
      </c>
      <c r="F130">
        <f>C130*$K$2*E130</f>
        <v>12480.744682644587</v>
      </c>
      <c r="G130">
        <f t="shared" si="1"/>
        <v>9060.6592980000005</v>
      </c>
    </row>
    <row r="131" spans="2:7" x14ac:dyDescent="0.25">
      <c r="B131">
        <v>128</v>
      </c>
      <c r="C131">
        <f>(1/2)*$K$6*B131^2</f>
        <v>7446.5280000000002</v>
      </c>
      <c r="D131" s="1">
        <f>$K$4/(C131*$K$2)</f>
        <v>0.48892271660418463</v>
      </c>
      <c r="E131">
        <f>(D131^2)/(PI()*$K$7*$K$3)</f>
        <v>8.0095285608338482E-3</v>
      </c>
      <c r="F131">
        <f>C131*$K$2*E131</f>
        <v>12286.494811180086</v>
      </c>
      <c r="G131">
        <f t="shared" si="1"/>
        <v>9203.9086080000015</v>
      </c>
    </row>
    <row r="132" spans="2:7" x14ac:dyDescent="0.25">
      <c r="B132">
        <v>129</v>
      </c>
      <c r="C132">
        <f>(1/2)*$K$6*B132^2</f>
        <v>7563.3344999999999</v>
      </c>
      <c r="D132" s="1">
        <f>$K$4/(C132*$K$2)</f>
        <v>0.48137190005666503</v>
      </c>
      <c r="E132">
        <f>(D132^2)/(PI()*$K$7*$K$3)</f>
        <v>7.7640440681839467E-3</v>
      </c>
      <c r="F132">
        <f>C132*$K$2*E132</f>
        <v>12096.744846245694</v>
      </c>
      <c r="G132">
        <f t="shared" si="1"/>
        <v>9348.2814419999995</v>
      </c>
    </row>
    <row r="133" spans="2:7" x14ac:dyDescent="0.25">
      <c r="B133">
        <v>130</v>
      </c>
      <c r="C133">
        <f>(1/2)*$K$6*B133^2</f>
        <v>7681.05</v>
      </c>
      <c r="D133" s="1">
        <f>$K$4/(C133*$K$2)</f>
        <v>0.4739946620617137</v>
      </c>
      <c r="E133">
        <f>(D133^2)/(PI()*$K$7*$K$3)</f>
        <v>7.5278927613615003E-3</v>
      </c>
      <c r="F133">
        <f>C133*$K$2*E133</f>
        <v>11911.356863099085</v>
      </c>
      <c r="G133">
        <f t="shared" ref="G133:G196" si="2">C133*$K$2*$K$5</f>
        <v>9493.7777999999998</v>
      </c>
    </row>
    <row r="134" spans="2:7" x14ac:dyDescent="0.25">
      <c r="B134">
        <v>131</v>
      </c>
      <c r="C134">
        <f>(1/2)*$K$6*B134^2</f>
        <v>7799.6745000000001</v>
      </c>
      <c r="D134" s="1">
        <f>$K$4/(C134*$K$2)</f>
        <v>0.46678572279255071</v>
      </c>
      <c r="E134">
        <f>(D134^2)/(PI()*$K$7*$K$3)</f>
        <v>7.30065204863827E-3</v>
      </c>
      <c r="F134">
        <f>C134*$K$2*E134</f>
        <v>11730.198181130154</v>
      </c>
      <c r="G134">
        <f t="shared" si="2"/>
        <v>9640.3976819999989</v>
      </c>
    </row>
    <row r="135" spans="2:7" x14ac:dyDescent="0.25">
      <c r="B135">
        <v>132</v>
      </c>
      <c r="C135">
        <f>(1/2)*$K$6*B135^2</f>
        <v>7919.2080000000005</v>
      </c>
      <c r="D135" s="1">
        <f>$K$4/(C135*$K$2)</f>
        <v>0.45974000165535822</v>
      </c>
      <c r="E135">
        <f>(D135^2)/(PI()*$K$7*$K$3)</f>
        <v>7.0819214941002942E-3</v>
      </c>
      <c r="F135">
        <f>C135*$K$2*E135</f>
        <v>11553.141126398907</v>
      </c>
      <c r="G135">
        <f t="shared" si="2"/>
        <v>9788.1410880000003</v>
      </c>
    </row>
    <row r="136" spans="2:7" x14ac:dyDescent="0.25">
      <c r="B136">
        <v>133</v>
      </c>
      <c r="C136">
        <f>(1/2)*$K$6*B136^2</f>
        <v>8039.6505000000006</v>
      </c>
      <c r="D136" s="1">
        <f>$K$4/(C136*$K$2)</f>
        <v>0.45285260833529095</v>
      </c>
      <c r="E136">
        <f>(D136^2)/(PI()*$K$7*$K$3)</f>
        <v>6.8713214999989031E-3</v>
      </c>
      <c r="F136">
        <f>C136*$K$2*E136</f>
        <v>11380.062806624148</v>
      </c>
      <c r="G136">
        <f t="shared" si="2"/>
        <v>9937.0080180000004</v>
      </c>
    </row>
    <row r="137" spans="2:7" x14ac:dyDescent="0.25">
      <c r="B137">
        <v>134</v>
      </c>
      <c r="C137">
        <f>(1/2)*$K$6*B137^2</f>
        <v>8161.0020000000004</v>
      </c>
      <c r="D137" s="1">
        <f>$K$4/(C137*$K$2)</f>
        <v>0.44611883430847415</v>
      </c>
      <c r="E137">
        <f>(D137^2)/(PI()*$K$7*$K$3)</f>
        <v>6.6684920766084746E-3</v>
      </c>
      <c r="F137">
        <f>C137*$K$2*E137</f>
        <v>11210.844897882298</v>
      </c>
      <c r="G137">
        <f t="shared" si="2"/>
        <v>10086.998472000001</v>
      </c>
    </row>
    <row r="138" spans="2:7" x14ac:dyDescent="0.25">
      <c r="B138">
        <v>135</v>
      </c>
      <c r="C138">
        <f>(1/2)*$K$6*B138^2</f>
        <v>8283.2625000000007</v>
      </c>
      <c r="D138" s="1">
        <f>$K$4/(C138*$K$2)</f>
        <v>0.43953414479248071</v>
      </c>
      <c r="E138">
        <f>(D138^2)/(PI()*$K$7*$K$3)</f>
        <v>6.4730916931812418E-3</v>
      </c>
      <c r="F138">
        <f>C138*$K$2*E138</f>
        <v>11045.373442325077</v>
      </c>
      <c r="G138">
        <f t="shared" si="2"/>
        <v>10238.112450000001</v>
      </c>
    </row>
    <row r="139" spans="2:7" x14ac:dyDescent="0.25">
      <c r="B139">
        <v>136</v>
      </c>
      <c r="C139">
        <f>(1/2)*$K$6*B139^2</f>
        <v>8406.4320000000007</v>
      </c>
      <c r="D139" s="1">
        <f>$K$4/(C139*$K$2)</f>
        <v>0.4330941711095892</v>
      </c>
      <c r="E139">
        <f>(D139^2)/(PI()*$K$7*$K$3)</f>
        <v>6.2847962041020491E-3</v>
      </c>
      <c r="F139">
        <f>C139*$K$2*E139</f>
        <v>10883.538656270252</v>
      </c>
      <c r="G139">
        <f t="shared" si="2"/>
        <v>10390.349952</v>
      </c>
    </row>
    <row r="140" spans="2:7" x14ac:dyDescent="0.25">
      <c r="B140">
        <v>137</v>
      </c>
      <c r="C140">
        <f>(1/2)*$K$6*B140^2</f>
        <v>8530.5105000000003</v>
      </c>
      <c r="D140" s="1">
        <f>$K$4/(C140*$K$2)</f>
        <v>0.4267947034388066</v>
      </c>
      <c r="E140">
        <f>(D140^2)/(PI()*$K$7*$K$3)</f>
        <v>6.1032978448142391E-3</v>
      </c>
      <c r="F140">
        <f>C140*$K$2*E140</f>
        <v>10725.234748061939</v>
      </c>
      <c r="G140">
        <f t="shared" si="2"/>
        <v>10543.710978000001</v>
      </c>
    </row>
    <row r="141" spans="2:7" x14ac:dyDescent="0.25">
      <c r="B141">
        <v>138</v>
      </c>
      <c r="C141">
        <f>(1/2)*$K$6*B141^2</f>
        <v>8655.4979999999996</v>
      </c>
      <c r="D141" s="1">
        <f>$K$4/(C141*$K$2)</f>
        <v>0.42063168393420303</v>
      </c>
      <c r="E141">
        <f>(D141^2)/(PI()*$K$7*$K$3)</f>
        <v>5.9283042925159608E-3</v>
      </c>
      <c r="F141">
        <f>C141*$K$2*E141</f>
        <v>10570.359745136242</v>
      </c>
      <c r="G141">
        <f t="shared" si="2"/>
        <v>10698.195528</v>
      </c>
    </row>
    <row r="142" spans="2:7" x14ac:dyDescent="0.25">
      <c r="B142">
        <v>139</v>
      </c>
      <c r="C142">
        <f>(1/2)*$K$6*B142^2</f>
        <v>8781.3945000000003</v>
      </c>
      <c r="D142" s="1">
        <f>$K$4/(C142*$K$2)</f>
        <v>0.41460120018854935</v>
      </c>
      <c r="E142">
        <f>(D142^2)/(PI()*$K$7*$K$3)</f>
        <v>5.7595377870174715E-3</v>
      </c>
      <c r="F142">
        <f>C142*$K$2*E142</f>
        <v>10418.815329764224</v>
      </c>
      <c r="G142">
        <f t="shared" si="2"/>
        <v>10853.803602</v>
      </c>
    </row>
    <row r="143" spans="2:7" x14ac:dyDescent="0.25">
      <c r="B143">
        <v>140</v>
      </c>
      <c r="C143">
        <f>(1/2)*$K$6*B143^2</f>
        <v>8908.2000000000007</v>
      </c>
      <c r="D143" s="1">
        <f>$K$4/(C143*$K$2)</f>
        <v>0.40869947902260007</v>
      </c>
      <c r="E143">
        <f>(D143^2)/(PI()*$K$7*$K$3)</f>
        <v>5.5967343075084813E-3</v>
      </c>
      <c r="F143">
        <f>C143*$K$2*E143</f>
        <v>10270.506682978294</v>
      </c>
      <c r="G143">
        <f t="shared" si="2"/>
        <v>11010.535200000002</v>
      </c>
    </row>
    <row r="144" spans="2:7" x14ac:dyDescent="0.25">
      <c r="B144">
        <v>141</v>
      </c>
      <c r="C144">
        <f>(1/2)*$K$6*B144^2</f>
        <v>9035.9145000000008</v>
      </c>
      <c r="D144" s="1">
        <f>$K$4/(C144*$K$2)</f>
        <v>0.40292288058160863</v>
      </c>
      <c r="E144">
        <f>(D144^2)/(PI()*$K$7*$K$3)</f>
        <v>5.4396428013124901E-3</v>
      </c>
      <c r="F144">
        <f>C144*$K$2*E144</f>
        <v>10125.342336219232</v>
      </c>
      <c r="G144">
        <f t="shared" si="2"/>
        <v>11168.390322000001</v>
      </c>
    </row>
    <row r="145" spans="2:7" x14ac:dyDescent="0.25">
      <c r="B145">
        <v>142</v>
      </c>
      <c r="C145">
        <f>(1/2)*$K$6*B145^2</f>
        <v>9164.5380000000005</v>
      </c>
      <c r="D145" s="1">
        <f>$K$4/(C145*$K$2)</f>
        <v>0.39726789272182905</v>
      </c>
      <c r="E145">
        <f>(D145^2)/(PI()*$K$7*$K$3)</f>
        <v>5.2880244610058903E-3</v>
      </c>
      <c r="F145">
        <f>C145*$K$2*E145</f>
        <v>9983.2340302705088</v>
      </c>
      <c r="G145">
        <f t="shared" si="2"/>
        <v>11327.368968000001</v>
      </c>
    </row>
    <row r="146" spans="2:7" x14ac:dyDescent="0.25">
      <c r="B146">
        <v>143</v>
      </c>
      <c r="C146">
        <f>(1/2)*$K$6*B146^2</f>
        <v>9294.0704999999998</v>
      </c>
      <c r="D146" s="1">
        <f>$K$4/(C146*$K$2)</f>
        <v>0.39173112567083779</v>
      </c>
      <c r="E146">
        <f>(D146^2)/(PI()*$K$7*$K$3)</f>
        <v>5.1416520465552224E-3</v>
      </c>
      <c r="F146">
        <f>C146*$K$2*E146</f>
        <v>9844.0965810736252</v>
      </c>
      <c r="G146">
        <f t="shared" si="2"/>
        <v>11487.471138000001</v>
      </c>
    </row>
    <row r="147" spans="2:7" x14ac:dyDescent="0.25">
      <c r="B147">
        <v>144</v>
      </c>
      <c r="C147">
        <f>(1/2)*$K$6*B147^2</f>
        <v>9424.5120000000006</v>
      </c>
      <c r="D147" s="1">
        <f>$K$4/(C147*$K$2)</f>
        <v>0.38630930694651627</v>
      </c>
      <c r="E147">
        <f>(D147^2)/(PI()*$K$7*$K$3)</f>
        <v>5.0003092493789737E-3</v>
      </c>
      <c r="F147">
        <f>C147*$K$2*E147</f>
        <v>9707.8477520435245</v>
      </c>
      <c r="G147">
        <f t="shared" si="2"/>
        <v>11648.696832000001</v>
      </c>
    </row>
    <row r="148" spans="2:7" x14ac:dyDescent="0.25">
      <c r="B148">
        <v>145</v>
      </c>
      <c r="C148">
        <f>(1/2)*$K$6*B148^2</f>
        <v>9555.8625000000011</v>
      </c>
      <c r="D148" s="1">
        <f>$K$4/(C148*$K$2)</f>
        <v>0.38099927652047377</v>
      </c>
      <c r="E148">
        <f>(D148^2)/(PI()*$K$7*$K$3)</f>
        <v>4.863790095472568E-3</v>
      </c>
      <c r="F148">
        <f>C148*$K$2*E148</f>
        <v>9574.4081325267343</v>
      </c>
      <c r="G148">
        <f t="shared" si="2"/>
        <v>11811.046050000003</v>
      </c>
    </row>
    <row r="149" spans="2:7" x14ac:dyDescent="0.25">
      <c r="B149">
        <v>146</v>
      </c>
      <c r="C149">
        <f>(1/2)*$K$6*B149^2</f>
        <v>9688.1220000000012</v>
      </c>
      <c r="D149" s="1">
        <f>$K$4/(C149*$K$2)</f>
        <v>0.3757979822125615</v>
      </c>
      <c r="E149">
        <f>(D149^2)/(PI()*$K$7*$K$3)</f>
        <v>4.7318983849485114E-3</v>
      </c>
      <c r="F149">
        <f>C149*$K$2*E149</f>
        <v>9443.7010220667344</v>
      </c>
      <c r="G149">
        <f t="shared" si="2"/>
        <v>11974.518792000001</v>
      </c>
    </row>
    <row r="150" spans="2:7" x14ac:dyDescent="0.25">
      <c r="B150">
        <v>147</v>
      </c>
      <c r="C150">
        <f>(1/2)*$K$6*B150^2</f>
        <v>9821.290500000001</v>
      </c>
      <c r="D150" s="1">
        <f>$K$4/(C150*$K$2)</f>
        <v>0.37070247530394562</v>
      </c>
      <c r="E150">
        <f>(D150^2)/(PI()*$K$7*$K$3)</f>
        <v>4.6044471655398564E-3</v>
      </c>
      <c r="F150">
        <f>C150*$K$2*E150</f>
        <v>9315.6523201617147</v>
      </c>
      <c r="G150">
        <f t="shared" si="2"/>
        <v>12139.115058000001</v>
      </c>
    </row>
    <row r="151" spans="2:7" x14ac:dyDescent="0.25">
      <c r="B151">
        <v>148</v>
      </c>
      <c r="C151">
        <f>(1/2)*$K$6*B151^2</f>
        <v>9955.3680000000004</v>
      </c>
      <c r="D151" s="1">
        <f>$K$4/(C151*$K$2)</f>
        <v>0.36570990635696499</v>
      </c>
      <c r="E151">
        <f>(D151^2)/(PI()*$K$7*$K$3)</f>
        <v>4.4812582377954258E-3</v>
      </c>
      <c r="F151">
        <f>C151*$K$2*E151</f>
        <v>9190.1904212187055</v>
      </c>
      <c r="G151">
        <f t="shared" si="2"/>
        <v>12304.834848000002</v>
      </c>
    </row>
    <row r="152" spans="2:7" x14ac:dyDescent="0.25">
      <c r="B152">
        <v>149</v>
      </c>
      <c r="C152">
        <f>(1/2)*$K$6*B152^2</f>
        <v>10090.354499999999</v>
      </c>
      <c r="D152" s="1">
        <f>$K$4/(C152*$K$2)</f>
        <v>0.36081752123070859</v>
      </c>
      <c r="E152">
        <f>(D152^2)/(PI()*$K$7*$K$3)</f>
        <v>4.3621616898613484E-3</v>
      </c>
      <c r="F152">
        <f>C152*$K$2*E152</f>
        <v>9067.2461144261324</v>
      </c>
      <c r="G152">
        <f t="shared" si="2"/>
        <v>12471.678162</v>
      </c>
    </row>
    <row r="153" spans="2:7" x14ac:dyDescent="0.25">
      <c r="B153">
        <v>150</v>
      </c>
      <c r="C153">
        <f>(1/2)*$K$6*B153^2</f>
        <v>10226.25</v>
      </c>
      <c r="D153" s="1">
        <f>$K$4/(C153*$K$2)</f>
        <v>0.3560226572819094</v>
      </c>
      <c r="E153">
        <f>(D153^2)/(PI()*$K$7*$K$3)</f>
        <v>4.2469954598962131E-3</v>
      </c>
      <c r="F153">
        <f>C153*$K$2*E153</f>
        <v>8946.7524882833113</v>
      </c>
      <c r="G153">
        <f t="shared" si="2"/>
        <v>12639.645</v>
      </c>
    </row>
    <row r="154" spans="2:7" x14ac:dyDescent="0.25">
      <c r="B154">
        <v>151</v>
      </c>
      <c r="C154">
        <f>(1/2)*$K$6*B154^2</f>
        <v>10363.0545</v>
      </c>
      <c r="D154" s="1">
        <f>$K$4/(C154*$K$2)</f>
        <v>0.35132273974136935</v>
      </c>
      <c r="E154">
        <f>(D154^2)/(PI()*$K$7*$K$3)</f>
        <v>4.1356049243080669E-3</v>
      </c>
      <c r="F154">
        <f>C154*$K$2*E154</f>
        <v>8828.6448395410116</v>
      </c>
      <c r="G154">
        <f t="shared" si="2"/>
        <v>12808.735361999999</v>
      </c>
    </row>
    <row r="155" spans="2:7" x14ac:dyDescent="0.25">
      <c r="B155">
        <v>152</v>
      </c>
      <c r="C155">
        <f>(1/2)*$K$6*B155^2</f>
        <v>10500.768</v>
      </c>
      <c r="D155" s="1">
        <f>$K$4/(C155*$K$2)</f>
        <v>0.34671527825670712</v>
      </c>
      <c r="E155">
        <f>(D155^2)/(PI()*$K$7*$K$3)</f>
        <v>4.0278425101311927E-3</v>
      </c>
      <c r="F155">
        <f>C155*$K$2*E155</f>
        <v>8712.8605863216126</v>
      </c>
      <c r="G155">
        <f t="shared" si="2"/>
        <v>12978.949248000001</v>
      </c>
    </row>
    <row r="156" spans="2:7" x14ac:dyDescent="0.25">
      <c r="B156">
        <v>153</v>
      </c>
      <c r="C156">
        <f>(1/2)*$K$6*B156^2</f>
        <v>10639.3905</v>
      </c>
      <c r="D156" s="1">
        <f>$K$4/(C156*$K$2)</f>
        <v>0.34219786359276183</v>
      </c>
      <c r="E156">
        <f>(D156^2)/(PI()*$K$7*$K$3)</f>
        <v>3.9235673299804893E-3</v>
      </c>
      <c r="F156">
        <f>C156*$K$2*E156</f>
        <v>8599.3391852011846</v>
      </c>
      <c r="G156">
        <f t="shared" si="2"/>
        <v>13150.286658000001</v>
      </c>
    </row>
    <row r="157" spans="2:7" x14ac:dyDescent="0.25">
      <c r="B157">
        <v>154</v>
      </c>
      <c r="C157">
        <f>(1/2)*$K$6*B157^2</f>
        <v>10778.922</v>
      </c>
      <c r="D157" s="1">
        <f>$K$4/(C157*$K$2)</f>
        <v>0.33776816448148766</v>
      </c>
      <c r="E157">
        <f>(D157^2)/(PI()*$K$7*$K$3)</f>
        <v>3.8226448381316041E-3</v>
      </c>
      <c r="F157">
        <f>C157*$K$2*E157</f>
        <v>8488.0220520481762</v>
      </c>
      <c r="G157">
        <f t="shared" si="2"/>
        <v>13322.747592</v>
      </c>
    </row>
    <row r="158" spans="2:7" x14ac:dyDescent="0.25">
      <c r="B158">
        <v>155</v>
      </c>
      <c r="C158">
        <f>(1/2)*$K$6*B158^2</f>
        <v>10919.362500000001</v>
      </c>
      <c r="D158" s="1">
        <f>$K$4/(C158*$K$2)</f>
        <v>0.33342392461365084</v>
      </c>
      <c r="E158">
        <f>(D158^2)/(PI()*$K$7*$K$3)</f>
        <v>3.724946506377151E-3</v>
      </c>
      <c r="F158">
        <f>C158*$K$2*E158</f>
        <v>8378.8524864255796</v>
      </c>
      <c r="G158">
        <f t="shared" si="2"/>
        <v>13496.332050000003</v>
      </c>
    </row>
    <row r="159" spans="2:7" x14ac:dyDescent="0.25">
      <c r="B159">
        <v>156</v>
      </c>
      <c r="C159">
        <f>(1/2)*$K$6*B159^2</f>
        <v>11060.712</v>
      </c>
      <c r="D159" s="1">
        <f>$K$4/(C159*$K$2)</f>
        <v>0.32916295976507903</v>
      </c>
      <c r="E159">
        <f>(D159^2)/(PI()*$K$7*$K$3)</f>
        <v>3.630349518403503E-3</v>
      </c>
      <c r="F159">
        <f>C159*$K$2*E159</f>
        <v>8271.7755993743685</v>
      </c>
      <c r="G159">
        <f t="shared" si="2"/>
        <v>13671.040031999999</v>
      </c>
    </row>
    <row r="160" spans="2:7" x14ac:dyDescent="0.25">
      <c r="B160">
        <v>157</v>
      </c>
      <c r="C160">
        <f>(1/2)*$K$6*B160^2</f>
        <v>11202.970500000001</v>
      </c>
      <c r="D160" s="1">
        <f>$K$4/(C160*$K$2)</f>
        <v>0.32498315505062925</v>
      </c>
      <c r="E160">
        <f>(D160^2)/(PI()*$K$7*$K$3)</f>
        <v>3.5387364815197921E-3</v>
      </c>
      <c r="F160">
        <f>C160*$K$2*E160</f>
        <v>8166.7382444064469</v>
      </c>
      <c r="G160">
        <f t="shared" si="2"/>
        <v>13846.871538000003</v>
      </c>
    </row>
    <row r="161" spans="2:7" x14ac:dyDescent="0.25">
      <c r="B161">
        <v>158</v>
      </c>
      <c r="C161">
        <f>(1/2)*$K$6*B161^2</f>
        <v>11346.138000000001</v>
      </c>
      <c r="D161" s="1">
        <f>$K$4/(C161*$K$2)</f>
        <v>0.32088246229942963</v>
      </c>
      <c r="E161">
        <f>(D161^2)/(PI()*$K$7*$K$3)</f>
        <v>3.4499951546513763E-3</v>
      </c>
      <c r="F161">
        <f>C161*$K$2*E161</f>
        <v>8063.6889515452076</v>
      </c>
      <c r="G161">
        <f t="shared" si="2"/>
        <v>14023.826568000002</v>
      </c>
    </row>
    <row r="162" spans="2:7" x14ac:dyDescent="0.25">
      <c r="B162">
        <v>159</v>
      </c>
      <c r="C162">
        <f>(1/2)*$K$6*B162^2</f>
        <v>11490.2145</v>
      </c>
      <c r="D162" s="1">
        <f>$K$4/(C162*$K$2)</f>
        <v>0.31685889754530921</v>
      </c>
      <c r="E162">
        <f>(D162^2)/(PI()*$K$7*$K$3)</f>
        <v>3.3640181915844344E-3</v>
      </c>
      <c r="F162">
        <f>C162*$K$2*E162</f>
        <v>7962.577864260692</v>
      </c>
      <c r="G162">
        <f t="shared" si="2"/>
        <v>14201.905122</v>
      </c>
    </row>
    <row r="163" spans="2:7" x14ac:dyDescent="0.25">
      <c r="B163">
        <v>160</v>
      </c>
      <c r="C163">
        <f>(1/2)*$K$6*B163^2</f>
        <v>11635.2</v>
      </c>
      <c r="D163" s="1">
        <f>$K$4/(C163*$K$2)</f>
        <v>0.31291053862667817</v>
      </c>
      <c r="E163">
        <f>(D163^2)/(PI()*$K$7*$K$3)</f>
        <v>3.2807028985175446E-3</v>
      </c>
      <c r="F163">
        <f>C163*$K$2*E163</f>
        <v>7863.3566791552557</v>
      </c>
      <c r="G163">
        <f t="shared" si="2"/>
        <v>14381.107200000002</v>
      </c>
    </row>
    <row r="164" spans="2:7" x14ac:dyDescent="0.25">
      <c r="B164">
        <v>161</v>
      </c>
      <c r="C164">
        <f>(1/2)*$K$6*B164^2</f>
        <v>11781.094500000001</v>
      </c>
      <c r="D164" s="1">
        <f>$K$4/(C164*$K$2)</f>
        <v>0.30903552289043484</v>
      </c>
      <c r="E164">
        <f>(D164^2)/(PI()*$K$7*$K$3)</f>
        <v>3.1999510050398513E-3</v>
      </c>
      <c r="F164">
        <f>C164*$K$2*E164</f>
        <v>7765.9785882633605</v>
      </c>
      <c r="G164">
        <f t="shared" si="2"/>
        <v>14561.432802000001</v>
      </c>
    </row>
    <row r="165" spans="2:7" x14ac:dyDescent="0.25">
      <c r="B165">
        <v>162</v>
      </c>
      <c r="C165">
        <f>(1/2)*$K$6*B165^2</f>
        <v>11927.898000000001</v>
      </c>
      <c r="D165" s="1">
        <f>$K$4/(C165*$K$2)</f>
        <v>0.30523204499477824</v>
      </c>
      <c r="E165">
        <f>(D165^2)/(PI()*$K$7*$K$3)</f>
        <v>3.1216684477147188E-3</v>
      </c>
      <c r="F165">
        <f>C165*$K$2*E165</f>
        <v>7670.3982238368581</v>
      </c>
      <c r="G165">
        <f t="shared" si="2"/>
        <v>14742.881928000003</v>
      </c>
    </row>
    <row r="166" spans="2:7" x14ac:dyDescent="0.25">
      <c r="B166">
        <v>163</v>
      </c>
      <c r="C166">
        <f>(1/2)*$K$6*B166^2</f>
        <v>12075.610500000001</v>
      </c>
      <c r="D166" s="1">
        <f>$K$4/(C166*$K$2)</f>
        <v>0.30149835480608833</v>
      </c>
      <c r="E166">
        <f>(D166^2)/(PI()*$K$7*$K$3)</f>
        <v>3.0457651655026864E-3</v>
      </c>
      <c r="F166">
        <f>C166*$K$2*E166</f>
        <v>7576.5716054941677</v>
      </c>
      <c r="G166">
        <f t="shared" si="2"/>
        <v>14925.454578000003</v>
      </c>
    </row>
    <row r="167" spans="2:7" x14ac:dyDescent="0.25">
      <c r="B167">
        <v>164</v>
      </c>
      <c r="C167">
        <f>(1/2)*$K$6*B167^2</f>
        <v>12224.232</v>
      </c>
      <c r="D167" s="1">
        <f>$K$4/(C167*$K$2)</f>
        <v>0.29783275538529752</v>
      </c>
      <c r="E167">
        <f>(D167^2)/(PI()*$K$7*$K$3)</f>
        <v>2.9721549063083949E-3</v>
      </c>
      <c r="F167">
        <f>C167*$K$2*E167</f>
        <v>7484.4560896183293</v>
      </c>
      <c r="G167">
        <f t="shared" si="2"/>
        <v>15109.150752</v>
      </c>
    </row>
    <row r="168" spans="2:7" x14ac:dyDescent="0.25">
      <c r="B168">
        <v>165</v>
      </c>
      <c r="C168">
        <f>(1/2)*$K$6*B168^2</f>
        <v>12373.762500000001</v>
      </c>
      <c r="D168" s="1">
        <f>$K$4/(C168*$K$2)</f>
        <v>0.29423360105942925</v>
      </c>
      <c r="E168">
        <f>(D168^2)/(PI()*$K$7*$K$3)</f>
        <v>2.9007550439834801E-3</v>
      </c>
      <c r="F168">
        <f>C168*$K$2*E168</f>
        <v>7394.0103208952996</v>
      </c>
      <c r="G168">
        <f t="shared" si="2"/>
        <v>15293.970450000001</v>
      </c>
    </row>
    <row r="169" spans="2:7" x14ac:dyDescent="0.25">
      <c r="B169">
        <v>166</v>
      </c>
      <c r="C169">
        <f>(1/2)*$K$6*B169^2</f>
        <v>12524.202000000001</v>
      </c>
      <c r="D169" s="1">
        <f>$K$4/(C169*$K$2)</f>
        <v>0.29069929557421109</v>
      </c>
      <c r="E169">
        <f>(D169^2)/(PI()*$K$7*$K$3)</f>
        <v>2.8314864051612494E-3</v>
      </c>
      <c r="F169">
        <f>C169*$K$2*E169</f>
        <v>7305.1941858896262</v>
      </c>
      <c r="G169">
        <f t="shared" si="2"/>
        <v>15479.913672000002</v>
      </c>
    </row>
    <row r="170" spans="2:7" x14ac:dyDescent="0.25">
      <c r="B170">
        <v>167</v>
      </c>
      <c r="C170">
        <f>(1/2)*$K$6*B170^2</f>
        <v>12675.550500000001</v>
      </c>
      <c r="D170" s="1">
        <f>$K$4/(C170*$K$2)</f>
        <v>0.28722829032388975</v>
      </c>
      <c r="E170">
        <f>(D170^2)/(PI()*$K$7*$K$3)</f>
        <v>2.7642731053396921E-3</v>
      </c>
      <c r="F170">
        <f>C170*$K$2*E170</f>
        <v>7217.9687685601693</v>
      </c>
      <c r="G170">
        <f t="shared" si="2"/>
        <v>15666.980418000003</v>
      </c>
    </row>
    <row r="171" spans="2:7" x14ac:dyDescent="0.25">
      <c r="B171">
        <v>168</v>
      </c>
      <c r="C171">
        <f>(1/2)*$K$6*B171^2</f>
        <v>12827.808000000001</v>
      </c>
      <c r="D171" s="1">
        <f>$K$4/(C171*$K$2)</f>
        <v>0.28381908265458339</v>
      </c>
      <c r="E171">
        <f>(D171^2)/(PI()*$K$7*$K$3)</f>
        <v>2.6990423936672846E-3</v>
      </c>
      <c r="F171">
        <f>C171*$K$2*E171</f>
        <v>7132.2963076238157</v>
      </c>
      <c r="G171">
        <f t="shared" si="2"/>
        <v>15855.170688000002</v>
      </c>
    </row>
    <row r="172" spans="2:7" x14ac:dyDescent="0.25">
      <c r="B172">
        <v>169</v>
      </c>
      <c r="C172">
        <f>(1/2)*$K$6*B172^2</f>
        <v>12980.9745</v>
      </c>
      <c r="D172" s="1">
        <f>$K$4/(C172*$K$2)</f>
        <v>0.28047021423770041</v>
      </c>
      <c r="E172">
        <f>(D172^2)/(PI()*$K$7*$K$3)</f>
        <v>2.6357245059211868E-3</v>
      </c>
      <c r="F172">
        <f>C172*$K$2*E172</f>
        <v>7048.1401556799328</v>
      </c>
      <c r="G172">
        <f t="shared" si="2"/>
        <v>16044.484482</v>
      </c>
    </row>
    <row r="173" spans="2:7" x14ac:dyDescent="0.25">
      <c r="B173">
        <v>170</v>
      </c>
      <c r="C173">
        <f>(1/2)*$K$6*B173^2</f>
        <v>13135.050000000001</v>
      </c>
      <c r="D173" s="1">
        <f>$K$4/(C173*$K$2)</f>
        <v>0.27718026951013708</v>
      </c>
      <c r="E173">
        <f>(D173^2)/(PI()*$K$7*$K$3)</f>
        <v>2.5742525252001988E-3</v>
      </c>
      <c r="F173">
        <f>C173*$K$2*E173</f>
        <v>6965.4647400129606</v>
      </c>
      <c r="G173">
        <f t="shared" si="2"/>
        <v>16234.921800000002</v>
      </c>
    </row>
    <row r="174" spans="2:7" x14ac:dyDescent="0.25">
      <c r="B174">
        <v>171</v>
      </c>
      <c r="C174">
        <f>(1/2)*$K$6*B174^2</f>
        <v>13290.0345</v>
      </c>
      <c r="D174" s="1">
        <f>$K$4/(C174*$K$2)</f>
        <v>0.27394787417813898</v>
      </c>
      <c r="E174">
        <f>(D174^2)/(PI()*$K$7*$K$3)</f>
        <v>2.5145622498852871E-3</v>
      </c>
      <c r="F174">
        <f>C174*$K$2*E174</f>
        <v>6884.235524994855</v>
      </c>
      <c r="G174">
        <f t="shared" si="2"/>
        <v>16426.482641999999</v>
      </c>
    </row>
    <row r="175" spans="2:7" x14ac:dyDescent="0.25">
      <c r="B175">
        <v>172</v>
      </c>
      <c r="C175">
        <f>(1/2)*$K$6*B175^2</f>
        <v>13445.928</v>
      </c>
      <c r="D175" s="1">
        <f>$K$4/(C175*$K$2)</f>
        <v>0.27077169378187405</v>
      </c>
      <c r="E175">
        <f>(D175^2)/(PI()*$K$7*$K$3)</f>
        <v>2.4565920684488261E-3</v>
      </c>
      <c r="F175">
        <f>C175*$K$2*E175</f>
        <v>6804.4189760132012</v>
      </c>
      <c r="G175">
        <f t="shared" si="2"/>
        <v>16619.167008</v>
      </c>
    </row>
    <row r="176" spans="2:7" x14ac:dyDescent="0.25">
      <c r="B176">
        <v>173</v>
      </c>
      <c r="C176">
        <f>(1/2)*$K$6*B176^2</f>
        <v>13602.7305</v>
      </c>
      <c r="D176" s="1">
        <f>$K$4/(C176*$K$2)</f>
        <v>0.2676504323179178</v>
      </c>
      <c r="E176">
        <f>(D176^2)/(PI()*$K$7*$K$3)</f>
        <v>2.4002828407201399E-3</v>
      </c>
      <c r="F176">
        <f>C176*$K$2*E176</f>
        <v>6725.9825248546404</v>
      </c>
      <c r="G176">
        <f t="shared" si="2"/>
        <v>16812.974898</v>
      </c>
    </row>
    <row r="177" spans="2:7" x14ac:dyDescent="0.25">
      <c r="B177">
        <v>174</v>
      </c>
      <c r="C177">
        <f>(1/2)*$K$6*B177^2</f>
        <v>13760.442000000001</v>
      </c>
      <c r="D177" s="1">
        <f>$K$4/(C177*$K$2)</f>
        <v>0.26458283091699569</v>
      </c>
      <c r="E177">
        <f>(D177^2)/(PI()*$K$7*$K$3)</f>
        <v>2.3455777852394713E-3</v>
      </c>
      <c r="F177">
        <f>C177*$K$2*E177</f>
        <v>6648.8945364768979</v>
      </c>
      <c r="G177">
        <f t="shared" si="2"/>
        <v>17007.906312000003</v>
      </c>
    </row>
    <row r="178" spans="2:7" x14ac:dyDescent="0.25">
      <c r="B178">
        <v>175</v>
      </c>
      <c r="C178">
        <f>(1/2)*$K$6*B178^2</f>
        <v>13919.0625</v>
      </c>
      <c r="D178" s="1">
        <f>$K$4/(C178*$K$2)</f>
        <v>0.26156766657446406</v>
      </c>
      <c r="E178">
        <f>(D178^2)/(PI()*$K$7*$K$3)</f>
        <v>2.2924223723554743E-3</v>
      </c>
      <c r="F178">
        <f>C178*$K$2*E178</f>
        <v>6573.1242771061088</v>
      </c>
      <c r="G178">
        <f t="shared" si="2"/>
        <v>17203.96125</v>
      </c>
    </row>
    <row r="179" spans="2:7" x14ac:dyDescent="0.25">
      <c r="B179">
        <v>176</v>
      </c>
      <c r="C179">
        <f>(1/2)*$K$6*B179^2</f>
        <v>14078.592000000001</v>
      </c>
      <c r="D179" s="1">
        <f>$K$4/(C179*$K$2)</f>
        <v>0.25860375093113902</v>
      </c>
      <c r="E179">
        <f>(D179^2)/(PI()*$K$7*$K$3)</f>
        <v>2.2407642227426717E-3</v>
      </c>
      <c r="F179">
        <f>C179*$K$2*E179</f>
        <v>6498.6418835993863</v>
      </c>
      <c r="G179">
        <f t="shared" si="2"/>
        <v>17401.139712</v>
      </c>
    </row>
    <row r="180" spans="2:7" x14ac:dyDescent="0.25">
      <c r="B180">
        <v>177</v>
      </c>
      <c r="C180">
        <f>(1/2)*$K$6*B180^2</f>
        <v>14239.030500000001</v>
      </c>
      <c r="D180" s="1">
        <f>$K$4/(C180*$K$2)</f>
        <v>0.25568992910220439</v>
      </c>
      <c r="E180">
        <f>(D180^2)/(PI()*$K$7*$K$3)</f>
        <v>2.1905530110352687E-3</v>
      </c>
      <c r="F180">
        <f>C180*$K$2*E180</f>
        <v>6425.4183340155942</v>
      </c>
      <c r="G180">
        <f t="shared" si="2"/>
        <v>17599.441698000002</v>
      </c>
    </row>
    <row r="181" spans="2:7" x14ac:dyDescent="0.25">
      <c r="B181">
        <v>178</v>
      </c>
      <c r="C181">
        <f>(1/2)*$K$6*B181^2</f>
        <v>14400.378000000001</v>
      </c>
      <c r="D181" s="1">
        <f>$K$4/(C181*$K$2)</f>
        <v>0.25282507855204395</v>
      </c>
      <c r="E181">
        <f>(D181^2)/(PI()*$K$7*$K$3)</f>
        <v>2.1417403742923142E-3</v>
      </c>
      <c r="F181">
        <f>C181*$K$2*E181</f>
        <v>6353.4254193401866</v>
      </c>
      <c r="G181">
        <f t="shared" si="2"/>
        <v>17798.867208000003</v>
      </c>
    </row>
    <row r="182" spans="2:7" x14ac:dyDescent="0.25">
      <c r="B182">
        <v>179</v>
      </c>
      <c r="C182">
        <f>(1/2)*$K$6*B182^2</f>
        <v>14562.6345</v>
      </c>
      <c r="D182" s="1">
        <f>$K$4/(C182*$K$2)</f>
        <v>0.25000810801295098</v>
      </c>
      <c r="E182">
        <f>(D182^2)/(PI()*$K$7*$K$3)</f>
        <v>2.0942798250265654E-3</v>
      </c>
      <c r="F182">
        <f>C182*$K$2*E182</f>
        <v>6282.6357163126795</v>
      </c>
      <c r="G182">
        <f t="shared" si="2"/>
        <v>17999.416241999999</v>
      </c>
    </row>
    <row r="183" spans="2:7" x14ac:dyDescent="0.25">
      <c r="B183">
        <v>180</v>
      </c>
      <c r="C183">
        <f>(1/2)*$K$6*B183^2</f>
        <v>14725.800000000001</v>
      </c>
      <c r="D183" s="1">
        <f>$K$4/(C183*$K$2)</f>
        <v>0.2472379564457704</v>
      </c>
      <c r="E183">
        <f>(D183^2)/(PI()*$K$7*$K$3)</f>
        <v>2.0481266685456277E-3</v>
      </c>
      <c r="F183">
        <f>C183*$K$2*E183</f>
        <v>6213.0225613078564</v>
      </c>
      <c r="G183">
        <f t="shared" si="2"/>
        <v>18201.088800000001</v>
      </c>
    </row>
    <row r="184" spans="2:7" x14ac:dyDescent="0.25">
      <c r="B184">
        <v>181</v>
      </c>
      <c r="C184">
        <f>(1/2)*$K$6*B184^2</f>
        <v>14889.8745</v>
      </c>
      <c r="D184" s="1">
        <f>$K$4/(C184*$K$2)</f>
        <v>0.24451359204062642</v>
      </c>
      <c r="E184">
        <f>(D184^2)/(PI()*$K$7*$K$3)</f>
        <v>2.003237924369127E-3</v>
      </c>
      <c r="F184">
        <f>C184*$K$2*E184</f>
        <v>6144.5600252243394</v>
      </c>
      <c r="G184">
        <f t="shared" si="2"/>
        <v>18403.884881999998</v>
      </c>
    </row>
    <row r="185" spans="2:7" x14ac:dyDescent="0.25">
      <c r="B185">
        <v>182</v>
      </c>
      <c r="C185">
        <f>(1/2)*$K$6*B185^2</f>
        <v>15054.858</v>
      </c>
      <c r="D185" s="1">
        <f>$K$4/(C185*$K$2)</f>
        <v>0.24183401125597637</v>
      </c>
      <c r="E185">
        <f>(D185^2)/(PI()*$K$7*$K$3)</f>
        <v>1.959572251499766E-3</v>
      </c>
      <c r="F185">
        <f>C185*$K$2*E185</f>
        <v>6077.222889336269</v>
      </c>
      <c r="G185">
        <f t="shared" si="2"/>
        <v>18607.804488000002</v>
      </c>
    </row>
    <row r="186" spans="2:7" x14ac:dyDescent="0.25">
      <c r="B186">
        <v>183</v>
      </c>
      <c r="C186">
        <f>(1/2)*$K$6*B186^2</f>
        <v>15220.7505</v>
      </c>
      <c r="D186" s="1">
        <f>$K$4/(C186*$K$2)</f>
        <v>0.23919823789432237</v>
      </c>
      <c r="E186">
        <f>(D186^2)/(PI()*$K$7*$K$3)</f>
        <v>1.9170898773394362E-3</v>
      </c>
      <c r="F186">
        <f>C186*$K$2*E186</f>
        <v>6010.9866220661879</v>
      </c>
      <c r="G186">
        <f t="shared" si="2"/>
        <v>18812.847618</v>
      </c>
    </row>
    <row r="187" spans="2:7" x14ac:dyDescent="0.25">
      <c r="B187">
        <v>184</v>
      </c>
      <c r="C187">
        <f>(1/2)*$K$6*B187^2</f>
        <v>15387.552</v>
      </c>
      <c r="D187" s="1">
        <f>$K$4/(C187*$K$2)</f>
        <v>0.23660532221298919</v>
      </c>
      <c r="E187">
        <f>(D187^2)/(PI()*$K$7*$K$3)</f>
        <v>1.8757525300538778E-3</v>
      </c>
      <c r="F187">
        <f>C187*$K$2*E187</f>
        <v>5945.8273566391345</v>
      </c>
      <c r="G187">
        <f t="shared" si="2"/>
        <v>19019.014272</v>
      </c>
    </row>
    <row r="188" spans="2:7" x14ac:dyDescent="0.25">
      <c r="B188">
        <v>185</v>
      </c>
      <c r="C188">
        <f>(1/2)*$K$6*B188^2</f>
        <v>15555.262500000001</v>
      </c>
      <c r="D188" s="1">
        <f>$K$4/(C188*$K$2)</f>
        <v>0.2340543400684576</v>
      </c>
      <c r="E188">
        <f>(D188^2)/(PI()*$K$7*$K$3)</f>
        <v>1.8355233742010067E-3</v>
      </c>
      <c r="F188">
        <f>C188*$K$2*E188</f>
        <v>5881.721869579972</v>
      </c>
      <c r="G188">
        <f t="shared" si="2"/>
        <v>19226.304450000003</v>
      </c>
    </row>
    <row r="189" spans="2:7" x14ac:dyDescent="0.25">
      <c r="B189">
        <v>186</v>
      </c>
      <c r="C189">
        <f>(1/2)*$K$6*B189^2</f>
        <v>15723.882000000001</v>
      </c>
      <c r="D189" s="1">
        <f>$K$4/(C189*$K$2)</f>
        <v>0.23154439209281308</v>
      </c>
      <c r="E189">
        <f>(D189^2)/(PI()*$K$7*$K$3)</f>
        <v>1.7963669494488576E-3</v>
      </c>
      <c r="F189">
        <f>C189*$K$2*E189</f>
        <v>5818.6475600177637</v>
      </c>
      <c r="G189">
        <f t="shared" si="2"/>
        <v>19434.718152000001</v>
      </c>
    </row>
    <row r="190" spans="2:7" x14ac:dyDescent="0.25">
      <c r="B190">
        <v>187</v>
      </c>
      <c r="C190">
        <f>(1/2)*$K$6*B190^2</f>
        <v>15893.4105</v>
      </c>
      <c r="D190" s="1">
        <f>$K$4/(C190*$K$2)</f>
        <v>0.22907460290093973</v>
      </c>
      <c r="E190">
        <f>(D190^2)/(PI()*$K$7*$K$3)</f>
        <v>1.7582491122192464E-3</v>
      </c>
      <c r="F190">
        <f>C190*$K$2*E190</f>
        <v>5756.582429762776</v>
      </c>
      <c r="G190">
        <f t="shared" si="2"/>
        <v>19644.255378000002</v>
      </c>
    </row>
    <row r="191" spans="2:7" x14ac:dyDescent="0.25">
      <c r="B191">
        <v>188</v>
      </c>
      <c r="C191">
        <f>(1/2)*$K$6*B191^2</f>
        <v>16063.848</v>
      </c>
      <c r="D191" s="1">
        <f>$K$4/(C191*$K$2)</f>
        <v>0.22664412032715486</v>
      </c>
      <c r="E191">
        <f>(D191^2)/(PI()*$K$7*$K$3)</f>
        <v>1.7211369801027802E-3</v>
      </c>
      <c r="F191">
        <f>C191*$K$2*E191</f>
        <v>5695.5050641233183</v>
      </c>
      <c r="G191">
        <f t="shared" si="2"/>
        <v>19854.916128000001</v>
      </c>
    </row>
    <row r="192" spans="2:7" x14ac:dyDescent="0.25">
      <c r="B192">
        <v>189</v>
      </c>
      <c r="C192">
        <f>(1/2)*$K$6*B192^2</f>
        <v>16235.194500000001</v>
      </c>
      <c r="D192" s="1">
        <f>$K$4/(C192*$K$2)</f>
        <v>0.22425211469004119</v>
      </c>
      <c r="E192">
        <f>(D192^2)/(PI()*$K$7*$K$3)</f>
        <v>1.6849988788997406E-3</v>
      </c>
      <c r="F192">
        <f>C192*$K$2*E192</f>
        <v>5635.3946134311627</v>
      </c>
      <c r="G192">
        <f t="shared" si="2"/>
        <v>20066.700402000002</v>
      </c>
    </row>
    <row r="193" spans="2:7" x14ac:dyDescent="0.25">
      <c r="B193">
        <v>190</v>
      </c>
      <c r="C193">
        <f>(1/2)*$K$6*B193^2</f>
        <v>16407.45</v>
      </c>
      <c r="D193" s="1">
        <f>$K$4/(C193*$K$2)</f>
        <v>0.22189777808429256</v>
      </c>
      <c r="E193">
        <f>(D193^2)/(PI()*$K$7*$K$3)</f>
        <v>1.6498042921497366E-3</v>
      </c>
      <c r="F193">
        <f>C193*$K$2*E193</f>
        <v>5576.2307752458328</v>
      </c>
      <c r="G193">
        <f t="shared" si="2"/>
        <v>20279.608200000002</v>
      </c>
    </row>
    <row r="194" spans="2:7" x14ac:dyDescent="0.25">
      <c r="B194">
        <v>191</v>
      </c>
      <c r="C194">
        <f>(1/2)*$K$6*B194^2</f>
        <v>16580.6145</v>
      </c>
      <c r="D194" s="1">
        <f>$K$4/(C194*$K$2)</f>
        <v>0.21958032369844474</v>
      </c>
      <c r="E194">
        <f>(D194^2)/(PI()*$K$7*$K$3)</f>
        <v>1.6155238130208462E-3</v>
      </c>
      <c r="F194">
        <f>C194*$K$2*E194</f>
        <v>5517.9937772093581</v>
      </c>
      <c r="G194">
        <f t="shared" si="2"/>
        <v>20493.639521999998</v>
      </c>
    </row>
    <row r="195" spans="2:7" x14ac:dyDescent="0.25">
      <c r="B195">
        <v>192</v>
      </c>
      <c r="C195">
        <f>(1/2)*$K$6*B195^2</f>
        <v>16754.688000000002</v>
      </c>
      <c r="D195" s="1">
        <f>$K$4/(C195*$K$2)</f>
        <v>0.21729898515741539</v>
      </c>
      <c r="E195">
        <f>(D195^2)/(PI()*$K$7*$K$3)</f>
        <v>1.5821290984363158E-3</v>
      </c>
      <c r="F195">
        <f>C195*$K$2*E195</f>
        <v>5460.6643605244835</v>
      </c>
      <c r="G195">
        <f t="shared" si="2"/>
        <v>20708.794368000003</v>
      </c>
    </row>
    <row r="196" spans="2:7" x14ac:dyDescent="0.25">
      <c r="B196">
        <v>193</v>
      </c>
      <c r="C196">
        <f>(1/2)*$K$6*B196^2</f>
        <v>16929.6705</v>
      </c>
      <c r="D196" s="1">
        <f>$K$4/(C196*$K$2)</f>
        <v>0.21505301588882819</v>
      </c>
      <c r="E196">
        <f>(D196^2)/(PI()*$K$7*$K$3)</f>
        <v>1.5495928253237976E-3</v>
      </c>
      <c r="F196">
        <f>C196*$K$2*E196</f>
        <v>5404.2237640305657</v>
      </c>
      <c r="G196">
        <f t="shared" si="2"/>
        <v>20925.072738000003</v>
      </c>
    </row>
    <row r="197" spans="2:7" x14ac:dyDescent="0.25">
      <c r="B197">
        <v>194</v>
      </c>
      <c r="C197">
        <f>(1/2)*$K$6*B197^2</f>
        <v>17105.562000000002</v>
      </c>
      <c r="D197" s="1">
        <f>$K$4/(C197*$K$2)</f>
        <v>0.21284168851214161</v>
      </c>
      <c r="E197">
        <f>(D197^2)/(PI()*$K$7*$K$3)</f>
        <v>1.5178886488785405E-3</v>
      </c>
      <c r="F197">
        <f>C197*$K$2*E197</f>
        <v>5348.6537088525502</v>
      </c>
      <c r="G197">
        <f t="shared" ref="G197:G203" si="3">C197*$K$2*$K$5</f>
        <v>21142.474632000001</v>
      </c>
    </row>
    <row r="198" spans="2:7" x14ac:dyDescent="0.25">
      <c r="B198">
        <v>195</v>
      </c>
      <c r="C198">
        <f>(1/2)*$K$6*B198^2</f>
        <v>17282.362499999999</v>
      </c>
      <c r="D198" s="1">
        <f>$K$4/(C198*$K$2)</f>
        <v>0.21066429424965055</v>
      </c>
      <c r="E198">
        <f>(D198^2)/(PI()*$K$7*$K$3)</f>
        <v>1.4869911627380745E-3</v>
      </c>
      <c r="F198">
        <f>C198*$K$2*E198</f>
        <v>5293.9363835995946</v>
      </c>
      <c r="G198">
        <f t="shared" si="3"/>
        <v>21361.000049999999</v>
      </c>
    </row>
    <row r="199" spans="2:7" x14ac:dyDescent="0.25">
      <c r="B199">
        <v>196</v>
      </c>
      <c r="C199">
        <f>(1/2)*$K$6*B199^2</f>
        <v>17460.072</v>
      </c>
      <c r="D199" s="1">
        <f>$K$4/(C199*$K$2)</f>
        <v>0.20852014235846944</v>
      </c>
      <c r="E199">
        <f>(D199^2)/(PI()*$K$7*$K$3)</f>
        <v>1.4568758609715957E-3</v>
      </c>
      <c r="F199">
        <f>C199*$K$2*E199</f>
        <v>5240.0544300909669</v>
      </c>
      <c r="G199">
        <f t="shared" si="3"/>
        <v>21580.648991999999</v>
      </c>
    </row>
    <row r="200" spans="2:7" x14ac:dyDescent="0.25">
      <c r="B200">
        <v>197</v>
      </c>
      <c r="C200">
        <f>(1/2)*$K$6*B200^2</f>
        <v>17638.690500000001</v>
      </c>
      <c r="D200" s="1">
        <f>$K$4/(C200*$K$2)</f>
        <v>0.20640855958264737</v>
      </c>
      <c r="E200">
        <f>(D200^2)/(PI()*$K$7*$K$3)</f>
        <v>1.4275191017926448E-3</v>
      </c>
      <c r="F200">
        <f>C200*$K$2*E200</f>
        <v>5186.9909295878424</v>
      </c>
      <c r="G200">
        <f t="shared" si="3"/>
        <v>21801.421458000001</v>
      </c>
    </row>
    <row r="201" spans="2:7" x14ac:dyDescent="0.25">
      <c r="B201">
        <v>198</v>
      </c>
      <c r="C201">
        <f>(1/2)*$K$6*B201^2</f>
        <v>17818.218000000001</v>
      </c>
      <c r="D201" s="1">
        <f>$K$4/(C201*$K$2)</f>
        <v>0.20432888962460363</v>
      </c>
      <c r="E201">
        <f>(D201^2)/(PI()*$K$7*$K$3)</f>
        <v>1.3988980729086999E-3</v>
      </c>
      <c r="F201">
        <f>C201*$K$2*E201</f>
        <v>5134.729389510625</v>
      </c>
      <c r="G201">
        <f t="shared" si="3"/>
        <v>22023.317448000002</v>
      </c>
    </row>
    <row r="202" spans="2:7" x14ac:dyDescent="0.25">
      <c r="B202">
        <v>199</v>
      </c>
      <c r="C202">
        <f>(1/2)*$K$6*B202^2</f>
        <v>17998.654500000001</v>
      </c>
      <c r="D202" s="1">
        <f>$K$4/(C202*$K$2)</f>
        <v>0.20228049263510925</v>
      </c>
      <c r="E202">
        <f>(D202^2)/(PI()*$K$7*$K$3)</f>
        <v>1.3709907584260536E-3</v>
      </c>
      <c r="F202">
        <f>C202*$K$2*E202</f>
        <v>5083.2537306223212</v>
      </c>
      <c r="G202">
        <f t="shared" si="3"/>
        <v>22246.336962000001</v>
      </c>
    </row>
    <row r="203" spans="2:7" x14ac:dyDescent="0.25">
      <c r="B203">
        <v>200</v>
      </c>
      <c r="C203">
        <f>(1/2)*$K$6*B203^2</f>
        <v>18180</v>
      </c>
      <c r="D203" s="1">
        <f>$K$4/(C203*$K$2)</f>
        <v>0.20026274472107405</v>
      </c>
      <c r="E203">
        <f>(D203^2)/(PI()*$K$7*$K$3)</f>
        <v>1.3437759072327867E-3</v>
      </c>
      <c r="F203">
        <f>C203*$K$2*E203</f>
        <v>5032.5482746593643</v>
      </c>
      <c r="G203">
        <f t="shared" si="3"/>
        <v>22470.48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2024-08-21T16:15:57Z</dcterms:created>
  <dcterms:modified xsi:type="dcterms:W3CDTF">2024-08-21T16:44:37Z</dcterms:modified>
</cp:coreProperties>
</file>