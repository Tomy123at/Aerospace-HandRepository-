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cuments\Universidad\2025-1\Estructuras Aeronáuticas\"/>
    </mc:Choice>
  </mc:AlternateContent>
  <xr:revisionPtr revIDLastSave="0" documentId="13_ncr:1_{ABE9A7B3-0DF9-49BB-86C5-0C612B77D2B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Vn-diagram Exampl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5" l="1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6" i="15"/>
  <c r="J6" i="15"/>
  <c r="I6" i="15"/>
  <c r="H6" i="15"/>
  <c r="F6" i="15"/>
  <c r="E6" i="15"/>
  <c r="B34" i="15"/>
  <c r="B25" i="15"/>
  <c r="M6" i="15" a="1"/>
  <c r="M6" i="15" s="1"/>
  <c r="N6" i="15" s="1"/>
  <c r="O6" i="15" s="1"/>
  <c r="B24" i="15"/>
  <c r="B23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6" i="15"/>
  <c r="V7" i="15"/>
  <c r="V8" i="15"/>
  <c r="V9" i="15"/>
  <c r="V10" i="15"/>
  <c r="V11" i="15"/>
  <c r="V12" i="15"/>
  <c r="V13" i="15"/>
  <c r="V14" i="15"/>
  <c r="V15" i="15"/>
  <c r="V6" i="15"/>
  <c r="C63" i="15"/>
  <c r="C61" i="15"/>
  <c r="C60" i="15"/>
  <c r="C62" i="15"/>
  <c r="C71" i="15"/>
  <c r="C70" i="15"/>
  <c r="C73" i="15"/>
  <c r="C72" i="15"/>
  <c r="C53" i="15"/>
  <c r="C68" i="15"/>
  <c r="C66" i="15"/>
  <c r="D13" i="15"/>
  <c r="E13" i="15" s="1"/>
  <c r="G13" i="15" s="1"/>
  <c r="B56" i="15"/>
  <c r="D31" i="15"/>
  <c r="B53" i="15"/>
  <c r="B31" i="15"/>
  <c r="B33" i="15"/>
  <c r="B55" i="15"/>
  <c r="J7" i="15"/>
  <c r="J8" i="15"/>
  <c r="J9" i="15"/>
  <c r="J10" i="15"/>
  <c r="J11" i="15"/>
  <c r="J12" i="15"/>
  <c r="J14" i="15"/>
  <c r="J15" i="15"/>
  <c r="J18" i="15"/>
  <c r="J19" i="15"/>
  <c r="J20" i="15"/>
  <c r="J21" i="15"/>
  <c r="J23" i="15"/>
  <c r="J24" i="15"/>
  <c r="J25" i="15"/>
  <c r="J26" i="15"/>
  <c r="I7" i="15"/>
  <c r="I8" i="15"/>
  <c r="I9" i="15"/>
  <c r="I10" i="15"/>
  <c r="I11" i="15"/>
  <c r="I12" i="15"/>
  <c r="I14" i="15"/>
  <c r="I15" i="15"/>
  <c r="I18" i="15"/>
  <c r="I19" i="15"/>
  <c r="I20" i="15"/>
  <c r="I21" i="15"/>
  <c r="I23" i="15"/>
  <c r="I24" i="15"/>
  <c r="I25" i="15"/>
  <c r="I26" i="15"/>
  <c r="H7" i="15"/>
  <c r="H8" i="15"/>
  <c r="H9" i="15"/>
  <c r="H10" i="15"/>
  <c r="H11" i="15"/>
  <c r="H12" i="15"/>
  <c r="H14" i="15"/>
  <c r="H15" i="15"/>
  <c r="H18" i="15"/>
  <c r="H19" i="15"/>
  <c r="H20" i="15"/>
  <c r="H21" i="15"/>
  <c r="H23" i="15"/>
  <c r="H24" i="15"/>
  <c r="H25" i="15"/>
  <c r="H26" i="15"/>
  <c r="G7" i="15"/>
  <c r="G8" i="15"/>
  <c r="G9" i="15"/>
  <c r="G10" i="15"/>
  <c r="G11" i="15"/>
  <c r="G12" i="15"/>
  <c r="G14" i="15"/>
  <c r="G15" i="15"/>
  <c r="G17" i="15"/>
  <c r="I17" i="15" s="1"/>
  <c r="G18" i="15"/>
  <c r="G19" i="15"/>
  <c r="G20" i="15"/>
  <c r="G21" i="15"/>
  <c r="G22" i="15"/>
  <c r="H22" i="15" s="1"/>
  <c r="J22" i="15" s="1"/>
  <c r="G23" i="15"/>
  <c r="G24" i="15"/>
  <c r="G25" i="15"/>
  <c r="G26" i="15"/>
  <c r="G6" i="15"/>
  <c r="F7" i="15"/>
  <c r="F8" i="15"/>
  <c r="F9" i="15"/>
  <c r="F10" i="15"/>
  <c r="F11" i="15"/>
  <c r="F12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E7" i="15"/>
  <c r="E8" i="15"/>
  <c r="E9" i="15"/>
  <c r="E10" i="15"/>
  <c r="E11" i="15"/>
  <c r="E12" i="15"/>
  <c r="E14" i="15"/>
  <c r="E15" i="15"/>
  <c r="E16" i="15"/>
  <c r="G16" i="15" s="1"/>
  <c r="E17" i="15"/>
  <c r="E18" i="15"/>
  <c r="E19" i="15"/>
  <c r="E20" i="15"/>
  <c r="E21" i="15"/>
  <c r="E22" i="15"/>
  <c r="E23" i="15"/>
  <c r="E24" i="15"/>
  <c r="E25" i="15"/>
  <c r="E26" i="15"/>
  <c r="B14" i="15"/>
  <c r="B67" i="15"/>
  <c r="B66" i="15"/>
  <c r="Q6" i="15" l="1"/>
  <c r="S6" i="15"/>
  <c r="P6" i="15"/>
  <c r="R6" i="15"/>
  <c r="N7" i="15"/>
  <c r="O7" i="15" s="1"/>
  <c r="I22" i="15"/>
  <c r="N24" i="15"/>
  <c r="O24" i="15" s="1"/>
  <c r="N23" i="15"/>
  <c r="O23" i="15" s="1"/>
  <c r="N22" i="15"/>
  <c r="O22" i="15" s="1"/>
  <c r="N10" i="15"/>
  <c r="O10" i="15" s="1"/>
  <c r="N11" i="15"/>
  <c r="O11" i="15" s="1"/>
  <c r="N9" i="15"/>
  <c r="O9" i="15" s="1"/>
  <c r="N8" i="15"/>
  <c r="O8" i="15" s="1"/>
  <c r="N26" i="15"/>
  <c r="O26" i="15" s="1"/>
  <c r="N25" i="15"/>
  <c r="O25" i="15" s="1"/>
  <c r="N21" i="15"/>
  <c r="O21" i="15" s="1"/>
  <c r="N20" i="15"/>
  <c r="O20" i="15" s="1"/>
  <c r="N19" i="15"/>
  <c r="O19" i="15" s="1"/>
  <c r="N18" i="15"/>
  <c r="O18" i="15" s="1"/>
  <c r="N17" i="15"/>
  <c r="O17" i="15" s="1"/>
  <c r="N16" i="15"/>
  <c r="O16" i="15" s="1"/>
  <c r="N15" i="15"/>
  <c r="O15" i="15" s="1"/>
  <c r="N14" i="15"/>
  <c r="O14" i="15" s="1"/>
  <c r="N13" i="15"/>
  <c r="O13" i="15" s="1"/>
  <c r="N12" i="15"/>
  <c r="O12" i="15" s="1"/>
  <c r="I16" i="15"/>
  <c r="H16" i="15"/>
  <c r="F13" i="15"/>
  <c r="H13" i="15"/>
  <c r="I13" i="15"/>
  <c r="B54" i="15"/>
  <c r="B51" i="15"/>
  <c r="H17" i="15"/>
  <c r="B52" i="15"/>
  <c r="S12" i="15" l="1"/>
  <c r="P12" i="15"/>
  <c r="Q12" i="15"/>
  <c r="R12" i="15"/>
  <c r="S13" i="15"/>
  <c r="P13" i="15"/>
  <c r="Q13" i="15"/>
  <c r="R13" i="15"/>
  <c r="S14" i="15"/>
  <c r="P14" i="15"/>
  <c r="Q14" i="15"/>
  <c r="R14" i="15"/>
  <c r="S15" i="15"/>
  <c r="Q15" i="15"/>
  <c r="R15" i="15"/>
  <c r="P15" i="15"/>
  <c r="S16" i="15"/>
  <c r="Q16" i="15"/>
  <c r="P16" i="15"/>
  <c r="R16" i="15"/>
  <c r="S17" i="15"/>
  <c r="Q17" i="15"/>
  <c r="R17" i="15"/>
  <c r="P17" i="15"/>
  <c r="R18" i="15"/>
  <c r="S18" i="15"/>
  <c r="P18" i="15"/>
  <c r="Q18" i="15"/>
  <c r="R19" i="15"/>
  <c r="S19" i="15"/>
  <c r="P19" i="15"/>
  <c r="Q19" i="15"/>
  <c r="R20" i="15"/>
  <c r="S20" i="15"/>
  <c r="P20" i="15"/>
  <c r="Q20" i="15"/>
  <c r="R21" i="15"/>
  <c r="S21" i="15"/>
  <c r="P21" i="15"/>
  <c r="Q21" i="15"/>
  <c r="Q25" i="15"/>
  <c r="R25" i="15"/>
  <c r="P25" i="15"/>
  <c r="S25" i="15"/>
  <c r="Q26" i="15"/>
  <c r="R26" i="15"/>
  <c r="P26" i="15"/>
  <c r="S26" i="15"/>
  <c r="P8" i="15"/>
  <c r="R8" i="15"/>
  <c r="Q8" i="15"/>
  <c r="S8" i="15"/>
  <c r="P9" i="15"/>
  <c r="S9" i="15"/>
  <c r="Q9" i="15"/>
  <c r="R9" i="15"/>
  <c r="P11" i="15"/>
  <c r="Q11" i="15"/>
  <c r="R11" i="15"/>
  <c r="S11" i="15"/>
  <c r="P10" i="15"/>
  <c r="Q10" i="15"/>
  <c r="R10" i="15"/>
  <c r="S10" i="15"/>
  <c r="R22" i="15"/>
  <c r="P22" i="15"/>
  <c r="Q22" i="15"/>
  <c r="S22" i="15"/>
  <c r="R23" i="15"/>
  <c r="P23" i="15"/>
  <c r="Q23" i="15"/>
  <c r="S23" i="15"/>
  <c r="R24" i="15"/>
  <c r="P24" i="15"/>
  <c r="S24" i="15"/>
  <c r="Q24" i="15"/>
  <c r="P7" i="15"/>
  <c r="R7" i="15"/>
  <c r="S7" i="15"/>
  <c r="Q7" i="15"/>
  <c r="V16" i="15"/>
  <c r="J16" i="15"/>
  <c r="B69" i="15"/>
  <c r="B73" i="15"/>
  <c r="B71" i="15"/>
  <c r="B62" i="15"/>
  <c r="B68" i="15"/>
  <c r="B57" i="15"/>
  <c r="B63" i="15"/>
  <c r="B50" i="15"/>
  <c r="B60" i="15"/>
  <c r="B61" i="15"/>
  <c r="B65" i="15" l="1"/>
  <c r="B6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B09S319est</author>
  </authors>
  <commentList>
    <comment ref="G5" authorId="0" shapeId="0" xr:uid="{64629811-35AB-44D7-BC76-0FFA288CDF0A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Esto se tomará constante en el parcial</t>
        </r>
      </text>
    </comment>
    <comment ref="L5" authorId="0" shapeId="0" xr:uid="{ADF863AF-1517-4CAA-A8CF-41BC188C3732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Esto es constante en el parcial
</t>
        </r>
      </text>
    </comment>
    <comment ref="N5" authorId="0" shapeId="0" xr:uid="{43569636-DDA2-42B5-8D8A-A94FE516CB3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Multiplicar por 32,1 pq la densidad esta en slug y debe estar en lb 
</t>
        </r>
      </text>
    </comment>
    <comment ref="P5" authorId="0" shapeId="0" xr:uid="{9A5A80C7-9EBC-4B7C-AD86-C8093E4E06E2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Se utiliza la velocidad Vge del far que está en ft/s pero convertida a nudos
56*0,5925
</t>
        </r>
      </text>
    </comment>
    <comment ref="R5" authorId="0" shapeId="0" xr:uid="{FF60FAC6-BF19-4229-82CE-DD9994FDB12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Lo mismo del factor de carga positivo de ráfaga pero Vge es la mitad por estar en picada en esta fila</t>
        </r>
      </text>
    </comment>
    <comment ref="D13" authorId="0" shapeId="0" xr:uid="{5A3ADC27-007D-4328-A381-AD820EC117B6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Se grafica hasta aquí pq es la Vstall
</t>
        </r>
      </text>
    </comment>
    <comment ref="D16" authorId="0" shapeId="0" xr:uid="{EEC33171-DD84-4324-865E-07AFFAD39657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Aquí debe ser el valor con tal que el valor positivo con flaps de 2
</t>
        </r>
      </text>
    </comment>
    <comment ref="D17" authorId="0" shapeId="0" xr:uid="{5D75AC48-D6A9-4748-9AF4-0B802ABDA59F}">
      <text>
        <r>
          <rPr>
            <b/>
            <sz val="9"/>
            <color indexed="81"/>
            <rFont val="Tahoma"/>
            <charset val="1"/>
          </rPr>
          <t>B09S319est:
A esta velocidad el factor de carga positivo da 2,5</t>
        </r>
      </text>
    </comment>
    <comment ref="D22" authorId="0" shapeId="0" xr:uid="{B70C3C63-1B39-4A9D-9881-A563A75FFB1C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Velocidad crucero
</t>
        </r>
      </text>
    </comment>
    <comment ref="A25" authorId="0" shapeId="0" xr:uid="{DA7DFF0E-AC12-4658-8989-A2D126A81509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Suponemos que el avion genera mas sustentación que solo las alas
</t>
        </r>
      </text>
    </comment>
    <comment ref="D26" authorId="0" shapeId="0" xr:uid="{9C7FF14B-F300-4288-949C-FD86DE4592E3}">
      <text>
        <r>
          <rPr>
            <b/>
            <sz val="9"/>
            <color indexed="81"/>
            <rFont val="Tahoma"/>
            <charset val="1"/>
          </rPr>
          <t>B09S319est:</t>
        </r>
        <r>
          <rPr>
            <sz val="9"/>
            <color indexed="81"/>
            <rFont val="Tahoma"/>
            <charset val="1"/>
          </rPr>
          <t xml:space="preserve">
Vdive o Velocidad maxima de operación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<sst xmlns="http://schemas.openxmlformats.org/spreadsheetml/2006/main" count="76" uniqueCount="76">
  <si>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>V eq. KEAS</t>
  </si>
  <si>
    <t>Mach (Ve/Cse)</t>
  </si>
  <si>
    <t>q dynamic pressure (lb/ft^2)</t>
  </si>
  <si>
    <t>Clmax_m/Clmax_0</t>
  </si>
  <si>
    <t>Cl max_m</t>
  </si>
  <si>
    <t>Cl max_m (-)</t>
  </si>
  <si>
    <t>Cl alpha_m/cl alpha 0</t>
  </si>
  <si>
    <t>Cl alpha_m</t>
  </si>
  <si>
    <t>Kg</t>
  </si>
  <si>
    <t>h (ft)</t>
  </si>
  <si>
    <t>Vc KEAS</t>
  </si>
  <si>
    <t>Vd KEAS</t>
  </si>
  <si>
    <t>(Clmax)0 at M=0</t>
  </si>
  <si>
    <t>span b ft</t>
  </si>
  <si>
    <t>wing area S ft^2</t>
  </si>
  <si>
    <t>Wing load W/S (lb/ft^2)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</si>
  <si>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</si>
  <si>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</si>
  <si>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</si>
  <si>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</si>
  <si>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</si>
  <si>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</si>
  <si>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</si>
  <si>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t>β*AR/K</t>
  </si>
  <si>
    <t>cl alpha w (1/rad) tablas</t>
  </si>
  <si>
    <t>mean aerodynamic chord (c_bar) ft</t>
  </si>
  <si>
    <t>negative Cl max (-) M=0</t>
  </si>
  <si>
    <t>Speeds</t>
  </si>
  <si>
    <t>V stall KEAS</t>
  </si>
  <si>
    <t>V flaps KEAS</t>
  </si>
  <si>
    <t>V cruise KEAS</t>
  </si>
  <si>
    <t>V NE</t>
  </si>
  <si>
    <t>V dive KEAS</t>
  </si>
  <si>
    <t>V_B</t>
  </si>
  <si>
    <t>Loads</t>
  </si>
  <si>
    <t>n2 load factor (75% n1)</t>
  </si>
  <si>
    <t>proof load 1,25 n1</t>
  </si>
  <si>
    <t>Plot</t>
  </si>
  <si>
    <t>x</t>
  </si>
  <si>
    <t>y</t>
  </si>
  <si>
    <t xml:space="preserve">positive V stall 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</si>
  <si>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</si>
  <si>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</si>
  <si>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</si>
  <si>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</si>
  <si>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</si>
  <si>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</si>
  <si>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proof load</t>
  </si>
  <si>
    <t>Ultimate load</t>
  </si>
  <si>
    <t>MANEUVER</t>
  </si>
  <si>
    <t>GUST</t>
  </si>
  <si>
    <t>AIRCRAFT</t>
  </si>
  <si>
    <t>Cse KEAS (h ft)</t>
  </si>
  <si>
    <t>Gravity ft/s^2</t>
  </si>
  <si>
    <t>n+</t>
  </si>
  <si>
    <t>n-</t>
  </si>
  <si>
    <t>negative V stall</t>
  </si>
  <si>
    <t>MTOW (lb)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</si>
  <si>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 1</t>
    </r>
  </si>
  <si>
    <t>negative load factor related to maneuver speed to cruise speed due to is under FAR 25 (more restrictive)</t>
  </si>
  <si>
    <r>
      <t xml:space="preserve">cl alpha aircraft (1/rad) at </t>
    </r>
    <r>
      <rPr>
        <b/>
        <sz val="14"/>
        <rFont val="Calibri"/>
        <family val="2"/>
        <scheme val="minor"/>
      </rPr>
      <t>M=0</t>
    </r>
  </si>
  <si>
    <t>V maneuver KEAS</t>
  </si>
  <si>
    <t>Ultimate load 1,5 n1</t>
  </si>
  <si>
    <t>positive load factor n+</t>
  </si>
  <si>
    <t>negative load factor n-</t>
  </si>
  <si>
    <t>µ</t>
  </si>
  <si>
    <t>positive gust load factor V_B</t>
  </si>
  <si>
    <t>negative gust load factor V_B</t>
  </si>
  <si>
    <t>positive gust load factor V_C</t>
  </si>
  <si>
    <t>negative gust load factor V_C</t>
  </si>
  <si>
    <t>positive gust load factor V_D</t>
  </si>
  <si>
    <t>negative gust load factor V_D</t>
  </si>
  <si>
    <t>Air density at h ft (slug/ft^3)</t>
  </si>
  <si>
    <t>EXAMPLE 1</t>
  </si>
  <si>
    <t>Positive load factor related to maneuver speed to dive speed</t>
  </si>
  <si>
    <t>Positive load factor n+ with flaps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</si>
</sst>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ptos Narrow"/>
      <family val="2"/>
    </font>
    <font>
      <sz val="14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3" borderId="9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5" borderId="1" xfId="0" applyFont="1" applyFill="1" applyBorder="1" applyAlignment="1">
      <alignment vertical="center" wrapText="1"/>
    </xf>
    <xf numFmtId="2" fontId="5" fillId="0" borderId="0" xfId="0" applyNumberFormat="1" applyFont="1" applyAlignment="1">
      <alignment horizontal="center"/>
    </xf>
    <xf numFmtId="0" fontId="5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 wrapText="1"/>
    </xf>
    <xf numFmtId="2" fontId="2" fillId="3" borderId="10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8" fillId="5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9" fillId="0" borderId="0" xfId="0" applyFont="1"/>
    <xf numFmtId="2" fontId="10" fillId="0" borderId="0" xfId="0" applyNumberFormat="1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/>
    </xf>
    <xf numFmtId="2" fontId="1" fillId="6" borderId="0" xfId="0" applyNumberFormat="1" applyFont="1" applyFill="1"/>
    <xf numFmtId="2" fontId="1" fillId="7" borderId="0" xfId="0" applyNumberFormat="1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2" fontId="5" fillId="10" borderId="6" xfId="0" applyNumberFormat="1" applyFont="1" applyFill="1" applyBorder="1" applyAlignment="1">
      <alignment horizontal="center" vertical="center" wrapText="1"/>
    </xf>
    <xf numFmtId="2" fontId="5" fillId="10" borderId="10" xfId="0" applyNumberFormat="1" applyFont="1" applyFill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V-n</a:t>
            </a:r>
            <a:r>
              <a:rPr lang="es-CO" baseline="0"/>
              <a:t> Diagram 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70255905511811"/>
          <c:y val="0.10978817678623362"/>
          <c:w val="0.80377789005549638"/>
          <c:h val="0.839285726700431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CD-4CFD-83F9-D078DBB68F31}"/>
              </c:ext>
            </c:extLst>
          </c:dPt>
          <c:xVal>
            <c:numRef>
              <c:f>'Vn-diagram Example'!$D$6:$D$13</c:f>
              <c:numCache>
                <c:formatCode>0.00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</c:numCache>
            </c:numRef>
          </c:xVal>
          <c:yVal>
            <c:numRef>
              <c:f>'Vn-diagram Example'!$J$6:$J$17</c:f>
              <c:numCache>
                <c:formatCode>0.00</c:formatCode>
                <c:ptCount val="12"/>
                <c:pt idx="0">
                  <c:v>0</c:v>
                </c:pt>
                <c:pt idx="1">
                  <c:v>1.9174389774632188E-2</c:v>
                </c:pt>
                <c:pt idx="2">
                  <c:v>7.6910996920296029E-2</c:v>
                </c:pt>
                <c:pt idx="3">
                  <c:v>0.17427644351718821</c:v>
                </c:pt>
                <c:pt idx="4">
                  <c:v>0.31092181042947092</c:v>
                </c:pt>
                <c:pt idx="5">
                  <c:v>0.48475149895543623</c:v>
                </c:pt>
                <c:pt idx="6">
                  <c:v>0.69317759173757543</c:v>
                </c:pt>
                <c:pt idx="7">
                  <c:v>1</c:v>
                </c:pt>
                <c:pt idx="8">
                  <c:v>1.2092382796032612</c:v>
                </c:pt>
                <c:pt idx="9">
                  <c:v>1.5190820262071361</c:v>
                </c:pt>
                <c:pt idx="10">
                  <c:v>1.739196800340479</c:v>
                </c:pt>
                <c:pt idx="1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A7-4825-9FF3-C96C671DD212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'Vn-diagram Example'!$D$6:$D$13</c:f>
              <c:numCache>
                <c:formatCode>0.00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</c:numCache>
            </c:numRef>
          </c:xVal>
          <c:yVal>
            <c:numRef>
              <c:f>'Vn-diagram Example'!$K$6:$K$14</c:f>
              <c:numCache>
                <c:formatCode>0.00</c:formatCode>
                <c:ptCount val="9"/>
                <c:pt idx="0">
                  <c:v>0</c:v>
                </c:pt>
                <c:pt idx="1">
                  <c:v>-1.9174389774632188E-2</c:v>
                </c:pt>
                <c:pt idx="2">
                  <c:v>-7.6910996920296029E-2</c:v>
                </c:pt>
                <c:pt idx="3">
                  <c:v>-0.17427644351718821</c:v>
                </c:pt>
                <c:pt idx="4">
                  <c:v>-0.31092181042947092</c:v>
                </c:pt>
                <c:pt idx="5">
                  <c:v>-0.48475149895543623</c:v>
                </c:pt>
                <c:pt idx="6">
                  <c:v>-0.69317759173757543</c:v>
                </c:pt>
                <c:pt idx="7">
                  <c:v>-0.97245948584632302</c:v>
                </c:pt>
                <c:pt idx="8">
                  <c:v>-1.2092382796032612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A7-4825-9FF3-C96C671DD212}"/>
            </c:ext>
          </c:extLst>
        </c:ser>
        <c:ser>
          <c:idx val="3"/>
          <c:order val="2"/>
          <c:tx>
            <c:v>-n+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Example'!$B$56:$B$57</c:f>
              <c:numCache>
                <c:formatCode>0.00</c:formatCode>
                <c:ptCount val="2"/>
                <c:pt idx="0">
                  <c:v>142.9101466772392</c:v>
                </c:pt>
                <c:pt idx="1">
                  <c:v>325</c:v>
                </c:pt>
              </c:numCache>
            </c:numRef>
          </c:xVal>
          <c:yVal>
            <c:numRef>
              <c:f>'Vn-diagram Example'!$C$56:$C$57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A7-4825-9FF3-C96C671DD212}"/>
            </c:ext>
          </c:extLst>
        </c:ser>
        <c:ser>
          <c:idx val="2"/>
          <c:order val="3"/>
          <c:tx>
            <c:v>N+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Example'!$B$54:$B$55</c:f>
              <c:numCache>
                <c:formatCode>0.00</c:formatCode>
                <c:ptCount val="2"/>
                <c:pt idx="0">
                  <c:v>225.96078212440995</c:v>
                </c:pt>
                <c:pt idx="1">
                  <c:v>400</c:v>
                </c:pt>
              </c:numCache>
            </c:numRef>
          </c:xVal>
          <c:yVal>
            <c:numRef>
              <c:f>'Vn-diagram Example'!$C$54:$C$55</c:f>
              <c:numCache>
                <c:formatCode>0.0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A7-4825-9FF3-C96C671DD212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Example'!$B$66:$B$67</c:f>
              <c:numCache>
                <c:formatCode>0.00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xVal>
          <c:yVal>
            <c:numRef>
              <c:f>'Vn-diagram Example'!$C$66:$C$67</c:f>
              <c:numCache>
                <c:formatCode>0.0</c:formatCode>
                <c:ptCount val="2"/>
                <c:pt idx="0" formatCode="0.00">
                  <c:v>2.5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A7-4825-9FF3-C96C671DD212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Example'!$B$68:$B$69</c:f>
              <c:numCache>
                <c:formatCode>0.00</c:formatCode>
                <c:ptCount val="2"/>
                <c:pt idx="0">
                  <c:v>325</c:v>
                </c:pt>
                <c:pt idx="1">
                  <c:v>400</c:v>
                </c:pt>
              </c:numCache>
            </c:numRef>
          </c:xVal>
          <c:yVal>
            <c:numRef>
              <c:f>'Vn-diagram Example'!$C$68:$C$69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A7-4825-9FF3-C96C671DD212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Example'!$B$52:$B$53</c:f>
              <c:numCache>
                <c:formatCode>0.00</c:formatCode>
                <c:ptCount val="2"/>
                <c:pt idx="0">
                  <c:v>142.9101466772392</c:v>
                </c:pt>
                <c:pt idx="1">
                  <c:v>142.9101466772392</c:v>
                </c:pt>
              </c:numCache>
            </c:numRef>
          </c:xVal>
          <c:yVal>
            <c:numRef>
              <c:f>'Vn-diagram Example'!$C$52:$C$53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A7-4825-9FF3-C96C671DD212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Example'!$B$50:$B$51</c:f>
              <c:numCache>
                <c:formatCode>0.00</c:formatCode>
                <c:ptCount val="2"/>
                <c:pt idx="0">
                  <c:v>142.9101466772392</c:v>
                </c:pt>
                <c:pt idx="1">
                  <c:v>142.9101466772392</c:v>
                </c:pt>
              </c:numCache>
            </c:numRef>
          </c:xVal>
          <c:yVal>
            <c:numRef>
              <c:f>'Vn-diagram Example'!$C$50:$C$51</c:f>
              <c:numCache>
                <c:formatCode>0.0</c:formatCode>
                <c:ptCount val="2"/>
                <c:pt idx="0" formatCode="General">
                  <c:v>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A7-4825-9FF3-C96C671DD212}"/>
            </c:ext>
          </c:extLst>
        </c:ser>
        <c:ser>
          <c:idx val="8"/>
          <c:order val="8"/>
          <c:tx>
            <c:v>PROOF LOAD</c:v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'Vn-diagram Example'!$B$70:$B$71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400</c:v>
                </c:pt>
              </c:numCache>
            </c:numRef>
          </c:xVal>
          <c:yVal>
            <c:numRef>
              <c:f>'Vn-diagram Example'!$C$70:$C$71</c:f>
              <c:numCache>
                <c:formatCode>0.00</c:formatCode>
                <c:ptCount val="2"/>
                <c:pt idx="0">
                  <c:v>3.125</c:v>
                </c:pt>
                <c:pt idx="1">
                  <c:v>3.125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A7-4825-9FF3-C96C671DD212}"/>
            </c:ext>
          </c:extLst>
        </c:ser>
        <c:ser>
          <c:idx val="9"/>
          <c:order val="9"/>
          <c:tx>
            <c:v>ULTIMATE LOAD</c:v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'Vn-diagram Example'!$B$72:$B$73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400</c:v>
                </c:pt>
              </c:numCache>
            </c:numRef>
          </c:xVal>
          <c:yVal>
            <c:numRef>
              <c:f>'Vn-diagram Example'!$C$72:$C$73</c:f>
              <c:numCache>
                <c:formatCode>0.00</c:formatCode>
                <c:ptCount val="2"/>
                <c:pt idx="0">
                  <c:v>3.75</c:v>
                </c:pt>
                <c:pt idx="1">
                  <c:v>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A7-4825-9FF3-C96C671DD212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Example'!$D$13:$D$26</c:f>
              <c:numCache>
                <c:formatCode>0.00</c:formatCode>
                <c:ptCount val="14"/>
                <c:pt idx="0">
                  <c:v>142.9101466772392</c:v>
                </c:pt>
                <c:pt idx="1">
                  <c:v>160</c:v>
                </c:pt>
                <c:pt idx="2">
                  <c:v>180</c:v>
                </c:pt>
                <c:pt idx="3">
                  <c:v>192.92</c:v>
                </c:pt>
                <c:pt idx="4">
                  <c:v>226</c:v>
                </c:pt>
                <c:pt idx="5">
                  <c:v>240</c:v>
                </c:pt>
                <c:pt idx="6">
                  <c:v>260</c:v>
                </c:pt>
                <c:pt idx="7">
                  <c:v>280</c:v>
                </c:pt>
                <c:pt idx="8">
                  <c:v>300</c:v>
                </c:pt>
                <c:pt idx="9">
                  <c:v>325</c:v>
                </c:pt>
                <c:pt idx="10">
                  <c:v>340</c:v>
                </c:pt>
                <c:pt idx="11">
                  <c:v>360</c:v>
                </c:pt>
                <c:pt idx="12">
                  <c:v>380</c:v>
                </c:pt>
                <c:pt idx="13">
                  <c:v>400</c:v>
                </c:pt>
              </c:numCache>
            </c:numRef>
          </c:xVal>
          <c:yVal>
            <c:numRef>
              <c:f>'Vn-diagram Example'!$J$13:$J$17</c:f>
              <c:numCache>
                <c:formatCode>0.00</c:formatCode>
                <c:ptCount val="5"/>
                <c:pt idx="0">
                  <c:v>1</c:v>
                </c:pt>
                <c:pt idx="1">
                  <c:v>1.2092382796032612</c:v>
                </c:pt>
                <c:pt idx="2">
                  <c:v>1.5190820262071361</c:v>
                </c:pt>
                <c:pt idx="3">
                  <c:v>1.739196800340479</c:v>
                </c:pt>
                <c:pt idx="4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A7-4825-9FF3-C96C671DD212}"/>
            </c:ext>
          </c:extLst>
        </c:ser>
        <c:ser>
          <c:idx val="11"/>
          <c:order val="11"/>
          <c:tx>
            <c:v>Vc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'Vn-diagram Example'!$B$62:$B$63</c:f>
              <c:numCache>
                <c:formatCode>0.00</c:formatCode>
                <c:ptCount val="2"/>
                <c:pt idx="0">
                  <c:v>325</c:v>
                </c:pt>
                <c:pt idx="1">
                  <c:v>325</c:v>
                </c:pt>
              </c:numCache>
            </c:numRef>
          </c:xVal>
          <c:yVal>
            <c:numRef>
              <c:f>'Vn-diagram Example'!$C$62:$C$63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A7-4825-9FF3-C96C671DD212}"/>
            </c:ext>
          </c:extLst>
        </c:ser>
        <c:ser>
          <c:idx val="12"/>
          <c:order val="12"/>
          <c:tx>
            <c:v>V maniobra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'Vn-diagram Example'!$B$60:$B$61</c:f>
              <c:numCache>
                <c:formatCode>0.00</c:formatCode>
                <c:ptCount val="2"/>
                <c:pt idx="0">
                  <c:v>225.96078212440995</c:v>
                </c:pt>
                <c:pt idx="1">
                  <c:v>225.96078212440995</c:v>
                </c:pt>
              </c:numCache>
            </c:numRef>
          </c:xVal>
          <c:yVal>
            <c:numRef>
              <c:f>'Vn-diagram Example'!$C$60:$C$61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A7-4825-9FF3-C96C671DD212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Example'!$D$6:$D$16</c:f>
              <c:numCache>
                <c:formatCode>0.00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  <c:pt idx="8">
                  <c:v>160</c:v>
                </c:pt>
                <c:pt idx="9">
                  <c:v>180</c:v>
                </c:pt>
                <c:pt idx="10">
                  <c:v>192.92</c:v>
                </c:pt>
              </c:numCache>
            </c:numRef>
          </c:xVal>
          <c:yVal>
            <c:numRef>
              <c:f>'Vn-diagram Example'!$V$6:$V$16</c:f>
              <c:numCache>
                <c:formatCode>0.00</c:formatCode>
                <c:ptCount val="11"/>
                <c:pt idx="0">
                  <c:v>0</c:v>
                </c:pt>
                <c:pt idx="1">
                  <c:v>2.2050548240827014E-2</c:v>
                </c:pt>
                <c:pt idx="2">
                  <c:v>8.8447646458340426E-2</c:v>
                </c:pt>
                <c:pt idx="3">
                  <c:v>0.20041791004476642</c:v>
                </c:pt>
                <c:pt idx="4">
                  <c:v>0.35756008199389155</c:v>
                </c:pt>
                <c:pt idx="5">
                  <c:v>0.5574642237987516</c:v>
                </c:pt>
                <c:pt idx="6">
                  <c:v>0.79715423049821166</c:v>
                </c:pt>
                <c:pt idx="7">
                  <c:v>1.1183284087232714</c:v>
                </c:pt>
                <c:pt idx="8">
                  <c:v>1.3906240215437504</c:v>
                </c:pt>
                <c:pt idx="9">
                  <c:v>1.7469443301382064</c:v>
                </c:pt>
                <c:pt idx="10">
                  <c:v>2.0000763203915506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D1-4BFC-B8D0-145F65898CBA}"/>
            </c:ext>
          </c:extLst>
        </c:ser>
        <c:ser>
          <c:idx val="14"/>
          <c:order val="14"/>
          <c:tx>
            <c:v>n+_vc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Example'!$D$6:$D$26</c:f>
              <c:numCache>
                <c:formatCode>0.00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  <c:pt idx="8">
                  <c:v>160</c:v>
                </c:pt>
                <c:pt idx="9">
                  <c:v>180</c:v>
                </c:pt>
                <c:pt idx="10">
                  <c:v>192.92</c:v>
                </c:pt>
                <c:pt idx="11">
                  <c:v>226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325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'Vn-diagram Example'!$P$6:$P$26</c:f>
              <c:numCache>
                <c:formatCode>0.00</c:formatCode>
                <c:ptCount val="21"/>
                <c:pt idx="0">
                  <c:v>1</c:v>
                </c:pt>
                <c:pt idx="1">
                  <c:v>1.0592967812932639</c:v>
                </c:pt>
                <c:pt idx="2">
                  <c:v>1.1192574978987131</c:v>
                </c:pt>
                <c:pt idx="3">
                  <c:v>1.179481664341328</c:v>
                </c:pt>
                <c:pt idx="4">
                  <c:v>1.2396918851569734</c:v>
                </c:pt>
                <c:pt idx="5">
                  <c:v>1.2997325440665597</c:v>
                </c:pt>
                <c:pt idx="6">
                  <c:v>1.359569324218088</c:v>
                </c:pt>
                <c:pt idx="7">
                  <c:v>1.4279800391547399</c:v>
                </c:pt>
                <c:pt idx="8">
                  <c:v>1.4791007030428203</c:v>
                </c:pt>
                <c:pt idx="9">
                  <c:v>1.5393337142363523</c:v>
                </c:pt>
                <c:pt idx="10">
                  <c:v>1.5786747923507198</c:v>
                </c:pt>
                <c:pt idx="11">
                  <c:v>1.6821330496239617</c:v>
                </c:pt>
                <c:pt idx="12">
                  <c:v>1.727666068680463</c:v>
                </c:pt>
                <c:pt idx="13">
                  <c:v>1.79527556802621</c:v>
                </c:pt>
                <c:pt idx="14">
                  <c:v>1.8667236581448772</c:v>
                </c:pt>
                <c:pt idx="15">
                  <c:v>1.9430175310754119</c:v>
                </c:pt>
                <c:pt idx="16">
                  <c:v>2.0468775484113779</c:v>
                </c:pt>
                <c:pt idx="17">
                  <c:v>2.1146066399132586</c:v>
                </c:pt>
                <c:pt idx="18">
                  <c:v>2.2123124476308824</c:v>
                </c:pt>
                <c:pt idx="19">
                  <c:v>2.3196538257513319</c:v>
                </c:pt>
                <c:pt idx="20">
                  <c:v>2.4379403549415555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24-43F3-8692-367332EC5D94}"/>
            </c:ext>
          </c:extLst>
        </c:ser>
        <c:ser>
          <c:idx val="15"/>
          <c:order val="15"/>
          <c:tx>
            <c:v>n-_vc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Example'!$D$6:$D$26</c:f>
              <c:numCache>
                <c:formatCode>0.00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  <c:pt idx="8">
                  <c:v>160</c:v>
                </c:pt>
                <c:pt idx="9">
                  <c:v>180</c:v>
                </c:pt>
                <c:pt idx="10">
                  <c:v>192.92</c:v>
                </c:pt>
                <c:pt idx="11">
                  <c:v>226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325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'Vn-diagram Example'!$Q$6:$Q$26</c:f>
              <c:numCache>
                <c:formatCode>0.00</c:formatCode>
                <c:ptCount val="21"/>
                <c:pt idx="0">
                  <c:v>1</c:v>
                </c:pt>
                <c:pt idx="1">
                  <c:v>0.94070321870673612</c:v>
                </c:pt>
                <c:pt idx="2">
                  <c:v>0.88074250210128691</c:v>
                </c:pt>
                <c:pt idx="3">
                  <c:v>0.82051833565867205</c:v>
                </c:pt>
                <c:pt idx="4">
                  <c:v>0.76030811484302652</c:v>
                </c:pt>
                <c:pt idx="5">
                  <c:v>0.70026745593344031</c:v>
                </c:pt>
                <c:pt idx="6">
                  <c:v>0.64043067578191204</c:v>
                </c:pt>
                <c:pt idx="7">
                  <c:v>0.57201996084526008</c:v>
                </c:pt>
                <c:pt idx="8">
                  <c:v>0.52089929695717974</c:v>
                </c:pt>
                <c:pt idx="9">
                  <c:v>0.46066628576364754</c:v>
                </c:pt>
                <c:pt idx="10">
                  <c:v>0.42132520764928016</c:v>
                </c:pt>
                <c:pt idx="11">
                  <c:v>0.3178669503760384</c:v>
                </c:pt>
                <c:pt idx="12">
                  <c:v>0.27233393131953698</c:v>
                </c:pt>
                <c:pt idx="13">
                  <c:v>0.20472443197378998</c:v>
                </c:pt>
                <c:pt idx="14">
                  <c:v>0.13327634185512294</c:v>
                </c:pt>
                <c:pt idx="15">
                  <c:v>5.6982468924588026E-2</c:v>
                </c:pt>
                <c:pt idx="16">
                  <c:v>-4.6877548411378145E-2</c:v>
                </c:pt>
                <c:pt idx="17">
                  <c:v>-0.11460663991325837</c:v>
                </c:pt>
                <c:pt idx="18">
                  <c:v>-0.2123124476308822</c:v>
                </c:pt>
                <c:pt idx="19">
                  <c:v>-0.31965382575133172</c:v>
                </c:pt>
                <c:pt idx="20">
                  <c:v>-0.4379403549415557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24-43F3-8692-367332EC5D94}"/>
            </c:ext>
          </c:extLst>
        </c:ser>
        <c:ser>
          <c:idx val="16"/>
          <c:order val="16"/>
          <c:tx>
            <c:v>n+_vc picada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Example'!$D$6:$D$22</c:f>
              <c:numCache>
                <c:formatCode>0.00</c:formatCode>
                <c:ptCount val="1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  <c:pt idx="8">
                  <c:v>160</c:v>
                </c:pt>
                <c:pt idx="9">
                  <c:v>180</c:v>
                </c:pt>
                <c:pt idx="10">
                  <c:v>192.92</c:v>
                </c:pt>
                <c:pt idx="11">
                  <c:v>226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325</c:v>
                </c:pt>
              </c:numCache>
            </c:numRef>
          </c:xVal>
          <c:yVal>
            <c:numRef>
              <c:f>'Vn-diagram Example'!$R$6:$R$22</c:f>
              <c:numCache>
                <c:formatCode>0.00</c:formatCode>
                <c:ptCount val="17"/>
                <c:pt idx="0">
                  <c:v>1</c:v>
                </c:pt>
                <c:pt idx="1">
                  <c:v>1.0296483906466318</c:v>
                </c:pt>
                <c:pt idx="2">
                  <c:v>1.0596287489493565</c:v>
                </c:pt>
                <c:pt idx="3">
                  <c:v>1.0897408321706639</c:v>
                </c:pt>
                <c:pt idx="4">
                  <c:v>1.1198459425784868</c:v>
                </c:pt>
                <c:pt idx="5">
                  <c:v>1.14986627203328</c:v>
                </c:pt>
                <c:pt idx="6">
                  <c:v>1.179784662109044</c:v>
                </c:pt>
                <c:pt idx="7">
                  <c:v>1.2139900195773698</c:v>
                </c:pt>
                <c:pt idx="8">
                  <c:v>1.2395503515214101</c:v>
                </c:pt>
                <c:pt idx="9">
                  <c:v>1.2696668571181762</c:v>
                </c:pt>
                <c:pt idx="10">
                  <c:v>1.2893373961753598</c:v>
                </c:pt>
                <c:pt idx="11">
                  <c:v>1.3410665248119809</c:v>
                </c:pt>
                <c:pt idx="12">
                  <c:v>1.3638330343402316</c:v>
                </c:pt>
                <c:pt idx="13">
                  <c:v>1.3976377840131051</c:v>
                </c:pt>
                <c:pt idx="14">
                  <c:v>1.4333618290724386</c:v>
                </c:pt>
                <c:pt idx="15">
                  <c:v>1.4715087655377059</c:v>
                </c:pt>
                <c:pt idx="16">
                  <c:v>1.523438774205689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24-43F3-8692-367332EC5D94}"/>
            </c:ext>
          </c:extLst>
        </c:ser>
        <c:ser>
          <c:idx val="17"/>
          <c:order val="17"/>
          <c:tx>
            <c:v>n-_vc picada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'Vn-diagram Example'!$D$6:$D$22</c:f>
              <c:numCache>
                <c:formatCode>0.00</c:formatCode>
                <c:ptCount val="1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142.9101466772392</c:v>
                </c:pt>
                <c:pt idx="8">
                  <c:v>160</c:v>
                </c:pt>
                <c:pt idx="9">
                  <c:v>180</c:v>
                </c:pt>
                <c:pt idx="10">
                  <c:v>192.92</c:v>
                </c:pt>
                <c:pt idx="11">
                  <c:v>226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325</c:v>
                </c:pt>
              </c:numCache>
            </c:numRef>
          </c:xVal>
          <c:yVal>
            <c:numRef>
              <c:f>'Vn-diagram Example'!$S$6:$S$26</c:f>
              <c:numCache>
                <c:formatCode>0.00</c:formatCode>
                <c:ptCount val="21"/>
                <c:pt idx="0">
                  <c:v>1</c:v>
                </c:pt>
                <c:pt idx="1">
                  <c:v>0.97035160935336806</c:v>
                </c:pt>
                <c:pt idx="2">
                  <c:v>0.94037125105064345</c:v>
                </c:pt>
                <c:pt idx="3">
                  <c:v>0.91025916782933602</c:v>
                </c:pt>
                <c:pt idx="4">
                  <c:v>0.88015405742151331</c:v>
                </c:pt>
                <c:pt idx="5">
                  <c:v>0.85013372796672015</c:v>
                </c:pt>
                <c:pt idx="6">
                  <c:v>0.82021533789095602</c:v>
                </c:pt>
                <c:pt idx="7">
                  <c:v>0.78600998042263004</c:v>
                </c:pt>
                <c:pt idx="8">
                  <c:v>0.76044964847858987</c:v>
                </c:pt>
                <c:pt idx="9">
                  <c:v>0.73033314288182383</c:v>
                </c:pt>
                <c:pt idx="10">
                  <c:v>0.71066260382464008</c:v>
                </c:pt>
                <c:pt idx="11">
                  <c:v>0.65893347518801915</c:v>
                </c:pt>
                <c:pt idx="12">
                  <c:v>0.63616696565976849</c:v>
                </c:pt>
                <c:pt idx="13">
                  <c:v>0.60236221598689499</c:v>
                </c:pt>
                <c:pt idx="14">
                  <c:v>0.56663817092756141</c:v>
                </c:pt>
                <c:pt idx="15">
                  <c:v>0.52849123446229407</c:v>
                </c:pt>
                <c:pt idx="16">
                  <c:v>0.47656122579431093</c:v>
                </c:pt>
                <c:pt idx="17">
                  <c:v>0.44269668004337082</c:v>
                </c:pt>
                <c:pt idx="18">
                  <c:v>0.3938437761845589</c:v>
                </c:pt>
                <c:pt idx="19">
                  <c:v>0.34017308712433414</c:v>
                </c:pt>
                <c:pt idx="20">
                  <c:v>0.28102982252922215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24-43F3-8692-367332EC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531263"/>
        <c:axId val="1567515903"/>
      </c:scatterChart>
      <c:valAx>
        <c:axId val="156753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7515903"/>
        <c:crosses val="autoZero"/>
        <c:crossBetween val="midCat"/>
      </c:valAx>
      <c:valAx>
        <c:axId val="156751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753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688367</xdr:colOff>
      <xdr:row>27</xdr:row>
      <xdr:rowOff>88756</xdr:rowOff>
    </xdr:from>
    <xdr:to>
      <xdr:col>15</xdr:col>
      <xdr:colOff>414617</xdr:colOff>
      <xdr:row>45</xdr:row>
      <xdr:rowOff>168088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0B4DDE-9BA3-BA6E-2C0C-2F562B6B2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112059</xdr:colOff>
      <xdr:row>40</xdr:row>
      <xdr:rowOff>11206</xdr:rowOff>
    </xdr:from>
    <xdr:to>
      <xdr:col>6</xdr:col>
      <xdr:colOff>560294</xdr:colOff>
      <xdr:row>52</xdr:row>
      <xdr:rowOff>11206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927853-03BD-AAEC-0DCC-4A6B344E0B01}"/>
            </a:ext>
          </a:extLst>
        </xdr:cNvPr>
        <xdr:cNvSpPr txBox="1"/>
      </xdr:nvSpPr>
      <xdr:spPr>
        <a:xfrm>
          <a:off x="6163235" y="9973235"/>
          <a:ext cx="3070412" cy="2891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Peso limita FAR</a:t>
          </a:r>
        </a:p>
        <a:p>
          <a:r>
            <a:rPr lang="es-CO" sz="1100"/>
            <a:t>Pasajeros limita nivel de FAR</a:t>
          </a:r>
          <a:r>
            <a:rPr lang="es-CO" sz="1100" baseline="0"/>
            <a:t> 23</a:t>
          </a:r>
        </a:p>
        <a:p>
          <a:endParaRPr lang="es-CO" sz="1100" baseline="0"/>
        </a:p>
        <a:p>
          <a:r>
            <a:rPr lang="es-CO" sz="1100" baseline="0"/>
            <a:t>Suponemos que beta y k valen 1.</a:t>
          </a:r>
        </a:p>
        <a:p>
          <a:endParaRPr lang="es-CO" sz="1100" baseline="0"/>
        </a:p>
        <a:p>
          <a:r>
            <a:rPr lang="es-CO" sz="1100" baseline="0"/>
            <a:t>Taper ratio es 0,4 pero no hay grafica para eso </a:t>
          </a:r>
        </a:p>
        <a:p>
          <a:endParaRPr lang="es-CO" sz="1100" baseline="0"/>
        </a:p>
        <a:p>
          <a:r>
            <a:rPr lang="es-CO" sz="1100" baseline="0"/>
            <a:t>Se hace interpolación</a:t>
          </a:r>
        </a:p>
        <a:p>
          <a:endParaRPr lang="es-CO" sz="1100"/>
        </a:p>
        <a:p>
          <a:r>
            <a:rPr lang="es-CO" sz="1100"/>
            <a:t>lamba</a:t>
          </a:r>
          <a:r>
            <a:rPr lang="es-CO" sz="1100" baseline="0"/>
            <a:t> |  Claw</a:t>
          </a:r>
        </a:p>
        <a:p>
          <a:r>
            <a:rPr lang="es-CO" sz="1100" baseline="0"/>
            <a:t>0,25    |  0,0825</a:t>
          </a:r>
        </a:p>
        <a:p>
          <a:r>
            <a:rPr lang="es-CO" sz="1100" baseline="0"/>
            <a:t>0,4      |  x</a:t>
          </a:r>
        </a:p>
        <a:p>
          <a:r>
            <a:rPr lang="es-CO" sz="1100" baseline="0"/>
            <a:t>0,5      |  0,0825</a:t>
          </a:r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Z87"/>
  <sheetViews>
    <sheetView tabSelected="1" topLeftCell="A5" zoomScale="85" zoomScaleNormal="85" workbookViewId="0">
      <selection activeCell="G17" sqref="G17"/>
    </sheetView>
  </sheetViews>
  <sheetFormatPr baseColWidth="10" defaultColWidth="11.42578125" defaultRowHeight="15" x14ac:dyDescent="0.25"/>
  <cols>
    <col min="1" max="1" width="42" customWidth="1"/>
    <col min="2" max="2" width="20.5703125" customWidth="1"/>
    <col min="4" max="4" width="16.85546875" customWidth="1"/>
    <col min="5" max="5" width="22.85546875" customWidth="1"/>
    <col min="6" max="6" width="16.42578125" customWidth="1"/>
    <col min="7" max="7" width="22.5703125" customWidth="1"/>
    <col min="8" max="8" width="12.85546875" customWidth="1"/>
    <col min="9" max="9" width="15.42578125" customWidth="1"/>
    <col min="10" max="10" width="16.42578125" style="2" customWidth="1"/>
    <col min="11" max="11" width="16.28515625" style="6" customWidth="1"/>
    <col min="12" max="12" width="18.85546875" style="1" customWidth="1"/>
    <col min="13" max="13" width="12.28515625" customWidth="1"/>
    <col min="16" max="16" width="22.7109375" customWidth="1"/>
    <col min="17" max="17" width="21.7109375" customWidth="1"/>
    <col min="18" max="19" width="22.28515625" customWidth="1"/>
    <col min="20" max="20" width="22" customWidth="1"/>
    <col min="21" max="21" width="22.5703125" customWidth="1"/>
    <col min="22" max="22" width="19.28515625" customWidth="1"/>
  </cols>
  <sheetData>
    <row r="1" spans="1:26" x14ac:dyDescent="0.25">
      <c r="A1" s="57" t="s">
        <v>51</v>
      </c>
      <c r="B1" s="57" t="s">
        <v>73</v>
      </c>
      <c r="C1" s="57"/>
    </row>
    <row r="2" spans="1:26" x14ac:dyDescent="0.25">
      <c r="A2" s="57"/>
      <c r="B2" s="57"/>
      <c r="C2" s="57"/>
    </row>
    <row r="3" spans="1:26" x14ac:dyDescent="0.25">
      <c r="A3" s="57"/>
      <c r="B3" s="57"/>
      <c r="C3" s="57"/>
    </row>
    <row r="4" spans="1:26" ht="18.75" x14ac:dyDescent="0.3">
      <c r="B4" s="58"/>
      <c r="C4" s="59"/>
      <c r="D4" s="56" t="s">
        <v>49</v>
      </c>
      <c r="E4" s="56"/>
      <c r="F4" s="56"/>
      <c r="G4" s="56"/>
      <c r="H4" s="56"/>
      <c r="I4" s="56"/>
      <c r="J4" s="56"/>
      <c r="K4" s="56"/>
      <c r="L4" s="56" t="s">
        <v>50</v>
      </c>
      <c r="M4" s="56"/>
      <c r="N4" s="56"/>
      <c r="O4" s="56"/>
      <c r="P4" s="56"/>
      <c r="Q4" s="56"/>
      <c r="R4" s="56"/>
      <c r="S4" s="56"/>
      <c r="T4" s="56"/>
      <c r="U4" s="56"/>
      <c r="V4" s="46"/>
    </row>
    <row r="5" spans="1:26" ht="52.9" customHeight="1" x14ac:dyDescent="0.3">
      <c r="A5" s="3" t="s">
        <v>57</v>
      </c>
      <c r="B5" s="60">
        <v>108000</v>
      </c>
      <c r="C5" s="60"/>
      <c r="D5" s="36" t="s">
        <v>0</v>
      </c>
      <c r="E5" s="37" t="s">
        <v>1</v>
      </c>
      <c r="F5" s="36" t="s">
        <v>2</v>
      </c>
      <c r="G5" s="36" t="s">
        <v>3</v>
      </c>
      <c r="H5" s="37" t="s">
        <v>4</v>
      </c>
      <c r="I5" s="37" t="s">
        <v>5</v>
      </c>
      <c r="J5" s="38" t="s">
        <v>63</v>
      </c>
      <c r="K5" s="39" t="s">
        <v>64</v>
      </c>
      <c r="L5" s="14" t="s">
        <v>6</v>
      </c>
      <c r="M5" s="14" t="s">
        <v>7</v>
      </c>
      <c r="N5" s="42" t="s">
        <v>65</v>
      </c>
      <c r="O5" s="15" t="s">
        <v>8</v>
      </c>
      <c r="P5" s="14" t="s">
        <v>66</v>
      </c>
      <c r="Q5" s="14" t="s">
        <v>67</v>
      </c>
      <c r="R5" s="14" t="s">
        <v>68</v>
      </c>
      <c r="S5" s="14" t="s">
        <v>69</v>
      </c>
      <c r="T5" s="14" t="s">
        <v>70</v>
      </c>
      <c r="U5" s="14" t="s">
        <v>71</v>
      </c>
      <c r="V5" s="47" t="s">
        <v>75</v>
      </c>
      <c r="W5" s="16"/>
      <c r="X5" s="4"/>
      <c r="Y5" s="4"/>
      <c r="Z5" s="4"/>
    </row>
    <row r="6" spans="1:26" ht="18.75" x14ac:dyDescent="0.3">
      <c r="A6" s="3" t="s">
        <v>9</v>
      </c>
      <c r="B6" s="60">
        <v>10000</v>
      </c>
      <c r="C6" s="60"/>
      <c r="D6" s="43">
        <v>0</v>
      </c>
      <c r="E6" s="17">
        <f>D6/$B$9</f>
        <v>0</v>
      </c>
      <c r="F6" s="17">
        <f>(D6^2)/296</f>
        <v>0</v>
      </c>
      <c r="G6" s="43">
        <f>-142.6101*E6^7+479.0665*E6^6-617.1383*E6^5+385.2554*E6^4-121.3842*E6^3+17.7945*E6^2-0.99*E6+1</f>
        <v>1</v>
      </c>
      <c r="H6" s="17">
        <f>$B$10*G6</f>
        <v>1.3</v>
      </c>
      <c r="I6" s="17">
        <f>$B$28*G6</f>
        <v>1.3</v>
      </c>
      <c r="J6" s="17">
        <f>(F6*H6)/$B$14</f>
        <v>0</v>
      </c>
      <c r="K6" s="17">
        <f>-(F6*I6)/$B$14</f>
        <v>0</v>
      </c>
      <c r="L6" s="17">
        <f>2.0581*E6^3-1.4356*E6^2+0.3169*E6+1</f>
        <v>1</v>
      </c>
      <c r="M6" s="17" cm="1">
        <f t="array" ref="M6:M26">$B$25*L6:L26</f>
        <v>5.1995919908122223</v>
      </c>
      <c r="N6" s="17">
        <f>2*$B$5/($B$26*$B$27*M6*$B$13*32.174)</f>
        <v>34.834404683874887</v>
      </c>
      <c r="O6" s="17">
        <f>0.88*N6/(5.3+N6)</f>
        <v>0.76379047760302543</v>
      </c>
      <c r="P6" s="17">
        <f>1+(O6*56*0.5925*D6*M6)/(498*$B$14)</f>
        <v>1</v>
      </c>
      <c r="Q6" s="17">
        <f>1-(O6*56*0.5925*D6*M6)/(498*$B$14)</f>
        <v>1</v>
      </c>
      <c r="R6" s="17">
        <f>1+(O6*(56/2)*0.5925*D6*M6)/(498*$B$14)</f>
        <v>1</v>
      </c>
      <c r="S6" s="17">
        <f>1-(O6*(56/2)*0.5925*D6*M6)/(498*$B$14)</f>
        <v>1</v>
      </c>
      <c r="T6" s="17"/>
      <c r="U6" s="17"/>
      <c r="V6" s="41">
        <f>((F6*H6)/$B$14*1.15)</f>
        <v>0</v>
      </c>
      <c r="W6" s="4"/>
      <c r="X6" s="4"/>
      <c r="Y6" s="4"/>
      <c r="Z6" s="4"/>
    </row>
    <row r="7" spans="1:26" ht="18.75" x14ac:dyDescent="0.3">
      <c r="A7" s="40" t="s">
        <v>10</v>
      </c>
      <c r="B7" s="64">
        <v>325</v>
      </c>
      <c r="C7" s="64"/>
      <c r="D7" s="43">
        <v>20</v>
      </c>
      <c r="E7" s="17">
        <f t="shared" ref="E7:E26" si="0">D7/$B$9</f>
        <v>3.6456434560699962E-2</v>
      </c>
      <c r="F7" s="17">
        <f t="shared" ref="F7:F26" si="1">(D7^2)/296</f>
        <v>1.3513513513513513</v>
      </c>
      <c r="G7" s="43">
        <f t="shared" ref="G7:G26" si="2">-142.6101*E7^7+479.0665*E7^6-617.1383*E7^5+385.2554*E7^4-121.3842*E7^3+17.7945*E7^2-0.99*E7+1</f>
        <v>0.98231873768500277</v>
      </c>
      <c r="H7" s="17">
        <f t="shared" ref="H7:H26" si="3">$B$10*G7</f>
        <v>1.2770143589905036</v>
      </c>
      <c r="I7" s="17">
        <f t="shared" ref="I7:I26" si="4">$B$28*G7</f>
        <v>1.2770143589905036</v>
      </c>
      <c r="J7" s="17">
        <f t="shared" ref="J7:J26" si="5">(F7*H7)/$B$14</f>
        <v>1.9174389774632188E-2</v>
      </c>
      <c r="K7" s="17">
        <f t="shared" ref="K7:K26" si="6">-(F7*I7)/$B$14</f>
        <v>-1.9174389774632188E-2</v>
      </c>
      <c r="L7" s="17">
        <f t="shared" ref="L7:L26" si="7">2.0581*E7^3-1.4356*E7^2+0.3169*E7+1</f>
        <v>1.0097447504501491</v>
      </c>
      <c r="M7" s="17">
        <v>5.2502607172052818</v>
      </c>
      <c r="N7" s="17">
        <f t="shared" ref="N7:N26" si="8">2*$B$5/($B$26*$B$27*M7*$B$13*32.174)</f>
        <v>34.498228060453435</v>
      </c>
      <c r="O7" s="17">
        <f t="shared" ref="O7:O26" si="9">0.88*N7/(5.3+N7)</f>
        <v>0.76280885287366584</v>
      </c>
      <c r="P7" s="17">
        <f t="shared" ref="P7:P26" si="10">1+(O7*56*0.5925*D7*M7)/(498*$B$14)</f>
        <v>1.0592967812932639</v>
      </c>
      <c r="Q7" s="17">
        <f t="shared" ref="Q7:Q26" si="11">1-(O7*56*0.5925*D7*M7)/(498*$B$14)</f>
        <v>0.94070321870673612</v>
      </c>
      <c r="R7" s="17">
        <f t="shared" ref="R7:R26" si="12">1+(O7*(56/2)*0.5925*D7*M7)/(498*$B$14)</f>
        <v>1.0296483906466318</v>
      </c>
      <c r="S7" s="17">
        <f t="shared" ref="S7:S26" si="13">1-(O7*(56/2)*0.5925*D7*M7)/(498*$B$14)</f>
        <v>0.97035160935336806</v>
      </c>
      <c r="T7" s="17"/>
      <c r="U7" s="17"/>
      <c r="V7" s="41">
        <f t="shared" ref="V7:V16" si="14">((F7*H7)/$B$14*1.15)</f>
        <v>2.2050548240827014E-2</v>
      </c>
      <c r="W7" s="4"/>
      <c r="X7" s="4"/>
      <c r="Y7" s="4"/>
      <c r="Z7" s="4"/>
    </row>
    <row r="8" spans="1:26" ht="18.75" x14ac:dyDescent="0.3">
      <c r="A8" s="3" t="s">
        <v>11</v>
      </c>
      <c r="B8" s="60">
        <v>400</v>
      </c>
      <c r="C8" s="60"/>
      <c r="D8" s="43">
        <v>40</v>
      </c>
      <c r="E8" s="17">
        <f t="shared" si="0"/>
        <v>7.2912869121399923E-2</v>
      </c>
      <c r="F8" s="17">
        <f t="shared" si="1"/>
        <v>5.4054054054054053</v>
      </c>
      <c r="G8" s="43">
        <f t="shared" si="2"/>
        <v>0.98505238363302217</v>
      </c>
      <c r="H8" s="17">
        <f t="shared" si="3"/>
        <v>1.2805680987229289</v>
      </c>
      <c r="I8" s="17">
        <f t="shared" si="4"/>
        <v>1.2805680987229289</v>
      </c>
      <c r="J8" s="17">
        <f t="shared" si="5"/>
        <v>7.6910996920296029E-2</v>
      </c>
      <c r="K8" s="17">
        <f t="shared" si="6"/>
        <v>-7.6910996920296029E-2</v>
      </c>
      <c r="L8" s="17">
        <f t="shared" si="7"/>
        <v>1.0162717998032109</v>
      </c>
      <c r="M8" s="17">
        <v>5.2841987107450974</v>
      </c>
      <c r="N8" s="17">
        <f t="shared" si="8"/>
        <v>34.276661706661699</v>
      </c>
      <c r="O8" s="17">
        <f t="shared" si="9"/>
        <v>0.76215276885733563</v>
      </c>
      <c r="P8" s="17">
        <f t="shared" si="10"/>
        <v>1.1192574978987131</v>
      </c>
      <c r="Q8" s="17">
        <f t="shared" si="11"/>
        <v>0.88074250210128691</v>
      </c>
      <c r="R8" s="17">
        <f t="shared" si="12"/>
        <v>1.0596287489493565</v>
      </c>
      <c r="S8" s="17">
        <f t="shared" si="13"/>
        <v>0.94037125105064345</v>
      </c>
      <c r="T8" s="17"/>
      <c r="U8" s="17"/>
      <c r="V8" s="41">
        <f t="shared" si="14"/>
        <v>8.8447646458340426E-2</v>
      </c>
      <c r="W8" s="4"/>
      <c r="X8" s="4"/>
      <c r="Y8" s="4"/>
      <c r="Z8" s="4"/>
    </row>
    <row r="9" spans="1:26" ht="18.75" x14ac:dyDescent="0.3">
      <c r="A9" s="3" t="s">
        <v>52</v>
      </c>
      <c r="B9" s="60">
        <v>548.6</v>
      </c>
      <c r="C9" s="60"/>
      <c r="D9" s="43">
        <v>60</v>
      </c>
      <c r="E9" s="17">
        <f t="shared" si="0"/>
        <v>0.10936930368209989</v>
      </c>
      <c r="F9" s="17">
        <f t="shared" si="1"/>
        <v>12.162162162162161</v>
      </c>
      <c r="G9" s="43">
        <f t="shared" si="2"/>
        <v>0.99203514002091764</v>
      </c>
      <c r="H9" s="17">
        <f t="shared" si="3"/>
        <v>1.2896456820271929</v>
      </c>
      <c r="I9" s="17">
        <f t="shared" si="4"/>
        <v>1.2896456820271929</v>
      </c>
      <c r="J9" s="17">
        <f t="shared" si="5"/>
        <v>0.17427644351718821</v>
      </c>
      <c r="K9" s="17">
        <f t="shared" si="6"/>
        <v>-0.17427644351718821</v>
      </c>
      <c r="L9" s="17">
        <f t="shared" si="7"/>
        <v>1.0201794773999653</v>
      </c>
      <c r="M9" s="17">
        <v>5.3045170398798582</v>
      </c>
      <c r="N9" s="17">
        <f t="shared" si="8"/>
        <v>34.145368982185403</v>
      </c>
      <c r="O9" s="17">
        <f t="shared" si="9"/>
        <v>0.76176051789231869</v>
      </c>
      <c r="P9" s="17">
        <f t="shared" si="10"/>
        <v>1.179481664341328</v>
      </c>
      <c r="Q9" s="17">
        <f t="shared" si="11"/>
        <v>0.82051833565867205</v>
      </c>
      <c r="R9" s="17">
        <f t="shared" si="12"/>
        <v>1.0897408321706639</v>
      </c>
      <c r="S9" s="17">
        <f t="shared" si="13"/>
        <v>0.91025916782933602</v>
      </c>
      <c r="T9" s="17"/>
      <c r="U9" s="17"/>
      <c r="V9" s="41">
        <f t="shared" si="14"/>
        <v>0.20041791004476642</v>
      </c>
      <c r="W9" s="4"/>
      <c r="X9" s="4"/>
      <c r="Y9" s="4"/>
      <c r="Z9" s="4"/>
    </row>
    <row r="10" spans="1:26" ht="18.75" x14ac:dyDescent="0.3">
      <c r="A10" s="40" t="s">
        <v>12</v>
      </c>
      <c r="B10" s="64">
        <v>1.3</v>
      </c>
      <c r="C10" s="64"/>
      <c r="D10" s="43">
        <v>80</v>
      </c>
      <c r="E10" s="17">
        <f t="shared" si="0"/>
        <v>0.14582573824279985</v>
      </c>
      <c r="F10" s="17">
        <f t="shared" si="1"/>
        <v>21.621621621621621</v>
      </c>
      <c r="G10" s="43">
        <f t="shared" si="2"/>
        <v>0.99554771993282509</v>
      </c>
      <c r="H10" s="17">
        <f t="shared" si="3"/>
        <v>1.2942120359126728</v>
      </c>
      <c r="I10" s="17">
        <f t="shared" si="4"/>
        <v>1.2942120359126728</v>
      </c>
      <c r="J10" s="17">
        <f t="shared" si="5"/>
        <v>0.31092181042947092</v>
      </c>
      <c r="K10" s="17">
        <f t="shared" si="6"/>
        <v>-0.31092181042947092</v>
      </c>
      <c r="L10" s="17">
        <f t="shared" si="7"/>
        <v>1.0220661125811914</v>
      </c>
      <c r="M10" s="17">
        <v>5.3143267730577461</v>
      </c>
      <c r="N10" s="17">
        <f t="shared" si="8"/>
        <v>34.082339933863807</v>
      </c>
      <c r="O10" s="17">
        <f t="shared" si="9"/>
        <v>0.76157128276703667</v>
      </c>
      <c r="P10" s="17">
        <f t="shared" si="10"/>
        <v>1.2396918851569734</v>
      </c>
      <c r="Q10" s="17">
        <f t="shared" si="11"/>
        <v>0.76030811484302652</v>
      </c>
      <c r="R10" s="17">
        <f t="shared" si="12"/>
        <v>1.1198459425784868</v>
      </c>
      <c r="S10" s="17">
        <f t="shared" si="13"/>
        <v>0.88015405742151331</v>
      </c>
      <c r="T10" s="17"/>
      <c r="U10" s="17"/>
      <c r="V10" s="41">
        <f t="shared" si="14"/>
        <v>0.35756008199389155</v>
      </c>
      <c r="W10" s="4"/>
      <c r="X10" s="4"/>
      <c r="Y10" s="4"/>
      <c r="Z10" s="4"/>
    </row>
    <row r="11" spans="1:26" ht="18.75" x14ac:dyDescent="0.3">
      <c r="A11" s="3" t="s">
        <v>53</v>
      </c>
      <c r="B11" s="65">
        <v>32.173999999999999</v>
      </c>
      <c r="C11" s="65"/>
      <c r="D11" s="43">
        <v>100</v>
      </c>
      <c r="E11" s="17">
        <f t="shared" si="0"/>
        <v>0.18228217280349981</v>
      </c>
      <c r="F11" s="17">
        <f t="shared" si="1"/>
        <v>33.783783783783782</v>
      </c>
      <c r="G11" s="43">
        <f t="shared" si="2"/>
        <v>0.99336768709021706</v>
      </c>
      <c r="H11" s="17">
        <f t="shared" si="3"/>
        <v>1.2913779932172822</v>
      </c>
      <c r="I11" s="17">
        <f t="shared" si="4"/>
        <v>1.2913779932172822</v>
      </c>
      <c r="J11" s="17">
        <f t="shared" si="5"/>
        <v>0.48475149895543623</v>
      </c>
      <c r="K11" s="17">
        <f t="shared" si="6"/>
        <v>-0.48475149895543623</v>
      </c>
      <c r="L11" s="17">
        <f t="shared" si="7"/>
        <v>1.0225300346876689</v>
      </c>
      <c r="M11" s="17">
        <v>5.3167389787269475</v>
      </c>
      <c r="N11" s="17">
        <f t="shared" si="8"/>
        <v>34.066876768578268</v>
      </c>
      <c r="O11" s="17">
        <f t="shared" si="9"/>
        <v>0.7615247643998343</v>
      </c>
      <c r="P11" s="17">
        <f t="shared" si="10"/>
        <v>1.2997325440665597</v>
      </c>
      <c r="Q11" s="17">
        <f t="shared" si="11"/>
        <v>0.70026745593344031</v>
      </c>
      <c r="R11" s="17">
        <f t="shared" si="12"/>
        <v>1.14986627203328</v>
      </c>
      <c r="S11" s="17">
        <f t="shared" si="13"/>
        <v>0.85013372796672015</v>
      </c>
      <c r="T11" s="17"/>
      <c r="U11" s="17"/>
      <c r="V11" s="41">
        <f t="shared" si="14"/>
        <v>0.5574642237987516</v>
      </c>
      <c r="W11" s="4"/>
      <c r="X11" s="4"/>
      <c r="Y11" s="4"/>
      <c r="Z11" s="4"/>
    </row>
    <row r="12" spans="1:26" ht="18.75" x14ac:dyDescent="0.3">
      <c r="A12" s="3" t="s">
        <v>13</v>
      </c>
      <c r="B12" s="60">
        <v>98</v>
      </c>
      <c r="C12" s="60"/>
      <c r="D12" s="43">
        <v>120</v>
      </c>
      <c r="E12" s="17">
        <f t="shared" si="0"/>
        <v>0.21873860736419978</v>
      </c>
      <c r="F12" s="17">
        <f t="shared" si="1"/>
        <v>48.648648648648646</v>
      </c>
      <c r="G12" s="43">
        <f t="shared" si="2"/>
        <v>0.98644503439578046</v>
      </c>
      <c r="H12" s="17">
        <f t="shared" si="3"/>
        <v>1.2823785447145146</v>
      </c>
      <c r="I12" s="17">
        <f t="shared" si="4"/>
        <v>1.2823785447145146</v>
      </c>
      <c r="J12" s="17">
        <f t="shared" si="5"/>
        <v>0.69317759173757543</v>
      </c>
      <c r="K12" s="17">
        <f t="shared" si="6"/>
        <v>-0.69317759173757543</v>
      </c>
      <c r="L12" s="17">
        <f t="shared" si="7"/>
        <v>1.0221695730601772</v>
      </c>
      <c r="M12" s="17">
        <v>5.3148647253356458</v>
      </c>
      <c r="N12" s="17">
        <f t="shared" si="8"/>
        <v>34.078890236956909</v>
      </c>
      <c r="O12" s="17">
        <f t="shared" si="9"/>
        <v>0.76156090809225352</v>
      </c>
      <c r="P12" s="17">
        <f t="shared" si="10"/>
        <v>1.359569324218088</v>
      </c>
      <c r="Q12" s="17">
        <f t="shared" si="11"/>
        <v>0.64043067578191204</v>
      </c>
      <c r="R12" s="17">
        <f t="shared" si="12"/>
        <v>1.179784662109044</v>
      </c>
      <c r="S12" s="17">
        <f t="shared" si="13"/>
        <v>0.82021533789095602</v>
      </c>
      <c r="T12" s="17"/>
      <c r="U12" s="17"/>
      <c r="V12" s="41">
        <f t="shared" si="14"/>
        <v>0.79715423049821166</v>
      </c>
      <c r="W12" s="4"/>
      <c r="X12" s="4"/>
      <c r="Y12" s="4"/>
      <c r="Z12" s="4"/>
    </row>
    <row r="13" spans="1:26" ht="18.75" x14ac:dyDescent="0.3">
      <c r="A13" s="3" t="s">
        <v>14</v>
      </c>
      <c r="B13" s="60">
        <v>1200</v>
      </c>
      <c r="C13" s="60"/>
      <c r="D13" s="50">
        <f>D31</f>
        <v>142.9101466772392</v>
      </c>
      <c r="E13" s="17">
        <f t="shared" si="0"/>
        <v>0.26049972051994019</v>
      </c>
      <c r="F13" s="17">
        <f t="shared" si="1"/>
        <v>68.997668997668995</v>
      </c>
      <c r="G13" s="43">
        <f t="shared" si="2"/>
        <v>0.97574482194715517</v>
      </c>
      <c r="H13" s="17">
        <f t="shared" si="3"/>
        <v>1.2684682685313018</v>
      </c>
      <c r="I13" s="17">
        <f t="shared" si="4"/>
        <v>1.2684682685313018</v>
      </c>
      <c r="J13" s="17">
        <v>1</v>
      </c>
      <c r="K13" s="17">
        <f t="shared" si="6"/>
        <v>-0.97245948584632302</v>
      </c>
      <c r="L13" s="17">
        <f t="shared" si="7"/>
        <v>1.0215145369967629</v>
      </c>
      <c r="M13" s="17">
        <v>5.311458805066624</v>
      </c>
      <c r="N13" s="17">
        <f t="shared" si="8"/>
        <v>34.100742987258407</v>
      </c>
      <c r="O13" s="17">
        <f t="shared" si="9"/>
        <v>0.76162659771395014</v>
      </c>
      <c r="P13" s="17">
        <f t="shared" si="10"/>
        <v>1.4279800391547399</v>
      </c>
      <c r="Q13" s="17">
        <f t="shared" si="11"/>
        <v>0.57201996084526008</v>
      </c>
      <c r="R13" s="17">
        <f t="shared" si="12"/>
        <v>1.2139900195773698</v>
      </c>
      <c r="S13" s="17">
        <f t="shared" si="13"/>
        <v>0.78600998042263004</v>
      </c>
      <c r="T13" s="17"/>
      <c r="U13" s="17"/>
      <c r="V13" s="41">
        <f t="shared" si="14"/>
        <v>1.1183284087232714</v>
      </c>
      <c r="W13" s="4"/>
      <c r="X13" s="4"/>
      <c r="Y13" s="4"/>
      <c r="Z13" s="4"/>
    </row>
    <row r="14" spans="1:26" ht="18.75" x14ac:dyDescent="0.3">
      <c r="A14" s="3" t="s">
        <v>15</v>
      </c>
      <c r="B14" s="66">
        <f>B5/B13</f>
        <v>90</v>
      </c>
      <c r="C14" s="67"/>
      <c r="D14" s="43">
        <v>160</v>
      </c>
      <c r="E14" s="17">
        <f t="shared" si="0"/>
        <v>0.29165147648559969</v>
      </c>
      <c r="F14" s="17">
        <f t="shared" si="1"/>
        <v>86.486486486486484</v>
      </c>
      <c r="G14" s="43">
        <f t="shared" si="2"/>
        <v>0.96797198824011055</v>
      </c>
      <c r="H14" s="17">
        <f t="shared" si="3"/>
        <v>1.2583635847121437</v>
      </c>
      <c r="I14" s="17">
        <f t="shared" si="4"/>
        <v>1.2583635847121437</v>
      </c>
      <c r="J14" s="17">
        <f t="shared" si="5"/>
        <v>1.2092382796032612</v>
      </c>
      <c r="K14" s="17">
        <f t="shared" si="6"/>
        <v>-1.2092382796032612</v>
      </c>
      <c r="L14" s="17">
        <f t="shared" si="7"/>
        <v>1.0213688159664043</v>
      </c>
      <c r="M14" s="17">
        <v>5.310701115164278</v>
      </c>
      <c r="N14" s="17">
        <f t="shared" si="8"/>
        <v>34.105608218432913</v>
      </c>
      <c r="O14" s="17">
        <f t="shared" si="9"/>
        <v>0.76164121273940144</v>
      </c>
      <c r="P14" s="17">
        <f t="shared" si="10"/>
        <v>1.4791007030428203</v>
      </c>
      <c r="Q14" s="17">
        <f t="shared" si="11"/>
        <v>0.52089929695717974</v>
      </c>
      <c r="R14" s="17">
        <f t="shared" si="12"/>
        <v>1.2395503515214101</v>
      </c>
      <c r="S14" s="17">
        <f t="shared" si="13"/>
        <v>0.76044964847858987</v>
      </c>
      <c r="T14" s="17"/>
      <c r="U14" s="17"/>
      <c r="V14" s="41">
        <f t="shared" si="14"/>
        <v>1.3906240215437504</v>
      </c>
      <c r="W14" s="4"/>
      <c r="X14" s="4"/>
      <c r="Y14" s="4"/>
      <c r="Z14" s="4"/>
    </row>
    <row r="15" spans="1:26" ht="18.75" x14ac:dyDescent="0.3">
      <c r="A15" s="3" t="s">
        <v>16</v>
      </c>
      <c r="B15" s="68">
        <v>2.5</v>
      </c>
      <c r="C15" s="69"/>
      <c r="D15" s="43">
        <v>180</v>
      </c>
      <c r="E15" s="17">
        <f t="shared" si="0"/>
        <v>0.32810791104629966</v>
      </c>
      <c r="F15" s="17">
        <f t="shared" si="1"/>
        <v>109.45945945945945</v>
      </c>
      <c r="G15" s="43">
        <f t="shared" si="2"/>
        <v>0.96078692255835962</v>
      </c>
      <c r="H15" s="17">
        <f t="shared" si="3"/>
        <v>1.2490229993258675</v>
      </c>
      <c r="I15" s="17">
        <f t="shared" si="4"/>
        <v>1.2490229993258675</v>
      </c>
      <c r="J15" s="17">
        <f t="shared" si="5"/>
        <v>1.5190820262071361</v>
      </c>
      <c r="K15" s="17">
        <f t="shared" si="6"/>
        <v>-1.5190820262071361</v>
      </c>
      <c r="L15" s="17">
        <f t="shared" si="7"/>
        <v>1.0221251791816821</v>
      </c>
      <c r="M15" s="17">
        <v>5.3146338952805818</v>
      </c>
      <c r="N15" s="17">
        <f t="shared" si="8"/>
        <v>34.08037038258216</v>
      </c>
      <c r="O15" s="17">
        <f t="shared" si="9"/>
        <v>0.76156535972899653</v>
      </c>
      <c r="P15" s="17">
        <f t="shared" si="10"/>
        <v>1.5393337142363523</v>
      </c>
      <c r="Q15" s="17">
        <f t="shared" si="11"/>
        <v>0.46066628576364754</v>
      </c>
      <c r="R15" s="17">
        <f t="shared" si="12"/>
        <v>1.2696668571181762</v>
      </c>
      <c r="S15" s="17">
        <f t="shared" si="13"/>
        <v>0.73033314288182383</v>
      </c>
      <c r="T15" s="17"/>
      <c r="U15" s="17"/>
      <c r="V15" s="41">
        <f t="shared" si="14"/>
        <v>1.7469443301382064</v>
      </c>
      <c r="W15" s="4"/>
      <c r="X15" s="4"/>
      <c r="Y15" s="4"/>
      <c r="Z15" s="4"/>
    </row>
    <row r="16" spans="1:26" ht="18.75" x14ac:dyDescent="0.3">
      <c r="A16" s="3" t="s">
        <v>17</v>
      </c>
      <c r="B16" s="68">
        <v>-1</v>
      </c>
      <c r="C16" s="69"/>
      <c r="D16" s="48">
        <v>192.92</v>
      </c>
      <c r="E16" s="17">
        <f t="shared" si="0"/>
        <v>0.35165876777251182</v>
      </c>
      <c r="F16" s="17">
        <f t="shared" si="1"/>
        <v>125.73691351351349</v>
      </c>
      <c r="G16" s="43">
        <f t="shared" si="2"/>
        <v>0.95760209923017847</v>
      </c>
      <c r="H16" s="17">
        <f t="shared" si="3"/>
        <v>1.2448827289992321</v>
      </c>
      <c r="I16" s="17">
        <f t="shared" si="4"/>
        <v>1.2448827289992321</v>
      </c>
      <c r="J16" s="17">
        <f t="shared" si="5"/>
        <v>1.739196800340479</v>
      </c>
      <c r="K16" s="17">
        <f t="shared" si="6"/>
        <v>-1.739196800340479</v>
      </c>
      <c r="L16" s="17">
        <f t="shared" si="7"/>
        <v>1.0234103893576396</v>
      </c>
      <c r="M16" s="17">
        <v>5.3213164638180013</v>
      </c>
      <c r="N16" s="17">
        <f t="shared" si="8"/>
        <v>34.037571873526971</v>
      </c>
      <c r="O16" s="17">
        <f t="shared" si="9"/>
        <v>0.76143650515606098</v>
      </c>
      <c r="P16" s="17">
        <f t="shared" si="10"/>
        <v>1.5786747923507198</v>
      </c>
      <c r="Q16" s="17">
        <f t="shared" si="11"/>
        <v>0.42132520764928016</v>
      </c>
      <c r="R16" s="17">
        <f t="shared" si="12"/>
        <v>1.2893373961753598</v>
      </c>
      <c r="S16" s="17">
        <f t="shared" si="13"/>
        <v>0.71066260382464008</v>
      </c>
      <c r="T16" s="17"/>
      <c r="U16" s="17"/>
      <c r="V16" s="49">
        <f t="shared" si="14"/>
        <v>2.0000763203915506</v>
      </c>
      <c r="W16" s="4"/>
      <c r="X16" s="4"/>
      <c r="Y16" s="4"/>
      <c r="Z16" s="4"/>
    </row>
    <row r="17" spans="1:26" ht="18.75" x14ac:dyDescent="0.3">
      <c r="A17" s="3" t="s">
        <v>18</v>
      </c>
      <c r="B17" s="60">
        <v>8</v>
      </c>
      <c r="C17" s="60"/>
      <c r="D17" s="52">
        <v>226</v>
      </c>
      <c r="E17" s="17">
        <f t="shared" si="0"/>
        <v>0.41195771053590957</v>
      </c>
      <c r="F17" s="17">
        <f t="shared" si="1"/>
        <v>172.55405405405406</v>
      </c>
      <c r="G17" s="43">
        <f t="shared" si="2"/>
        <v>0.95370383890212374</v>
      </c>
      <c r="H17" s="17">
        <f t="shared" si="3"/>
        <v>1.2398149905727609</v>
      </c>
      <c r="I17" s="17">
        <f t="shared" si="4"/>
        <v>1.2398149905727609</v>
      </c>
      <c r="J17" s="17">
        <v>2.5</v>
      </c>
      <c r="K17" s="17">
        <f t="shared" si="6"/>
        <v>-2.3770566988924302</v>
      </c>
      <c r="L17" s="17">
        <f t="shared" si="7"/>
        <v>1.0308028703003524</v>
      </c>
      <c r="M17" s="17">
        <v>5.3597543485199628</v>
      </c>
      <c r="N17" s="17">
        <f t="shared" si="8"/>
        <v>33.793468846012168</v>
      </c>
      <c r="O17" s="17">
        <f t="shared" si="9"/>
        <v>0.76069618435827913</v>
      </c>
      <c r="P17" s="17">
        <f t="shared" si="10"/>
        <v>1.6821330496239617</v>
      </c>
      <c r="Q17" s="17">
        <f t="shared" si="11"/>
        <v>0.3178669503760384</v>
      </c>
      <c r="R17" s="17">
        <f t="shared" si="12"/>
        <v>1.3410665248119809</v>
      </c>
      <c r="S17" s="17">
        <f t="shared" si="13"/>
        <v>0.65893347518801915</v>
      </c>
      <c r="T17" s="17"/>
      <c r="U17" s="17"/>
      <c r="V17" s="41"/>
      <c r="W17" s="4"/>
      <c r="X17" s="4"/>
      <c r="Y17" s="4"/>
      <c r="Z17" s="4"/>
    </row>
    <row r="18" spans="1:26" ht="18.75" x14ac:dyDescent="0.3">
      <c r="A18" s="3" t="s">
        <v>19</v>
      </c>
      <c r="B18" s="68">
        <v>0.4</v>
      </c>
      <c r="C18" s="69"/>
      <c r="D18" s="43">
        <v>240</v>
      </c>
      <c r="E18" s="17">
        <f t="shared" si="0"/>
        <v>0.43747721472839957</v>
      </c>
      <c r="F18" s="17">
        <f t="shared" si="1"/>
        <v>194.59459459459458</v>
      </c>
      <c r="G18" s="43">
        <f t="shared" si="2"/>
        <v>0.95262387864091691</v>
      </c>
      <c r="H18" s="17">
        <f t="shared" si="3"/>
        <v>1.238411042233192</v>
      </c>
      <c r="I18" s="17">
        <f t="shared" si="4"/>
        <v>1.238411042233192</v>
      </c>
      <c r="J18" s="17">
        <f t="shared" si="5"/>
        <v>2.6776454967204151</v>
      </c>
      <c r="K18" s="17">
        <f t="shared" si="6"/>
        <v>-2.6776454967204151</v>
      </c>
      <c r="L18" s="17">
        <f t="shared" si="7"/>
        <v>1.036201187965526</v>
      </c>
      <c r="M18" s="17">
        <v>5.3878233978156587</v>
      </c>
      <c r="N18" s="17">
        <f t="shared" si="8"/>
        <v>33.617414348142795</v>
      </c>
      <c r="O18" s="17">
        <f t="shared" si="9"/>
        <v>0.76015647806718767</v>
      </c>
      <c r="P18" s="17">
        <f t="shared" si="10"/>
        <v>1.727666068680463</v>
      </c>
      <c r="Q18" s="17">
        <f t="shared" si="11"/>
        <v>0.27233393131953698</v>
      </c>
      <c r="R18" s="17">
        <f t="shared" si="12"/>
        <v>1.3638330343402316</v>
      </c>
      <c r="S18" s="17">
        <f t="shared" si="13"/>
        <v>0.63616696565976849</v>
      </c>
      <c r="T18" s="17"/>
      <c r="U18" s="17"/>
      <c r="V18" s="41"/>
      <c r="W18" s="4"/>
      <c r="X18" s="4"/>
      <c r="Y18" s="4"/>
      <c r="Z18" s="4"/>
    </row>
    <row r="19" spans="1:26" ht="18.75" x14ac:dyDescent="0.3">
      <c r="A19" s="3" t="s">
        <v>20</v>
      </c>
      <c r="B19" s="60">
        <v>0</v>
      </c>
      <c r="C19" s="60"/>
      <c r="D19" s="43">
        <v>260</v>
      </c>
      <c r="E19" s="17">
        <f t="shared" si="0"/>
        <v>0.47393364928909948</v>
      </c>
      <c r="F19" s="17">
        <f t="shared" si="1"/>
        <v>228.37837837837839</v>
      </c>
      <c r="G19" s="43">
        <f t="shared" si="2"/>
        <v>0.94947620070065797</v>
      </c>
      <c r="H19" s="17">
        <f t="shared" si="3"/>
        <v>1.2343190609108554</v>
      </c>
      <c r="I19" s="17">
        <f t="shared" si="4"/>
        <v>1.2343190609108554</v>
      </c>
      <c r="J19" s="17">
        <f t="shared" si="5"/>
        <v>3.1321309503593775</v>
      </c>
      <c r="K19" s="17">
        <f t="shared" si="6"/>
        <v>-3.1321309503593775</v>
      </c>
      <c r="L19" s="17">
        <f t="shared" si="7"/>
        <v>1.0468232617420759</v>
      </c>
      <c r="M19" s="17">
        <v>5.4430538475500239</v>
      </c>
      <c r="N19" s="17">
        <f t="shared" si="8"/>
        <v>33.276299789044664</v>
      </c>
      <c r="O19" s="17">
        <f t="shared" si="9"/>
        <v>0.75909675045286407</v>
      </c>
      <c r="P19" s="17">
        <f t="shared" si="10"/>
        <v>1.79527556802621</v>
      </c>
      <c r="Q19" s="17">
        <f t="shared" si="11"/>
        <v>0.20472443197378998</v>
      </c>
      <c r="R19" s="17">
        <f t="shared" si="12"/>
        <v>1.3976377840131051</v>
      </c>
      <c r="S19" s="17">
        <f t="shared" si="13"/>
        <v>0.60236221598689499</v>
      </c>
      <c r="T19" s="18"/>
      <c r="U19" s="18"/>
      <c r="V19" s="41"/>
      <c r="W19" s="9"/>
      <c r="X19" s="4"/>
      <c r="Y19" s="4"/>
      <c r="Z19" s="4"/>
    </row>
    <row r="20" spans="1:26" ht="18.75" x14ac:dyDescent="0.3">
      <c r="A20" s="3" t="s">
        <v>21</v>
      </c>
      <c r="B20" s="60"/>
      <c r="C20" s="60"/>
      <c r="D20" s="43">
        <v>280</v>
      </c>
      <c r="E20" s="17">
        <f t="shared" si="0"/>
        <v>0.51039008384979945</v>
      </c>
      <c r="F20" s="17">
        <f t="shared" si="1"/>
        <v>264.86486486486484</v>
      </c>
      <c r="G20" s="43">
        <f t="shared" si="2"/>
        <v>0.94206950335464035</v>
      </c>
      <c r="H20" s="17">
        <f t="shared" si="3"/>
        <v>1.2246903543610326</v>
      </c>
      <c r="I20" s="17">
        <f t="shared" si="4"/>
        <v>1.2246903543610326</v>
      </c>
      <c r="J20" s="17">
        <f t="shared" si="5"/>
        <v>3.6041938356570924</v>
      </c>
      <c r="K20" s="17">
        <f t="shared" si="6"/>
        <v>-3.6041938356570924</v>
      </c>
      <c r="L20" s="17">
        <f t="shared" si="7"/>
        <v>1.0614075865108925</v>
      </c>
      <c r="M20" s="17">
        <v>5.5188863858093677</v>
      </c>
      <c r="N20" s="17">
        <f t="shared" si="8"/>
        <v>32.819065104277357</v>
      </c>
      <c r="O20" s="17">
        <f t="shared" si="9"/>
        <v>0.75764652707926328</v>
      </c>
      <c r="P20" s="17">
        <f t="shared" si="10"/>
        <v>1.8667236581448772</v>
      </c>
      <c r="Q20" s="17">
        <f t="shared" si="11"/>
        <v>0.13327634185512294</v>
      </c>
      <c r="R20" s="17">
        <f t="shared" si="12"/>
        <v>1.4333618290724386</v>
      </c>
      <c r="S20" s="17">
        <f t="shared" si="13"/>
        <v>0.56663817092756141</v>
      </c>
      <c r="T20" s="17"/>
      <c r="U20" s="17"/>
      <c r="V20" s="41"/>
      <c r="W20" s="9"/>
      <c r="X20" s="4"/>
      <c r="Y20" s="4"/>
      <c r="Z20" s="4"/>
    </row>
    <row r="21" spans="1:26" ht="37.5" x14ac:dyDescent="0.3">
      <c r="A21" s="3" t="s">
        <v>22</v>
      </c>
      <c r="B21" s="60"/>
      <c r="C21" s="60"/>
      <c r="D21" s="43">
        <v>300</v>
      </c>
      <c r="E21" s="17">
        <f t="shared" si="0"/>
        <v>0.54684651841049947</v>
      </c>
      <c r="F21" s="17">
        <f t="shared" si="1"/>
        <v>304.05405405405406</v>
      </c>
      <c r="G21" s="43">
        <f t="shared" si="2"/>
        <v>0.92801981393819266</v>
      </c>
      <c r="H21" s="17">
        <f t="shared" si="3"/>
        <v>1.2064257581196505</v>
      </c>
      <c r="I21" s="17">
        <f t="shared" si="4"/>
        <v>1.2064257581196505</v>
      </c>
      <c r="J21" s="17">
        <f t="shared" si="5"/>
        <v>4.0757626963501705</v>
      </c>
      <c r="K21" s="17">
        <f t="shared" si="6"/>
        <v>-4.0757626963501705</v>
      </c>
      <c r="L21" s="17">
        <f t="shared" si="7"/>
        <v>1.0805524916127554</v>
      </c>
      <c r="M21" s="17">
        <v>5.618432081041874</v>
      </c>
      <c r="N21" s="17">
        <f t="shared" si="8"/>
        <v>32.237586747760432</v>
      </c>
      <c r="O21" s="17">
        <f t="shared" si="9"/>
        <v>0.75575120288524511</v>
      </c>
      <c r="P21" s="17">
        <f t="shared" si="10"/>
        <v>1.9430175310754119</v>
      </c>
      <c r="Q21" s="17">
        <f t="shared" si="11"/>
        <v>5.6982468924588026E-2</v>
      </c>
      <c r="R21" s="17">
        <f t="shared" si="12"/>
        <v>1.4715087655377059</v>
      </c>
      <c r="S21" s="17">
        <f t="shared" si="13"/>
        <v>0.52849123446229407</v>
      </c>
      <c r="T21" s="17"/>
      <c r="U21" s="17"/>
      <c r="V21" s="41"/>
      <c r="W21" s="9"/>
      <c r="X21" s="4"/>
      <c r="Y21" s="4"/>
      <c r="Z21" s="4"/>
    </row>
    <row r="22" spans="1:26" ht="18.75" x14ac:dyDescent="0.3">
      <c r="A22" s="3" t="s">
        <v>58</v>
      </c>
      <c r="B22" s="60">
        <v>1</v>
      </c>
      <c r="C22" s="60"/>
      <c r="D22" s="52">
        <v>325</v>
      </c>
      <c r="E22" s="17">
        <f t="shared" si="0"/>
        <v>0.59241706161137442</v>
      </c>
      <c r="F22" s="17">
        <f t="shared" si="1"/>
        <v>356.8412162162162</v>
      </c>
      <c r="G22" s="43">
        <f t="shared" si="2"/>
        <v>0.89879157058429793</v>
      </c>
      <c r="H22" s="17">
        <f t="shared" si="3"/>
        <v>1.1684290417595873</v>
      </c>
      <c r="I22" s="17">
        <f t="shared" si="4"/>
        <v>1.1684290417595873</v>
      </c>
      <c r="J22" s="17">
        <f t="shared" si="5"/>
        <v>4.6327071147093246</v>
      </c>
      <c r="K22" s="17">
        <f t="shared" si="6"/>
        <v>-4.6327071147093246</v>
      </c>
      <c r="L22" s="17">
        <f t="shared" si="7"/>
        <v>1.111808456438524</v>
      </c>
      <c r="M22" s="17">
        <v>5.7809503454150493</v>
      </c>
      <c r="N22" s="17">
        <f t="shared" si="8"/>
        <v>31.331300353174644</v>
      </c>
      <c r="O22" s="17">
        <f t="shared" si="9"/>
        <v>0.75267719259123178</v>
      </c>
      <c r="P22" s="17">
        <f t="shared" si="10"/>
        <v>2.0468775484113779</v>
      </c>
      <c r="Q22" s="17">
        <f t="shared" si="11"/>
        <v>-4.6877548411378145E-2</v>
      </c>
      <c r="R22" s="17">
        <f t="shared" si="12"/>
        <v>1.523438774205689</v>
      </c>
      <c r="S22" s="17">
        <f t="shared" si="13"/>
        <v>0.47656122579431093</v>
      </c>
      <c r="T22" s="17"/>
      <c r="U22" s="17"/>
      <c r="V22" s="41"/>
      <c r="W22" s="9"/>
      <c r="X22" s="4"/>
      <c r="Y22" s="4"/>
      <c r="Z22" s="4"/>
    </row>
    <row r="23" spans="1:26" ht="18.75" x14ac:dyDescent="0.3">
      <c r="A23" s="3" t="s">
        <v>23</v>
      </c>
      <c r="B23" s="60">
        <f>1*B17/B22</f>
        <v>8</v>
      </c>
      <c r="C23" s="60"/>
      <c r="D23" s="43">
        <v>340</v>
      </c>
      <c r="E23" s="17">
        <f t="shared" si="0"/>
        <v>0.61975938753189941</v>
      </c>
      <c r="F23" s="17">
        <f t="shared" si="1"/>
        <v>390.54054054054052</v>
      </c>
      <c r="G23" s="43">
        <f t="shared" si="2"/>
        <v>0.87486086958692855</v>
      </c>
      <c r="H23" s="17">
        <f t="shared" si="3"/>
        <v>1.1373191304630073</v>
      </c>
      <c r="I23" s="17">
        <f t="shared" si="4"/>
        <v>1.1373191304630073</v>
      </c>
      <c r="J23" s="17">
        <f t="shared" si="5"/>
        <v>4.9352136442013377</v>
      </c>
      <c r="K23" s="17">
        <f t="shared" si="6"/>
        <v>-4.9352136442013377</v>
      </c>
      <c r="L23" s="17">
        <f t="shared" si="7"/>
        <v>1.1349173601787379</v>
      </c>
      <c r="M23" s="17">
        <v>5.901107216219116</v>
      </c>
      <c r="N23" s="17">
        <f t="shared" si="8"/>
        <v>30.693340243195166</v>
      </c>
      <c r="O23" s="17">
        <f t="shared" si="9"/>
        <v>0.75042047310733362</v>
      </c>
      <c r="P23" s="17">
        <f t="shared" si="10"/>
        <v>2.1146066399132586</v>
      </c>
      <c r="Q23" s="17">
        <f t="shared" si="11"/>
        <v>-0.11460663991325837</v>
      </c>
      <c r="R23" s="17">
        <f t="shared" si="12"/>
        <v>1.5573033199566293</v>
      </c>
      <c r="S23" s="17">
        <f t="shared" si="13"/>
        <v>0.44269668004337082</v>
      </c>
      <c r="T23" s="17"/>
      <c r="U23" s="17"/>
      <c r="V23" s="41"/>
      <c r="W23" s="9"/>
      <c r="X23" s="4"/>
      <c r="Y23" s="4"/>
      <c r="Z23" s="4"/>
    </row>
    <row r="24" spans="1:26" ht="18.75" x14ac:dyDescent="0.3">
      <c r="A24" s="3" t="s">
        <v>24</v>
      </c>
      <c r="B24" s="60">
        <f>0.0825*180/PI()</f>
        <v>4.7269018098292923</v>
      </c>
      <c r="C24" s="60"/>
      <c r="D24" s="43">
        <v>360</v>
      </c>
      <c r="E24" s="17">
        <f t="shared" si="0"/>
        <v>0.65621582209259932</v>
      </c>
      <c r="F24" s="17">
        <f t="shared" si="1"/>
        <v>437.83783783783781</v>
      </c>
      <c r="G24" s="43">
        <f t="shared" si="2"/>
        <v>0.83675510666254438</v>
      </c>
      <c r="H24" s="17">
        <f t="shared" si="3"/>
        <v>1.0877816386613077</v>
      </c>
      <c r="I24" s="17">
        <f t="shared" si="4"/>
        <v>1.0877816386613077</v>
      </c>
      <c r="J24" s="17">
        <f t="shared" si="5"/>
        <v>5.2919106745685234</v>
      </c>
      <c r="K24" s="17">
        <f t="shared" si="6"/>
        <v>-5.2919106745685234</v>
      </c>
      <c r="L24" s="17">
        <f t="shared" si="7"/>
        <v>1.1713339823244164</v>
      </c>
      <c r="M24" s="17">
        <v>6.090458793060221</v>
      </c>
      <c r="N24" s="17">
        <f t="shared" si="8"/>
        <v>29.739088261358948</v>
      </c>
      <c r="O24" s="17">
        <f t="shared" si="9"/>
        <v>0.74689151369433748</v>
      </c>
      <c r="P24" s="17">
        <f t="shared" si="10"/>
        <v>2.2123124476308824</v>
      </c>
      <c r="Q24" s="17">
        <f t="shared" si="11"/>
        <v>-0.2123124476308822</v>
      </c>
      <c r="R24" s="17">
        <f t="shared" si="12"/>
        <v>1.6061562238154412</v>
      </c>
      <c r="S24" s="17">
        <f t="shared" si="13"/>
        <v>0.3938437761845589</v>
      </c>
      <c r="T24" s="17"/>
      <c r="U24" s="17"/>
      <c r="V24" s="41"/>
      <c r="W24" s="9"/>
      <c r="X24" s="4"/>
      <c r="Y24" s="4"/>
      <c r="Z24" s="4"/>
    </row>
    <row r="25" spans="1:26" ht="18.75" x14ac:dyDescent="0.3">
      <c r="A25" s="40" t="s">
        <v>60</v>
      </c>
      <c r="B25" s="61">
        <f>B24*1.1</f>
        <v>5.1995919908122223</v>
      </c>
      <c r="C25" s="61"/>
      <c r="D25" s="43">
        <v>380</v>
      </c>
      <c r="E25" s="17">
        <f t="shared" si="0"/>
        <v>0.69267225665329923</v>
      </c>
      <c r="F25" s="17">
        <f t="shared" si="1"/>
        <v>487.83783783783781</v>
      </c>
      <c r="G25" s="43">
        <f t="shared" si="2"/>
        <v>0.79459896996017365</v>
      </c>
      <c r="H25" s="17">
        <f t="shared" si="3"/>
        <v>1.0329786609482259</v>
      </c>
      <c r="I25" s="17">
        <f t="shared" si="4"/>
        <v>1.0329786609482259</v>
      </c>
      <c r="J25" s="17">
        <f t="shared" si="5"/>
        <v>5.5991786276623055</v>
      </c>
      <c r="K25" s="17">
        <f t="shared" si="6"/>
        <v>-5.5991786276623055</v>
      </c>
      <c r="L25" s="17">
        <f t="shared" si="7"/>
        <v>1.2147045021662592</v>
      </c>
      <c r="M25" s="17">
        <v>6.3159678006672291</v>
      </c>
      <c r="N25" s="17">
        <f t="shared" si="8"/>
        <v>28.67726646419149</v>
      </c>
      <c r="O25" s="17">
        <f t="shared" si="9"/>
        <v>0.74273174727238966</v>
      </c>
      <c r="P25" s="17">
        <f t="shared" si="10"/>
        <v>2.3196538257513319</v>
      </c>
      <c r="Q25" s="17">
        <f t="shared" si="11"/>
        <v>-0.31965382575133172</v>
      </c>
      <c r="R25" s="17">
        <f t="shared" si="12"/>
        <v>1.659826912875666</v>
      </c>
      <c r="S25" s="17">
        <f t="shared" si="13"/>
        <v>0.34017308712433414</v>
      </c>
      <c r="T25" s="17"/>
      <c r="U25" s="17"/>
      <c r="V25" s="41"/>
      <c r="W25" s="9"/>
      <c r="X25" s="4"/>
      <c r="Y25" s="4"/>
      <c r="Z25" s="4"/>
    </row>
    <row r="26" spans="1:26" ht="18.75" x14ac:dyDescent="0.3">
      <c r="A26" s="3" t="s">
        <v>72</v>
      </c>
      <c r="B26" s="62">
        <v>2.3760000000000001E-3</v>
      </c>
      <c r="C26" s="62"/>
      <c r="D26" s="51">
        <v>400</v>
      </c>
      <c r="E26" s="17">
        <f t="shared" si="0"/>
        <v>0.72912869121399926</v>
      </c>
      <c r="F26" s="17">
        <f t="shared" si="1"/>
        <v>540.54054054054052</v>
      </c>
      <c r="G26" s="43">
        <f t="shared" si="2"/>
        <v>0.75341379154758414</v>
      </c>
      <c r="H26" s="17">
        <f t="shared" si="3"/>
        <v>0.97943792901185944</v>
      </c>
      <c r="I26" s="17">
        <f t="shared" si="4"/>
        <v>0.97943792901185944</v>
      </c>
      <c r="J26" s="17">
        <f t="shared" si="5"/>
        <v>5.882510084155312</v>
      </c>
      <c r="K26" s="17">
        <f t="shared" si="6"/>
        <v>-5.882510084155312</v>
      </c>
      <c r="L26" s="17">
        <f t="shared" si="7"/>
        <v>1.2656272490450458</v>
      </c>
      <c r="M26" s="17">
        <v>6.5807453074883258</v>
      </c>
      <c r="N26" s="17">
        <f t="shared" si="8"/>
        <v>27.523431334271997</v>
      </c>
      <c r="O26" s="17">
        <f t="shared" si="9"/>
        <v>0.73790638545671594</v>
      </c>
      <c r="P26" s="17">
        <f t="shared" si="10"/>
        <v>2.4379403549415555</v>
      </c>
      <c r="Q26" s="17">
        <f t="shared" si="11"/>
        <v>-0.4379403549415557</v>
      </c>
      <c r="R26" s="17">
        <f t="shared" si="12"/>
        <v>1.7189701774707777</v>
      </c>
      <c r="S26" s="17">
        <f t="shared" si="13"/>
        <v>0.28102982252922215</v>
      </c>
      <c r="T26" s="17"/>
      <c r="U26" s="17"/>
      <c r="V26" s="41"/>
      <c r="W26" s="9"/>
      <c r="X26" s="4"/>
      <c r="Y26" s="4"/>
      <c r="Z26" s="4"/>
    </row>
    <row r="27" spans="1:26" ht="18.75" x14ac:dyDescent="0.3">
      <c r="A27" s="3" t="s">
        <v>25</v>
      </c>
      <c r="B27" s="60">
        <v>13</v>
      </c>
      <c r="C27" s="60"/>
      <c r="D27" s="43"/>
      <c r="E27" s="17"/>
      <c r="F27" s="17"/>
      <c r="G27" s="17"/>
      <c r="H27" s="17"/>
      <c r="I27" s="17"/>
      <c r="J27" s="17"/>
      <c r="K27" s="32"/>
      <c r="L27" s="17"/>
      <c r="M27" s="17"/>
      <c r="N27" s="17"/>
      <c r="O27" s="17"/>
      <c r="P27" s="17"/>
      <c r="Q27" s="17"/>
      <c r="R27" s="17"/>
      <c r="S27" s="17"/>
      <c r="T27" s="18"/>
      <c r="U27" s="18"/>
      <c r="V27" s="9"/>
      <c r="W27" s="9"/>
      <c r="X27" s="4"/>
      <c r="Y27" s="4"/>
      <c r="Z27" s="4"/>
    </row>
    <row r="28" spans="1:26" ht="18.75" x14ac:dyDescent="0.3">
      <c r="A28" s="3" t="s">
        <v>26</v>
      </c>
      <c r="B28" s="60">
        <v>1.3</v>
      </c>
      <c r="C28" s="60"/>
      <c r="D28" s="43"/>
      <c r="E28" s="17"/>
      <c r="F28" s="17"/>
      <c r="G28" s="17"/>
      <c r="H28" s="17"/>
      <c r="I28" s="17"/>
      <c r="J28" s="17"/>
      <c r="K28" s="3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4"/>
      <c r="W28" s="4"/>
      <c r="X28" s="4"/>
      <c r="Y28" s="4"/>
      <c r="Z28" s="4"/>
    </row>
    <row r="29" spans="1:26" ht="18.75" x14ac:dyDescent="0.3">
      <c r="A29" s="10"/>
      <c r="B29" s="11"/>
      <c r="C29" s="11"/>
      <c r="D29" s="17"/>
      <c r="E29" s="17"/>
      <c r="F29" s="17"/>
      <c r="G29" s="17"/>
      <c r="H29" s="17"/>
      <c r="I29" s="17"/>
      <c r="J29" s="17"/>
      <c r="K29" s="32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4"/>
      <c r="W29" s="4"/>
      <c r="X29" s="4"/>
      <c r="Y29" s="4"/>
      <c r="Z29" s="4"/>
    </row>
    <row r="30" spans="1:26" ht="18.75" x14ac:dyDescent="0.3">
      <c r="A30" s="10" t="s">
        <v>27</v>
      </c>
      <c r="B30" s="63" t="s">
        <v>54</v>
      </c>
      <c r="C30" s="63"/>
      <c r="D30" s="33" t="s">
        <v>55</v>
      </c>
      <c r="E30" s="17"/>
      <c r="F30" s="17"/>
      <c r="G30" s="17"/>
      <c r="H30" s="17"/>
      <c r="I30" s="17"/>
      <c r="J30" s="17"/>
      <c r="K30" s="32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4"/>
      <c r="W30" s="4"/>
      <c r="X30" s="4"/>
      <c r="Y30" s="4"/>
      <c r="Z30" s="4"/>
    </row>
    <row r="31" spans="1:26" ht="18.75" x14ac:dyDescent="0.3">
      <c r="A31" s="7" t="s">
        <v>28</v>
      </c>
      <c r="B31" s="55">
        <f>SQRT((2*$B$5)/($B$26*$B$13*B10))*0.592</f>
        <v>142.9101466772392</v>
      </c>
      <c r="C31" s="55"/>
      <c r="D31" s="35">
        <f>SQRT((2*$B$5)/($B$26*$B$13*B28))*0.592</f>
        <v>142.9101466772392</v>
      </c>
      <c r="E31" s="34"/>
      <c r="F31" s="17"/>
      <c r="G31" s="17"/>
      <c r="H31" s="17"/>
      <c r="I31" s="17"/>
      <c r="J31" s="45"/>
      <c r="K31" s="3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4"/>
      <c r="W31" s="4"/>
      <c r="X31" s="4"/>
      <c r="Y31" s="4"/>
      <c r="Z31" s="4"/>
    </row>
    <row r="32" spans="1:26" ht="18.75" x14ac:dyDescent="0.3">
      <c r="A32" s="5" t="s">
        <v>29</v>
      </c>
      <c r="B32" s="55"/>
      <c r="C32" s="55"/>
      <c r="D32" s="17"/>
      <c r="E32" s="17"/>
      <c r="F32" s="17"/>
      <c r="G32" s="17"/>
      <c r="H32" s="17"/>
      <c r="I32" s="17"/>
      <c r="J32" s="17"/>
      <c r="K32" s="32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4"/>
      <c r="W32" s="4"/>
      <c r="X32" s="4"/>
      <c r="Y32" s="4"/>
      <c r="Z32" s="4"/>
    </row>
    <row r="33" spans="1:26" ht="18.75" x14ac:dyDescent="0.3">
      <c r="A33" s="5" t="s">
        <v>61</v>
      </c>
      <c r="B33" s="55">
        <f>B31*SQRT(B15)</f>
        <v>225.96078212440995</v>
      </c>
      <c r="C33" s="55"/>
      <c r="D33" s="17"/>
      <c r="E33" s="17"/>
      <c r="F33" s="17"/>
      <c r="G33" s="17"/>
      <c r="H33" s="17"/>
      <c r="I33" s="17"/>
      <c r="J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4"/>
      <c r="W33" s="4"/>
      <c r="X33" s="4"/>
      <c r="Y33" s="4"/>
      <c r="Z33" s="4"/>
    </row>
    <row r="34" spans="1:26" ht="18.75" x14ac:dyDescent="0.3">
      <c r="A34" s="5" t="s">
        <v>30</v>
      </c>
      <c r="B34" s="55">
        <f>B7</f>
        <v>325</v>
      </c>
      <c r="C34" s="55"/>
      <c r="D34" s="17"/>
      <c r="E34" s="17"/>
      <c r="F34" s="17"/>
      <c r="G34" s="17"/>
      <c r="H34" s="17"/>
      <c r="I34" s="17"/>
      <c r="J34" s="17"/>
      <c r="K34" s="32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4"/>
      <c r="W34" s="4"/>
      <c r="X34" s="4"/>
      <c r="Y34" s="4"/>
      <c r="Z34" s="4"/>
    </row>
    <row r="35" spans="1:26" ht="18.75" x14ac:dyDescent="0.3">
      <c r="A35" s="5" t="s">
        <v>31</v>
      </c>
      <c r="B35" s="54"/>
      <c r="C35" s="54"/>
      <c r="D35" s="17"/>
      <c r="E35" s="17"/>
      <c r="F35" s="17"/>
      <c r="G35" s="17"/>
      <c r="H35" s="17"/>
      <c r="I35" s="17"/>
      <c r="J35" s="17"/>
      <c r="K35" s="3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4"/>
      <c r="W35" s="4"/>
      <c r="X35" s="4"/>
      <c r="Y35" s="4"/>
      <c r="Z35" s="4"/>
    </row>
    <row r="36" spans="1:26" ht="18.75" x14ac:dyDescent="0.3">
      <c r="A36" s="5" t="s">
        <v>32</v>
      </c>
      <c r="B36" s="55">
        <v>400</v>
      </c>
      <c r="C36" s="55"/>
      <c r="D36" s="17"/>
      <c r="E36" s="17"/>
      <c r="F36" s="17"/>
      <c r="G36" s="17"/>
      <c r="H36" s="17"/>
      <c r="I36" s="17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4"/>
      <c r="W36" s="4"/>
      <c r="X36" s="4"/>
      <c r="Y36" s="4"/>
      <c r="Z36" s="4"/>
    </row>
    <row r="37" spans="1:26" ht="18.75" x14ac:dyDescent="0.3">
      <c r="A37" s="5" t="s">
        <v>33</v>
      </c>
      <c r="B37" s="55"/>
      <c r="C37" s="55"/>
      <c r="D37" s="17"/>
      <c r="E37" s="17"/>
      <c r="F37" s="17"/>
      <c r="G37" s="17"/>
      <c r="H37" s="17"/>
      <c r="I37" s="17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4"/>
      <c r="W37" s="4"/>
      <c r="X37" s="4"/>
      <c r="Y37" s="4"/>
      <c r="Z37" s="4"/>
    </row>
    <row r="38" spans="1:26" ht="18.75" x14ac:dyDescent="0.3">
      <c r="A38" s="12"/>
      <c r="B38" s="13"/>
      <c r="C38" s="13"/>
      <c r="D38" s="17"/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4"/>
      <c r="W38" s="4"/>
      <c r="X38" s="4"/>
      <c r="Y38" s="4"/>
      <c r="Z38" s="4"/>
    </row>
    <row r="39" spans="1:26" ht="18.75" x14ac:dyDescent="0.3">
      <c r="A39" s="16" t="s">
        <v>34</v>
      </c>
      <c r="B39" s="4"/>
      <c r="C39" s="4"/>
      <c r="D39" s="17"/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4"/>
      <c r="W39" s="4"/>
      <c r="X39" s="4"/>
      <c r="Y39" s="4"/>
      <c r="Z39" s="4"/>
    </row>
    <row r="40" spans="1:26" ht="18.75" x14ac:dyDescent="0.3">
      <c r="A40" s="19" t="s">
        <v>35</v>
      </c>
      <c r="B40" s="53"/>
      <c r="C40" s="53"/>
      <c r="D40" s="17"/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4"/>
      <c r="W40" s="4"/>
      <c r="X40" s="4"/>
      <c r="Y40" s="4"/>
      <c r="Z40" s="4"/>
    </row>
    <row r="41" spans="1:26" ht="18.75" x14ac:dyDescent="0.3">
      <c r="A41" s="8" t="s">
        <v>36</v>
      </c>
      <c r="B41" s="53"/>
      <c r="C41" s="53"/>
      <c r="D41" s="17"/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4"/>
      <c r="W41" s="4"/>
      <c r="X41" s="4"/>
      <c r="Y41" s="4"/>
      <c r="Z41" s="4"/>
    </row>
    <row r="42" spans="1:26" ht="18.75" x14ac:dyDescent="0.3">
      <c r="A42" s="8" t="s">
        <v>62</v>
      </c>
      <c r="B42" s="53"/>
      <c r="C42" s="53"/>
      <c r="D42" s="17"/>
      <c r="E42" s="17"/>
      <c r="F42" s="17"/>
      <c r="G42" s="17"/>
      <c r="H42" s="17"/>
      <c r="I42" s="17"/>
      <c r="J42" s="17"/>
      <c r="K42" s="32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4"/>
      <c r="W42" s="4"/>
      <c r="X42" s="4"/>
      <c r="Y42" s="4"/>
      <c r="Z42" s="4"/>
    </row>
    <row r="43" spans="1:26" ht="18.75" x14ac:dyDescent="0.3">
      <c r="A43" s="4"/>
      <c r="B43" s="4"/>
      <c r="C43" s="4"/>
      <c r="D43" s="17"/>
      <c r="E43" s="17"/>
      <c r="F43" s="17"/>
      <c r="G43" s="17"/>
      <c r="H43" s="17"/>
      <c r="I43" s="17"/>
      <c r="J43" s="17"/>
      <c r="K43" s="32"/>
      <c r="L43" s="17"/>
      <c r="M43" s="17"/>
      <c r="N43" s="17"/>
      <c r="O43" s="17"/>
      <c r="P43" s="20"/>
      <c r="Q43" s="17"/>
      <c r="R43" s="17"/>
      <c r="S43" s="17"/>
      <c r="T43" s="18"/>
      <c r="U43" s="18"/>
      <c r="V43" s="4"/>
      <c r="W43" s="4"/>
      <c r="X43" s="4"/>
      <c r="Y43" s="4"/>
      <c r="Z43" s="4"/>
    </row>
    <row r="44" spans="1:26" ht="18.75" x14ac:dyDescent="0.3">
      <c r="A44" s="4"/>
      <c r="B44" s="4"/>
      <c r="C44" s="4"/>
      <c r="D44" s="17"/>
      <c r="E44" s="17"/>
      <c r="F44" s="17"/>
      <c r="G44" s="17"/>
      <c r="H44" s="17"/>
      <c r="I44" s="17"/>
      <c r="J44" s="17"/>
      <c r="K44" s="32"/>
      <c r="L44" s="17"/>
      <c r="M44" s="17"/>
      <c r="N44" s="17"/>
      <c r="O44" s="17"/>
      <c r="P44" s="20"/>
      <c r="Q44" s="17"/>
      <c r="R44" s="17"/>
      <c r="S44" s="17"/>
      <c r="T44" s="17"/>
      <c r="U44" s="17"/>
      <c r="V44" s="4"/>
      <c r="W44" s="4"/>
      <c r="X44" s="4"/>
      <c r="Y44" s="4"/>
      <c r="Z44" s="4"/>
    </row>
    <row r="45" spans="1:26" ht="18.75" x14ac:dyDescent="0.3">
      <c r="A45" s="4"/>
      <c r="B45" s="4"/>
      <c r="C45" s="4"/>
      <c r="D45" s="17"/>
      <c r="E45" s="17"/>
      <c r="F45" s="17"/>
      <c r="G45" s="17"/>
      <c r="H45" s="17"/>
      <c r="I45" s="17"/>
      <c r="J45" s="17"/>
      <c r="K45" s="32"/>
      <c r="L45" s="17"/>
      <c r="M45" s="17"/>
      <c r="N45" s="17"/>
      <c r="O45" s="17"/>
      <c r="P45" s="20"/>
      <c r="Q45" s="17"/>
      <c r="R45" s="17"/>
      <c r="S45" s="17"/>
      <c r="T45" s="17"/>
      <c r="U45" s="17"/>
      <c r="V45" s="4"/>
      <c r="W45" s="4"/>
      <c r="X45" s="4"/>
      <c r="Y45" s="4"/>
      <c r="Z45" s="4"/>
    </row>
    <row r="46" spans="1:26" ht="18.75" x14ac:dyDescent="0.3">
      <c r="A46" s="4"/>
      <c r="B46" s="4"/>
      <c r="C46" s="4"/>
      <c r="D46" s="17"/>
      <c r="E46" s="17"/>
      <c r="F46" s="17"/>
      <c r="G46" s="17"/>
      <c r="H46" s="17"/>
      <c r="I46" s="17"/>
      <c r="J46" s="17"/>
      <c r="K46" s="32"/>
      <c r="L46" s="17"/>
      <c r="M46" s="17"/>
      <c r="N46" s="17"/>
      <c r="O46" s="17"/>
      <c r="P46" s="20"/>
      <c r="Q46" s="17"/>
      <c r="R46" s="17"/>
      <c r="S46" s="17"/>
      <c r="T46" s="17"/>
      <c r="U46" s="17"/>
      <c r="V46" s="4"/>
      <c r="W46" s="4"/>
      <c r="X46" s="4"/>
      <c r="Y46" s="4"/>
      <c r="Z46" s="4"/>
    </row>
    <row r="47" spans="1:26" ht="18.75" x14ac:dyDescent="0.3">
      <c r="A47" s="4"/>
      <c r="B47" s="4"/>
      <c r="C47" s="4"/>
      <c r="D47" s="17"/>
      <c r="E47" s="17"/>
      <c r="F47" s="17"/>
      <c r="G47" s="17"/>
      <c r="H47" s="17"/>
      <c r="I47" s="17"/>
      <c r="J47" s="17"/>
      <c r="K47" s="32"/>
      <c r="L47" s="17"/>
      <c r="M47" s="17"/>
      <c r="N47" s="17"/>
      <c r="O47" s="17"/>
      <c r="P47" s="21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x14ac:dyDescent="0.3">
      <c r="A48" s="4"/>
      <c r="B48" s="4"/>
      <c r="C48" s="4"/>
      <c r="D48" s="17"/>
      <c r="E48" s="17"/>
      <c r="F48" s="17"/>
      <c r="G48" s="17"/>
      <c r="H48" s="17"/>
      <c r="I48" s="17"/>
      <c r="J48" s="17"/>
      <c r="K48" s="32"/>
      <c r="L48" s="17"/>
      <c r="M48" s="17"/>
      <c r="N48" s="17"/>
      <c r="O48" s="17"/>
      <c r="P48" s="21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x14ac:dyDescent="0.3">
      <c r="A49" s="22" t="s">
        <v>37</v>
      </c>
      <c r="B49" s="23" t="s">
        <v>38</v>
      </c>
      <c r="C49" s="23" t="s">
        <v>39</v>
      </c>
      <c r="D49" s="17"/>
      <c r="E49" s="17"/>
      <c r="F49" s="17"/>
      <c r="G49" s="17"/>
      <c r="H49" s="17"/>
      <c r="I49" s="17"/>
      <c r="J49" s="17"/>
      <c r="K49" s="32"/>
      <c r="L49" s="17"/>
      <c r="M49" s="17"/>
      <c r="N49" s="17"/>
      <c r="O49" s="17"/>
      <c r="P49" s="21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" customHeight="1" x14ac:dyDescent="0.3">
      <c r="A50" s="72" t="s">
        <v>40</v>
      </c>
      <c r="B50" s="24">
        <f>B31</f>
        <v>142.9101466772392</v>
      </c>
      <c r="C50" s="25">
        <v>1</v>
      </c>
      <c r="D50" s="17"/>
      <c r="E50" s="17"/>
      <c r="F50" s="17"/>
      <c r="G50" s="17"/>
      <c r="H50" s="17"/>
      <c r="I50" s="17"/>
      <c r="J50" s="17"/>
      <c r="K50" s="27"/>
      <c r="L50" s="17"/>
      <c r="M50" s="17"/>
      <c r="N50" s="17"/>
      <c r="O50" s="1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x14ac:dyDescent="0.3">
      <c r="A51" s="73"/>
      <c r="B51" s="24">
        <f>B31</f>
        <v>142.9101466772392</v>
      </c>
      <c r="C51" s="26">
        <v>0</v>
      </c>
      <c r="D51" s="4"/>
      <c r="E51" s="17"/>
      <c r="F51" s="17"/>
      <c r="G51" s="4"/>
      <c r="H51" s="17"/>
      <c r="I51" s="17"/>
      <c r="J51" s="17"/>
      <c r="K51" s="27"/>
      <c r="L51" s="17"/>
      <c r="M51" s="4"/>
      <c r="N51" s="17"/>
      <c r="O51" s="1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x14ac:dyDescent="0.3">
      <c r="A52" s="72" t="s">
        <v>56</v>
      </c>
      <c r="B52" s="24">
        <f>D31</f>
        <v>142.9101466772392</v>
      </c>
      <c r="C52" s="26">
        <v>0</v>
      </c>
      <c r="D52" s="4"/>
      <c r="E52" s="17"/>
      <c r="F52" s="17"/>
      <c r="G52" s="4"/>
      <c r="H52" s="17"/>
      <c r="I52" s="17"/>
      <c r="J52" s="17"/>
      <c r="K52" s="27"/>
      <c r="L52" s="17"/>
      <c r="M52" s="4"/>
      <c r="N52" s="17"/>
      <c r="O52" s="1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x14ac:dyDescent="0.3">
      <c r="A53" s="73"/>
      <c r="B53" s="24">
        <f>D31</f>
        <v>142.9101466772392</v>
      </c>
      <c r="C53" s="26">
        <f>B16</f>
        <v>-1</v>
      </c>
      <c r="D53" s="4"/>
      <c r="E53" s="17"/>
      <c r="F53" s="17"/>
      <c r="G53" s="4"/>
      <c r="H53" s="17"/>
      <c r="I53" s="17"/>
      <c r="J53" s="17"/>
      <c r="K53" s="27"/>
      <c r="L53" s="17"/>
      <c r="M53" s="4"/>
      <c r="N53" s="17"/>
      <c r="O53" s="1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" customHeight="1" x14ac:dyDescent="0.3">
      <c r="A54" s="74" t="s">
        <v>74</v>
      </c>
      <c r="B54" s="28">
        <f>B33</f>
        <v>225.96078212440995</v>
      </c>
      <c r="C54" s="29">
        <v>2.5</v>
      </c>
      <c r="D54" s="44">
        <v>2.38</v>
      </c>
      <c r="E54" s="17"/>
      <c r="F54" s="17"/>
      <c r="G54" s="4"/>
      <c r="H54" s="17"/>
      <c r="I54" s="17"/>
      <c r="J54" s="17"/>
      <c r="K54" s="27"/>
      <c r="L54" s="17"/>
      <c r="M54" s="4"/>
      <c r="N54" s="17"/>
      <c r="O54" s="1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x14ac:dyDescent="0.3">
      <c r="A55" s="75"/>
      <c r="B55" s="28">
        <f>B36</f>
        <v>400</v>
      </c>
      <c r="C55" s="29">
        <v>2.5</v>
      </c>
      <c r="D55" s="44">
        <v>2.38</v>
      </c>
      <c r="E55" s="17"/>
      <c r="F55" s="17"/>
      <c r="G55" s="4"/>
      <c r="H55" s="17"/>
      <c r="I55" s="17"/>
      <c r="J55" s="17"/>
      <c r="K55" s="27"/>
      <c r="L55" s="17"/>
      <c r="M55" s="4"/>
      <c r="N55" s="17"/>
      <c r="O55" s="1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x14ac:dyDescent="0.3">
      <c r="A56" s="74" t="s">
        <v>59</v>
      </c>
      <c r="B56" s="28">
        <f>D31</f>
        <v>142.9101466772392</v>
      </c>
      <c r="C56" s="29">
        <v>-1</v>
      </c>
      <c r="D56" s="21"/>
      <c r="E56" s="17"/>
      <c r="F56" s="17"/>
      <c r="G56" s="4"/>
      <c r="H56" s="17"/>
      <c r="I56" s="17"/>
      <c r="J56" s="17"/>
      <c r="K56" s="27"/>
      <c r="L56" s="17"/>
      <c r="M56" s="4"/>
      <c r="N56" s="17"/>
      <c r="O56" s="1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54" customHeight="1" x14ac:dyDescent="0.3">
      <c r="A57" s="76"/>
      <c r="B57" s="30">
        <f>B34</f>
        <v>325</v>
      </c>
      <c r="C57" s="29">
        <v>-1</v>
      </c>
      <c r="D57" s="21"/>
      <c r="E57" s="17"/>
      <c r="F57" s="17"/>
      <c r="G57" s="4"/>
      <c r="H57" s="17"/>
      <c r="I57" s="17"/>
      <c r="J57" s="17"/>
      <c r="K57" s="27"/>
      <c r="L57" s="17"/>
      <c r="M57" s="4"/>
      <c r="N57" s="17"/>
      <c r="O57" s="1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x14ac:dyDescent="0.3">
      <c r="A58" s="77" t="s">
        <v>41</v>
      </c>
      <c r="B58" s="24">
        <v>0</v>
      </c>
      <c r="C58" s="25">
        <v>0</v>
      </c>
      <c r="D58" s="4"/>
      <c r="E58" s="17"/>
      <c r="F58" s="17"/>
      <c r="G58" s="4"/>
      <c r="H58" s="17"/>
      <c r="I58" s="17"/>
      <c r="J58" s="17"/>
      <c r="K58" s="27"/>
      <c r="L58" s="17"/>
      <c r="M58" s="4"/>
      <c r="N58" s="17"/>
      <c r="O58" s="1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x14ac:dyDescent="0.3">
      <c r="A59" s="78"/>
      <c r="B59" s="24">
        <v>0</v>
      </c>
      <c r="C59" s="26">
        <v>0</v>
      </c>
      <c r="D59" s="4"/>
      <c r="E59" s="17"/>
      <c r="F59" s="17"/>
      <c r="G59" s="4"/>
      <c r="H59" s="17"/>
      <c r="I59" s="17"/>
      <c r="J59" s="17"/>
      <c r="K59" s="27"/>
      <c r="L59" s="17"/>
      <c r="M59" s="4"/>
      <c r="N59" s="17"/>
      <c r="O59" s="1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x14ac:dyDescent="0.3">
      <c r="A60" s="79" t="s">
        <v>42</v>
      </c>
      <c r="B60" s="24">
        <f>B33</f>
        <v>225.96078212440995</v>
      </c>
      <c r="C60" s="24">
        <f>B16</f>
        <v>-1</v>
      </c>
      <c r="D60" s="4"/>
      <c r="E60" s="17"/>
      <c r="F60" s="17"/>
      <c r="G60" s="4"/>
      <c r="H60" s="17"/>
      <c r="I60" s="17"/>
      <c r="J60" s="17"/>
      <c r="K60" s="27"/>
      <c r="L60" s="17"/>
      <c r="M60" s="4"/>
      <c r="N60" s="17"/>
      <c r="O60" s="1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x14ac:dyDescent="0.3">
      <c r="A61" s="79"/>
      <c r="B61" s="24">
        <f>B33</f>
        <v>225.96078212440995</v>
      </c>
      <c r="C61" s="26">
        <f>B15</f>
        <v>2.5</v>
      </c>
      <c r="D61" s="4"/>
      <c r="E61" s="17"/>
      <c r="F61" s="17"/>
      <c r="G61" s="4"/>
      <c r="H61" s="17"/>
      <c r="I61" s="17"/>
      <c r="J61" s="17"/>
      <c r="K61" s="27"/>
      <c r="L61" s="17"/>
      <c r="M61" s="4"/>
      <c r="N61" s="17"/>
      <c r="O61" s="1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x14ac:dyDescent="0.3">
      <c r="A62" s="77" t="s">
        <v>43</v>
      </c>
      <c r="B62" s="24">
        <f>B34</f>
        <v>325</v>
      </c>
      <c r="C62" s="24">
        <f>B16</f>
        <v>-1</v>
      </c>
      <c r="D62" s="4"/>
      <c r="E62" s="17"/>
      <c r="F62" s="17"/>
      <c r="G62" s="4"/>
      <c r="H62" s="17"/>
      <c r="I62" s="17"/>
      <c r="J62" s="17"/>
      <c r="K62" s="27"/>
      <c r="L62" s="17"/>
      <c r="M62" s="4"/>
      <c r="N62" s="17"/>
      <c r="O62" s="1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x14ac:dyDescent="0.3">
      <c r="A63" s="79"/>
      <c r="B63" s="24">
        <f>B34</f>
        <v>325</v>
      </c>
      <c r="C63" s="26">
        <f>B15</f>
        <v>2.5</v>
      </c>
      <c r="D63" s="4"/>
      <c r="E63" s="17"/>
      <c r="F63" s="17"/>
      <c r="G63" s="4"/>
      <c r="H63" s="17"/>
      <c r="I63" s="17"/>
      <c r="J63" s="17"/>
      <c r="K63" s="27"/>
      <c r="L63" s="17"/>
      <c r="M63" s="4"/>
      <c r="N63" s="17"/>
      <c r="O63" s="1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x14ac:dyDescent="0.3">
      <c r="A64" s="77" t="s">
        <v>44</v>
      </c>
      <c r="B64" s="24">
        <f>B35</f>
        <v>0</v>
      </c>
      <c r="C64" s="25">
        <v>0</v>
      </c>
      <c r="D64" s="4"/>
      <c r="E64" s="17"/>
      <c r="F64" s="17"/>
      <c r="G64" s="4"/>
      <c r="H64" s="17"/>
      <c r="I64" s="17"/>
      <c r="J64" s="17"/>
      <c r="K64" s="27"/>
      <c r="L64" s="17"/>
      <c r="M64" s="4"/>
      <c r="N64" s="17"/>
      <c r="O64" s="1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x14ac:dyDescent="0.3">
      <c r="A65" s="78"/>
      <c r="B65" s="24">
        <f>B35</f>
        <v>0</v>
      </c>
      <c r="C65" s="26">
        <v>0</v>
      </c>
      <c r="D65" s="4"/>
      <c r="E65" s="17"/>
      <c r="F65" s="17"/>
      <c r="G65" s="4"/>
      <c r="H65" s="17"/>
      <c r="I65" s="17"/>
      <c r="J65" s="17"/>
      <c r="K65" s="27"/>
      <c r="L65" s="17"/>
      <c r="M65" s="4"/>
      <c r="N65" s="17"/>
      <c r="O65" s="1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x14ac:dyDescent="0.3">
      <c r="A66" s="79" t="s">
        <v>45</v>
      </c>
      <c r="B66" s="24">
        <f>B8</f>
        <v>400</v>
      </c>
      <c r="C66" s="24">
        <f>B15</f>
        <v>2.5</v>
      </c>
      <c r="D66" s="4"/>
      <c r="E66" s="17"/>
      <c r="F66" s="17"/>
      <c r="G66" s="4"/>
      <c r="H66" s="17"/>
      <c r="I66" s="17"/>
      <c r="J66" s="17"/>
      <c r="K66" s="27"/>
      <c r="L66" s="17"/>
      <c r="M66" s="4"/>
      <c r="N66" s="17"/>
      <c r="O66" s="1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x14ac:dyDescent="0.3">
      <c r="A67" s="78"/>
      <c r="B67" s="24">
        <f>B8</f>
        <v>400</v>
      </c>
      <c r="C67" s="26">
        <v>0</v>
      </c>
      <c r="D67" s="4"/>
      <c r="E67" s="17"/>
      <c r="F67" s="17"/>
      <c r="G67" s="4"/>
      <c r="H67" s="17"/>
      <c r="I67" s="17"/>
      <c r="J67" s="17"/>
      <c r="K67" s="27"/>
      <c r="L67" s="17"/>
      <c r="M67" s="4"/>
      <c r="N67" s="17"/>
      <c r="O67" s="1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x14ac:dyDescent="0.3">
      <c r="A68" s="74" t="s">
        <v>46</v>
      </c>
      <c r="B68" s="28">
        <f>B34</f>
        <v>325</v>
      </c>
      <c r="C68" s="29">
        <f>B16</f>
        <v>-1</v>
      </c>
      <c r="D68" s="4"/>
      <c r="E68" s="17"/>
      <c r="F68" s="17"/>
      <c r="G68" s="4"/>
      <c r="H68" s="17"/>
      <c r="I68" s="17"/>
      <c r="J68" s="17"/>
      <c r="K68" s="27"/>
      <c r="L68" s="17"/>
      <c r="M68" s="4"/>
      <c r="N68" s="17"/>
      <c r="O68" s="1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x14ac:dyDescent="0.3">
      <c r="A69" s="75"/>
      <c r="B69" s="28">
        <f>B36</f>
        <v>400</v>
      </c>
      <c r="C69" s="28">
        <v>0</v>
      </c>
      <c r="D69" s="4"/>
      <c r="E69" s="17"/>
      <c r="F69" s="17"/>
      <c r="G69" s="4"/>
      <c r="H69" s="17"/>
      <c r="I69" s="17"/>
      <c r="J69" s="17"/>
      <c r="K69" s="27"/>
      <c r="L69" s="17"/>
      <c r="M69" s="4"/>
      <c r="N69" s="17"/>
      <c r="O69" s="1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x14ac:dyDescent="0.3">
      <c r="A70" s="80" t="s">
        <v>47</v>
      </c>
      <c r="B70" s="31">
        <v>0</v>
      </c>
      <c r="C70" s="30">
        <f>1.25*B15</f>
        <v>3.125</v>
      </c>
      <c r="D70" s="4"/>
      <c r="E70" s="17"/>
      <c r="F70" s="17"/>
      <c r="G70" s="4"/>
      <c r="H70" s="17"/>
      <c r="I70" s="17"/>
      <c r="J70" s="17"/>
      <c r="K70" s="27"/>
      <c r="L70" s="17"/>
      <c r="M70" s="4"/>
      <c r="N70" s="17"/>
      <c r="O70" s="1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x14ac:dyDescent="0.3">
      <c r="A71" s="71"/>
      <c r="B71" s="30">
        <f>B36</f>
        <v>400</v>
      </c>
      <c r="C71" s="30">
        <f>1.25*B15</f>
        <v>3.125</v>
      </c>
      <c r="D71" s="4"/>
      <c r="E71" s="17"/>
      <c r="F71" s="17"/>
      <c r="G71" s="4"/>
      <c r="H71" s="17"/>
      <c r="I71" s="17"/>
      <c r="J71" s="17"/>
      <c r="K71" s="27"/>
      <c r="L71" s="17"/>
      <c r="M71" s="4"/>
      <c r="N71" s="17"/>
      <c r="O71" s="1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x14ac:dyDescent="0.3">
      <c r="A72" s="70" t="s">
        <v>48</v>
      </c>
      <c r="B72" s="31">
        <v>0</v>
      </c>
      <c r="C72" s="30">
        <f>1.5*B15</f>
        <v>3.75</v>
      </c>
      <c r="D72" s="4"/>
      <c r="E72" s="17"/>
      <c r="F72" s="17"/>
      <c r="G72" s="4"/>
      <c r="H72" s="17"/>
      <c r="I72" s="17"/>
      <c r="J72" s="17"/>
      <c r="K72" s="27"/>
      <c r="L72" s="17"/>
      <c r="M72" s="4"/>
      <c r="N72" s="17"/>
      <c r="O72" s="17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x14ac:dyDescent="0.3">
      <c r="A73" s="71"/>
      <c r="B73" s="30">
        <f>B36</f>
        <v>400</v>
      </c>
      <c r="C73" s="30">
        <f>1.5*B15</f>
        <v>3.75</v>
      </c>
      <c r="D73" s="4"/>
      <c r="E73" s="17"/>
      <c r="F73" s="17"/>
      <c r="G73" s="4"/>
      <c r="H73" s="17"/>
      <c r="I73" s="17"/>
      <c r="J73" s="17"/>
      <c r="K73" s="27"/>
      <c r="L73" s="17"/>
      <c r="M73" s="4"/>
      <c r="N73" s="17"/>
      <c r="O73" s="1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17"/>
      <c r="K74" s="27"/>
      <c r="L74" s="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17"/>
      <c r="K75" s="27"/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x14ac:dyDescent="0.3">
      <c r="A76" s="82"/>
      <c r="B76" s="4"/>
      <c r="C76" s="4"/>
      <c r="D76" s="4"/>
      <c r="E76" s="4"/>
      <c r="F76" s="4"/>
      <c r="G76" s="4"/>
      <c r="H76" s="4"/>
      <c r="I76" s="4"/>
      <c r="J76" s="17"/>
      <c r="K76" s="27"/>
      <c r="L76" s="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x14ac:dyDescent="0.3">
      <c r="A77" s="82"/>
      <c r="B77" s="41"/>
      <c r="C77" s="41"/>
      <c r="D77" s="4"/>
      <c r="E77" s="4"/>
      <c r="F77" s="4"/>
      <c r="G77" s="4"/>
      <c r="H77" s="4"/>
      <c r="I77" s="4"/>
      <c r="J77" s="17"/>
      <c r="K77" s="27"/>
      <c r="L77" s="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x14ac:dyDescent="0.3">
      <c r="A78" s="81"/>
      <c r="B78" s="4"/>
      <c r="C78" s="4"/>
      <c r="D78" s="4"/>
      <c r="E78" s="4"/>
      <c r="F78" s="4"/>
      <c r="G78" s="4"/>
      <c r="H78" s="4"/>
      <c r="I78" s="4"/>
      <c r="J78" s="17"/>
      <c r="K78" s="27"/>
      <c r="L78" s="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x14ac:dyDescent="0.3">
      <c r="A79" s="81"/>
      <c r="B79" s="4"/>
      <c r="C79" s="4"/>
      <c r="D79" s="4"/>
      <c r="E79" s="4"/>
      <c r="F79" s="4"/>
      <c r="G79" s="4"/>
      <c r="H79" s="4"/>
      <c r="I79" s="4"/>
      <c r="J79" s="17"/>
      <c r="K79" s="27"/>
      <c r="L79" s="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x14ac:dyDescent="0.3">
      <c r="A80" s="81"/>
      <c r="B80" s="83"/>
      <c r="C80" s="4"/>
      <c r="D80" s="4"/>
      <c r="E80" s="4"/>
      <c r="F80" s="4"/>
      <c r="G80" s="4"/>
      <c r="H80" s="4"/>
      <c r="I80" s="4"/>
      <c r="J80" s="17"/>
      <c r="K80" s="27"/>
      <c r="L80" s="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x14ac:dyDescent="0.3">
      <c r="A81" s="81"/>
      <c r="B81" s="83"/>
      <c r="C81" s="4"/>
      <c r="D81" s="4"/>
      <c r="E81" s="4"/>
      <c r="F81" s="4"/>
      <c r="G81" s="4"/>
      <c r="H81" s="4"/>
      <c r="I81" s="4"/>
      <c r="J81" s="17"/>
      <c r="K81" s="27"/>
      <c r="L81" s="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x14ac:dyDescent="0.3">
      <c r="A82" s="82"/>
      <c r="B82" s="4"/>
      <c r="C82" s="4"/>
      <c r="D82" s="4"/>
      <c r="E82" s="4"/>
      <c r="F82" s="4"/>
      <c r="G82" s="4"/>
      <c r="H82" s="4"/>
      <c r="I82" s="4"/>
      <c r="J82" s="17"/>
      <c r="K82" s="27"/>
      <c r="L82" s="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x14ac:dyDescent="0.3">
      <c r="A83" s="82"/>
      <c r="B83" s="4"/>
      <c r="C83" s="4"/>
      <c r="D83" s="4"/>
      <c r="E83" s="4"/>
      <c r="F83" s="4"/>
      <c r="G83" s="4"/>
      <c r="H83" s="4"/>
      <c r="I83" s="4"/>
      <c r="J83" s="17"/>
      <c r="K83" s="27"/>
      <c r="L83" s="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x14ac:dyDescent="0.3">
      <c r="A84" s="81"/>
      <c r="B84" s="4"/>
      <c r="C84" s="4"/>
      <c r="D84" s="4"/>
      <c r="E84" s="4"/>
      <c r="F84" s="4"/>
      <c r="G84" s="4"/>
      <c r="H84" s="4"/>
      <c r="I84" s="4"/>
      <c r="J84" s="17"/>
      <c r="K84" s="27"/>
      <c r="L84" s="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x14ac:dyDescent="0.3">
      <c r="A85" s="81"/>
      <c r="B85" s="4"/>
      <c r="C85" s="4"/>
      <c r="D85" s="4"/>
      <c r="E85" s="4"/>
      <c r="F85" s="4"/>
      <c r="G85" s="4"/>
      <c r="H85" s="4"/>
      <c r="I85" s="4"/>
      <c r="J85" s="17"/>
      <c r="K85" s="27"/>
      <c r="L85" s="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x14ac:dyDescent="0.3">
      <c r="A86" s="81"/>
      <c r="B86" s="4"/>
      <c r="C86" s="4"/>
      <c r="D86" s="4"/>
      <c r="E86" s="4"/>
      <c r="F86" s="4"/>
      <c r="G86" s="4"/>
      <c r="H86" s="4"/>
      <c r="I86" s="4"/>
      <c r="J86" s="17"/>
      <c r="K86" s="27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x14ac:dyDescent="0.3">
      <c r="A87" s="81"/>
      <c r="B87" s="4"/>
      <c r="C87" s="4"/>
      <c r="D87" s="4"/>
      <c r="E87" s="4"/>
      <c r="F87" s="4"/>
      <c r="G87" s="4"/>
      <c r="H87" s="4"/>
      <c r="I87" s="4"/>
      <c r="J87" s="17"/>
      <c r="K87" s="27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</sheetData>
  <mergeCells count="59">
    <mergeCell ref="A86:A87"/>
    <mergeCell ref="A76:A77"/>
    <mergeCell ref="A78:A79"/>
    <mergeCell ref="A80:A81"/>
    <mergeCell ref="B80:B81"/>
    <mergeCell ref="A82:A83"/>
    <mergeCell ref="A84:A85"/>
    <mergeCell ref="A72:A73"/>
    <mergeCell ref="A50:A51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52:A53"/>
    <mergeCell ref="B5:C5"/>
    <mergeCell ref="B6:C6"/>
    <mergeCell ref="B7:C7"/>
    <mergeCell ref="B8:C8"/>
    <mergeCell ref="B9:C9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D4:K4"/>
    <mergeCell ref="L4:U4"/>
    <mergeCell ref="A1:A3"/>
    <mergeCell ref="B1:C3"/>
    <mergeCell ref="B4:C4"/>
    <mergeCell ref="B42:C42"/>
    <mergeCell ref="B35:C35"/>
    <mergeCell ref="B36:C36"/>
    <mergeCell ref="B37:C37"/>
    <mergeCell ref="B40:C40"/>
    <mergeCell ref="B41:C41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C3A20A79498B40BC9CF7D7CCBB5401" ma:contentTypeVersion="4" ma:contentTypeDescription="Crear nuevo documento." ma:contentTypeScope="" ma:versionID="673e37d4c0b19ca3f557588ffb8fb630">
  <xsd:schema xmlns:xsd="http://www.w3.org/2001/XMLSchema" xmlns:xs="http://www.w3.org/2001/XMLSchema" xmlns:p="http://schemas.microsoft.com/office/2006/metadata/properties" xmlns:ns2="6829990f-4afb-4f2e-980d-658e49402902" targetNamespace="http://schemas.microsoft.com/office/2006/metadata/properties" ma:root="true" ma:fieldsID="3f86a158727faa22e024fd4b10192573" ns2:_="">
    <xsd:import namespace="6829990f-4afb-4f2e-980d-658e49402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9990f-4afb-4f2e-980d-658e49402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B0AEFD-A140-4821-AEE1-410B95AD9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9990f-4afb-4f2e-980d-658e49402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313A1-A181-450A-822A-489F25B9E2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Vn-diagram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Perafan Lopez</dc:creator>
  <cp:keywords/>
  <dc:description/>
  <cp:lastModifiedBy>Tomas Atencia Tatis</cp:lastModifiedBy>
  <cp:revision/>
  <dcterms:created xsi:type="dcterms:W3CDTF">2020-02-04T20:24:20Z</dcterms:created>
  <dcterms:modified xsi:type="dcterms:W3CDTF">2025-03-22T05:37:02Z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0x01010095C3A20A79498B40BC9CF7D7CCBB5401</vt:lpwstr>
  </property>
</Properties>
</file>