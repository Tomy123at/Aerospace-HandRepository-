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ocuments\Universidad\2025-1\Estructuras Aeronáuticas\"/>
    </mc:Choice>
  </mc:AlternateContent>
  <xr:revisionPtr revIDLastSave="0" documentId="13_ncr:1_{6FC77FB7-1643-4507-85C7-EAA51EB319F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Vn-diagram Example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5" l="1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6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6" i="15"/>
  <c r="K6" i="15"/>
  <c r="K19" i="15"/>
  <c r="J7" i="15"/>
  <c r="J8" i="15"/>
  <c r="J9" i="15"/>
  <c r="J10" i="15"/>
  <c r="J11" i="15"/>
  <c r="J12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6" i="15"/>
  <c r="I7" i="15"/>
  <c r="K7" i="15" s="1"/>
  <c r="I8" i="15"/>
  <c r="K8" i="15" s="1"/>
  <c r="I9" i="15"/>
  <c r="K9" i="15" s="1"/>
  <c r="I10" i="15"/>
  <c r="K10" i="15" s="1"/>
  <c r="I11" i="15"/>
  <c r="K11" i="15" s="1"/>
  <c r="I12" i="15"/>
  <c r="K12" i="15" s="1"/>
  <c r="I13" i="15"/>
  <c r="I14" i="15"/>
  <c r="K14" i="15" s="1"/>
  <c r="I15" i="15"/>
  <c r="K15" i="15" s="1"/>
  <c r="I16" i="15"/>
  <c r="K16" i="15" s="1"/>
  <c r="I17" i="15"/>
  <c r="K17" i="15" s="1"/>
  <c r="I18" i="15"/>
  <c r="K18" i="15" s="1"/>
  <c r="I19" i="15"/>
  <c r="I20" i="15"/>
  <c r="K20" i="15" s="1"/>
  <c r="I21" i="15"/>
  <c r="K21" i="15" s="1"/>
  <c r="I22" i="15"/>
  <c r="K22" i="15" s="1"/>
  <c r="I23" i="15"/>
  <c r="K23" i="15" s="1"/>
  <c r="I24" i="15"/>
  <c r="K24" i="15" s="1"/>
  <c r="I25" i="15"/>
  <c r="K25" i="15" s="1"/>
  <c r="I26" i="15"/>
  <c r="K26" i="15" s="1"/>
  <c r="I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6" i="15"/>
  <c r="F7" i="15"/>
  <c r="F8" i="15"/>
  <c r="F9" i="15"/>
  <c r="F10" i="15"/>
  <c r="F11" i="15"/>
  <c r="F12" i="15"/>
  <c r="F13" i="15"/>
  <c r="J13" i="15" s="1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6" i="15"/>
  <c r="K13" i="15" l="1"/>
  <c r="B36" i="15" l="1"/>
  <c r="B55" i="15" s="1"/>
  <c r="B7" i="15"/>
  <c r="B34" i="15"/>
  <c r="B24" i="15"/>
  <c r="B25" i="15"/>
  <c r="B23" i="15"/>
  <c r="C63" i="15"/>
  <c r="C61" i="15"/>
  <c r="C60" i="15"/>
  <c r="C62" i="15"/>
  <c r="C71" i="15"/>
  <c r="C70" i="15"/>
  <c r="C73" i="15"/>
  <c r="C72" i="15"/>
  <c r="C53" i="15"/>
  <c r="C68" i="15"/>
  <c r="C66" i="15"/>
  <c r="D31" i="15"/>
  <c r="B53" i="15" s="1"/>
  <c r="B31" i="15"/>
  <c r="B33" i="15" s="1"/>
  <c r="B14" i="15"/>
  <c r="B67" i="15"/>
  <c r="B66" i="15"/>
  <c r="B56" i="15" l="1"/>
  <c r="B54" i="15"/>
  <c r="B51" i="15"/>
  <c r="B52" i="15"/>
  <c r="B69" i="15" l="1"/>
  <c r="B73" i="15"/>
  <c r="B71" i="15"/>
  <c r="B62" i="15"/>
  <c r="B68" i="15"/>
  <c r="B57" i="15"/>
  <c r="B63" i="15"/>
  <c r="B50" i="15"/>
  <c r="B60" i="15"/>
  <c r="B61" i="15"/>
  <c r="B65" i="15" l="1"/>
  <c r="B64" i="15"/>
  <c r="M6" i="15" a="1"/>
  <c r="M6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B09S319est</author>
    <author>tc={CAB4157D-9A01-4DF9-A7EE-BC92A38B4911}</author>
  </authors>
  <commentList>
    <comment ref="G5" authorId="0" shapeId="0" xr:uid="{64629811-35AB-44D7-BC76-0FFA288CDF0A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Esto se tomará constante en el parcial</t>
        </r>
      </text>
    </comment>
    <comment ref="L5" authorId="0" shapeId="0" xr:uid="{ADF863AF-1517-4CAA-A8CF-41BC188C3732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Esto es constante en el parcial
</t>
        </r>
      </text>
    </comment>
    <comment ref="N5" authorId="0" shapeId="0" xr:uid="{43569636-DDA2-42B5-8D8A-A94FE516CB39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Multiplicar por 32,1 pq la densidad esta en slug y debe estar en lb 
</t>
        </r>
      </text>
    </comment>
    <comment ref="P5" authorId="0" shapeId="0" xr:uid="{9A5A80C7-9EBC-4B7C-AD86-C8093E4E06E2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Se utiliza la velocidad Vge del far que está en ft/s pero convertida a nudos
56*0,5925
</t>
        </r>
      </text>
    </comment>
    <comment ref="R5" authorId="0" shapeId="0" xr:uid="{FF60FAC6-BF19-4229-82CE-DD9994FDB129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Lo mismo del factor de carga positivo de ráfaga pero Vge es la mitad por estar en picada en esta fila</t>
        </r>
      </text>
    </comment>
    <comment ref="A9" authorId="1" shapeId="0" xr:uid="{CAB4157D-9A01-4DF9-A7EE-BC92A38B491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es velocidad del sonido a esa altitud
</t>
      </text>
    </comment>
    <comment ref="D13" authorId="0" shapeId="0" xr:uid="{5A3ADC27-007D-4328-A381-AD820EC117B6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Se grafica hasta aquí pq es la Vstall
</t>
        </r>
      </text>
    </comment>
    <comment ref="D16" authorId="0" shapeId="0" xr:uid="{EEC33171-DD84-4324-865E-07AFFAD39657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Aquí debe ser el valor con tal que el valor positivo con flaps de 2
</t>
        </r>
      </text>
    </comment>
    <comment ref="D17" authorId="0" shapeId="0" xr:uid="{5D75AC48-D6A9-4748-9AF4-0B802ABDA59F}">
      <text>
        <r>
          <rPr>
            <b/>
            <sz val="9"/>
            <color indexed="81"/>
            <rFont val="Tahoma"/>
            <charset val="1"/>
          </rPr>
          <t>B09S319est:
A esta velocidad el factor de carga positivo da 2,5</t>
        </r>
      </text>
    </comment>
    <comment ref="D22" authorId="0" shapeId="0" xr:uid="{B70C3C63-1B39-4A9D-9881-A563A75FFB1C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Velocidad crucero
</t>
        </r>
      </text>
    </comment>
    <comment ref="A25" authorId="0" shapeId="0" xr:uid="{DA7DFF0E-AC12-4658-8989-A2D126A81509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Suponemos que el avion genera mas sustentación que solo las alas
</t>
        </r>
      </text>
    </comment>
    <comment ref="D26" authorId="0" shapeId="0" xr:uid="{9C7FF14B-F300-4288-949C-FD86DE4592E3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Vdive o Velocidad maxima de operación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<sst xmlns="http://schemas.openxmlformats.org/spreadsheetml/2006/main" count="76" uniqueCount="76">
  <si>
    <t>V eq. KEAS</t>
  </si>
  <si>
    <t>Mach (Ve/Cse)</t>
  </si>
  <si>
    <t>q dynamic pressure (lb/ft^2)</t>
  </si>
  <si>
    <t>Clmax_m/Clmax_0</t>
  </si>
  <si>
    <t>Cl max_m</t>
  </si>
  <si>
    <t>Cl max_m (-)</t>
  </si>
  <si>
    <t>Cl alpha_m/cl alpha 0</t>
  </si>
  <si>
    <t>Cl alpha_m</t>
  </si>
  <si>
    <t>Kg</t>
  </si>
  <si>
    <t>h (ft)</t>
  </si>
  <si>
    <t>Vc KEAS</t>
  </si>
  <si>
    <t>Vd KEAS</t>
  </si>
  <si>
    <t>(Clmax)0 at M=0</t>
  </si>
  <si>
    <t>span b ft</t>
  </si>
  <si>
    <t>wing area S ft^2</t>
  </si>
  <si>
    <t>Wing load W/S (lb/ft^2)</t>
  </si>
  <si>
    <t>positive load factor n1</t>
  </si>
  <si>
    <t>negative limit load factor</t>
  </si>
  <si>
    <t>Aspect ratio</t>
  </si>
  <si>
    <r>
      <t xml:space="preserve">Taper ratio </t>
    </r>
    <r>
      <rPr>
        <b/>
        <i/>
        <sz val="14"/>
        <color theme="1"/>
        <rFont val="Calibri"/>
        <family val="2"/>
        <scheme val="minor"/>
      </rPr>
      <t>(lambda)</t>
    </r>
  </si>
  <si>
    <r>
      <t xml:space="preserve">aflechamiento </t>
    </r>
    <r>
      <rPr>
        <b/>
        <i/>
        <sz val="14"/>
        <color theme="1"/>
        <rFont val="Calibri"/>
        <family val="2"/>
        <scheme val="minor"/>
      </rPr>
      <t>(Swept)</t>
    </r>
    <r>
      <rPr>
        <b/>
        <sz val="14"/>
        <color theme="1"/>
        <rFont val="Calibri"/>
        <family val="2"/>
        <scheme val="minor"/>
      </rPr>
      <t>Λ</t>
    </r>
  </si>
  <si>
    <r>
      <t xml:space="preserve">Compressibility factor </t>
    </r>
    <r>
      <rPr>
        <b/>
        <i/>
        <sz val="14"/>
        <color theme="1"/>
        <rFont val="Calibri"/>
        <family val="2"/>
        <scheme val="minor"/>
      </rPr>
      <t>beta</t>
    </r>
  </si>
  <si>
    <t>compressible swept parameter Λ_beta</t>
  </si>
  <si>
    <t>β*AR/K</t>
  </si>
  <si>
    <t>cl alpha w (1/rad) tablas</t>
  </si>
  <si>
    <t>mean aerodynamic chord (c_bar) ft</t>
  </si>
  <si>
    <t>negative Cl max (-) M=0</t>
  </si>
  <si>
    <t>Speeds</t>
  </si>
  <si>
    <t>V stall KEAS</t>
  </si>
  <si>
    <t>V flaps KEAS</t>
  </si>
  <si>
    <t>V cruise KEAS</t>
  </si>
  <si>
    <t>V NE</t>
  </si>
  <si>
    <t>V dive KEAS</t>
  </si>
  <si>
    <t>V_B</t>
  </si>
  <si>
    <t>Loads</t>
  </si>
  <si>
    <t>n2 load factor (75% n1)</t>
  </si>
  <si>
    <t>proof load 1,25 n1</t>
  </si>
  <si>
    <t>Plot</t>
  </si>
  <si>
    <t>x</t>
  </si>
  <si>
    <t>y</t>
  </si>
  <si>
    <t xml:space="preserve">positive V stall </t>
  </si>
  <si>
    <t>V flaps</t>
  </si>
  <si>
    <t xml:space="preserve">V maneuver </t>
  </si>
  <si>
    <t>V cruise</t>
  </si>
  <si>
    <t>V ne</t>
  </si>
  <si>
    <t>V dive</t>
  </si>
  <si>
    <t>Vcruise to Vdive (positive load factors)</t>
  </si>
  <si>
    <t>proof load</t>
  </si>
  <si>
    <t>Ultimate load</t>
  </si>
  <si>
    <t>MANEUVER</t>
  </si>
  <si>
    <t>GUST</t>
  </si>
  <si>
    <t>Cse KEAS (h ft)</t>
  </si>
  <si>
    <t>Gravity ft/s^2</t>
  </si>
  <si>
    <t>n+</t>
  </si>
  <si>
    <t>n-</t>
  </si>
  <si>
    <t>negative V stall</t>
  </si>
  <si>
    <t>MTOW (lb)</t>
  </si>
  <si>
    <r>
      <rPr>
        <b/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factor assume = 1</t>
    </r>
  </si>
  <si>
    <t>negative load factor related to maneuver speed to cruise speed due to is under FAR 25 (more restrictive)</t>
  </si>
  <si>
    <r>
      <t xml:space="preserve">cl alpha aircraft (1/rad) at </t>
    </r>
    <r>
      <rPr>
        <b/>
        <sz val="14"/>
        <rFont val="Calibri"/>
        <family val="2"/>
        <scheme val="minor"/>
      </rPr>
      <t>M=0</t>
    </r>
  </si>
  <si>
    <t>V maneuver KEAS</t>
  </si>
  <si>
    <t>Ultimate load 1,5 n1</t>
  </si>
  <si>
    <t>positive load factor n+</t>
  </si>
  <si>
    <t>negative load factor n-</t>
  </si>
  <si>
    <t>µ</t>
  </si>
  <si>
    <t>positive gust load factor V_B</t>
  </si>
  <si>
    <t>negative gust load factor V_B</t>
  </si>
  <si>
    <t>positive gust load factor V_C</t>
  </si>
  <si>
    <t>negative gust load factor V_C</t>
  </si>
  <si>
    <t>positive gust load factor V_D</t>
  </si>
  <si>
    <t>negative gust load factor V_D</t>
  </si>
  <si>
    <t>Air density at h ft (slug/ft^3)</t>
  </si>
  <si>
    <t>EXAMPLE 1</t>
  </si>
  <si>
    <t>Positive load factor related to maneuver speed to dive speed</t>
  </si>
  <si>
    <t>Positive load factor n+ with flaps</t>
  </si>
  <si>
    <t>A318-100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</si>
</sst>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Aptos Narrow"/>
      <family val="2"/>
    </font>
    <font>
      <sz val="14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3" borderId="9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5" borderId="1" xfId="0" applyFont="1" applyFill="1" applyBorder="1" applyAlignment="1">
      <alignment vertical="center" wrapText="1"/>
    </xf>
    <xf numFmtId="2" fontId="5" fillId="0" borderId="0" xfId="0" applyNumberFormat="1" applyFont="1" applyAlignment="1">
      <alignment horizontal="center"/>
    </xf>
    <xf numFmtId="0" fontId="5" fillId="0" borderId="0" xfId="0" applyFo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2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vertical="center" wrapText="1"/>
    </xf>
    <xf numFmtId="2" fontId="2" fillId="3" borderId="10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" fontId="1" fillId="0" borderId="0" xfId="0" applyNumberFormat="1" applyFont="1"/>
    <xf numFmtId="0" fontId="8" fillId="5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9" fillId="0" borderId="0" xfId="0" applyFont="1"/>
    <xf numFmtId="2" fontId="10" fillId="0" borderId="0" xfId="0" applyNumberFormat="1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2" fontId="1" fillId="6" borderId="0" xfId="0" applyNumberFormat="1" applyFont="1" applyFill="1"/>
    <xf numFmtId="2" fontId="1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2" fontId="1" fillId="5" borderId="6" xfId="0" applyNumberFormat="1" applyFont="1" applyFill="1" applyBorder="1" applyAlignment="1">
      <alignment horizontal="center" vertical="center" wrapText="1"/>
    </xf>
    <xf numFmtId="2" fontId="1" fillId="5" borderId="10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2" fontId="1" fillId="7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112059</xdr:colOff>
      <xdr:row>40</xdr:row>
      <xdr:rowOff>11206</xdr:rowOff>
    </xdr:from>
    <xdr:to>
      <xdr:col>6</xdr:col>
      <xdr:colOff>560294</xdr:colOff>
      <xdr:row>52</xdr:row>
      <xdr:rowOff>11206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E927853-03BD-AAEC-0DCC-4A6B344E0B01}"/>
            </a:ext>
          </a:extLst>
        </xdr:cNvPr>
        <xdr:cNvSpPr txBox="1"/>
      </xdr:nvSpPr>
      <xdr:spPr>
        <a:xfrm>
          <a:off x="6163235" y="9973235"/>
          <a:ext cx="3070412" cy="2891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Peso limita FAR</a:t>
          </a:r>
        </a:p>
        <a:p>
          <a:r>
            <a:rPr lang="es-CO" sz="1100"/>
            <a:t>Pasajeros limita nivel de FAR</a:t>
          </a:r>
          <a:r>
            <a:rPr lang="es-CO" sz="1100" baseline="0"/>
            <a:t> 23</a:t>
          </a:r>
        </a:p>
        <a:p>
          <a:endParaRPr lang="es-CO" sz="1100" baseline="0"/>
        </a:p>
        <a:p>
          <a:r>
            <a:rPr lang="es-CO" sz="1100" baseline="0"/>
            <a:t>Suponemos que beta y k valen 1.</a:t>
          </a:r>
        </a:p>
        <a:p>
          <a:endParaRPr lang="es-CO" sz="1100" baseline="0"/>
        </a:p>
        <a:p>
          <a:r>
            <a:rPr lang="es-CO" sz="1100" baseline="0"/>
            <a:t>Taper ratio es 0,4 pero no hay grafica para eso </a:t>
          </a:r>
        </a:p>
        <a:p>
          <a:endParaRPr lang="es-CO" sz="1100" baseline="0"/>
        </a:p>
        <a:p>
          <a:r>
            <a:rPr lang="es-CO" sz="1100" baseline="0"/>
            <a:t>Se hace interpolación</a:t>
          </a:r>
        </a:p>
        <a:p>
          <a:endParaRPr lang="es-CO" sz="1100"/>
        </a:p>
        <a:p>
          <a:r>
            <a:rPr lang="es-CO" sz="1100"/>
            <a:t>lamba</a:t>
          </a:r>
          <a:r>
            <a:rPr lang="es-CO" sz="1100" baseline="0"/>
            <a:t> |  Claw</a:t>
          </a:r>
        </a:p>
        <a:p>
          <a:r>
            <a:rPr lang="es-CO" sz="1100" baseline="0"/>
            <a:t>0,25    |  0,0825</a:t>
          </a:r>
        </a:p>
        <a:p>
          <a:r>
            <a:rPr lang="es-CO" sz="1100" baseline="0"/>
            <a:t>0,4      |  x</a:t>
          </a:r>
        </a:p>
        <a:p>
          <a:r>
            <a:rPr lang="es-CO" sz="1100" baseline="0"/>
            <a:t>0,5      |  0,0825</a:t>
          </a:r>
          <a:endParaRPr lang="es-CO" sz="1100"/>
        </a:p>
      </xdr:txBody>
    </xdr:sp>
    <xdr:clientData/>
  </xdr:twoCellAnchor>
  <xdr:twoCellAnchor editAs="oneCell">
    <xdr:from>
      <xdr:col>6</xdr:col>
      <xdr:colOff>648828</xdr:colOff>
      <xdr:row>38</xdr:row>
      <xdr:rowOff>207426</xdr:rowOff>
    </xdr:from>
    <xdr:to>
      <xdr:col>11</xdr:col>
      <xdr:colOff>1101112</xdr:colOff>
      <xdr:row>56</xdr:row>
      <xdr:rowOff>667444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481AD3-1AC0-50C1-34B7-1DEC4ECBB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7487" y="9593036"/>
          <a:ext cx="6027893" cy="48508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mas Atencia Tatis" id="{0C01CCDA-1757-434E-B1AB-E052B9D69D89}" userId="4afdd8f26562bdc3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5-03-03T18:09:50.66" personId="{0C01CCDA-1757-434E-B1AB-E052B9D69D89}" id="{CAB4157D-9A01-4DF9-A7EE-BC92A38B4911}">
    <text xml:space="preserve">Esto es velocidad del sonido a esa altitud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F253-A9E8-4A18-A701-469A9F36700D}">
  <dimension ref="A1:Z87"/>
  <sheetViews>
    <sheetView tabSelected="1" zoomScale="77" zoomScaleNormal="72" workbookViewId="0">
      <selection activeCell="D54" sqref="D54"/>
    </sheetView>
  </sheetViews>
  <sheetFormatPr baseColWidth="10" defaultColWidth="11.42578125" defaultRowHeight="15" x14ac:dyDescent="0.25"/>
  <cols>
    <col min="1" max="1" width="42" customWidth="1"/>
    <col min="2" max="2" width="20.5703125" customWidth="1"/>
    <col min="4" max="4" width="16.85546875" customWidth="1"/>
    <col min="5" max="5" width="22.85546875" customWidth="1"/>
    <col min="6" max="6" width="16.42578125" customWidth="1"/>
    <col min="7" max="7" width="22.5703125" customWidth="1"/>
    <col min="8" max="8" width="12.85546875" customWidth="1"/>
    <col min="9" max="9" width="15.42578125" customWidth="1"/>
    <col min="10" max="10" width="16.42578125" style="2" customWidth="1"/>
    <col min="11" max="11" width="16.28515625" style="6" customWidth="1"/>
    <col min="12" max="12" width="18.85546875" style="1" customWidth="1"/>
    <col min="13" max="13" width="12.28515625" customWidth="1"/>
    <col min="16" max="16" width="22.7109375" customWidth="1"/>
    <col min="17" max="17" width="21.7109375" customWidth="1"/>
    <col min="18" max="19" width="22.28515625" customWidth="1"/>
    <col min="20" max="20" width="22" customWidth="1"/>
    <col min="21" max="21" width="22.5703125" customWidth="1"/>
    <col min="22" max="22" width="19.28515625" customWidth="1"/>
  </cols>
  <sheetData>
    <row r="1" spans="1:26" x14ac:dyDescent="0.25">
      <c r="A1" s="53" t="s">
        <v>75</v>
      </c>
      <c r="B1" s="53" t="s">
        <v>72</v>
      </c>
      <c r="C1" s="53"/>
    </row>
    <row r="2" spans="1:26" x14ac:dyDescent="0.25">
      <c r="A2" s="53"/>
      <c r="B2" s="53"/>
      <c r="C2" s="53"/>
    </row>
    <row r="3" spans="1:26" x14ac:dyDescent="0.25">
      <c r="A3" s="53"/>
      <c r="B3" s="53"/>
      <c r="C3" s="53"/>
    </row>
    <row r="4" spans="1:26" ht="18.75" x14ac:dyDescent="0.3">
      <c r="B4" s="54"/>
      <c r="C4" s="55"/>
      <c r="D4" s="52" t="s">
        <v>49</v>
      </c>
      <c r="E4" s="52"/>
      <c r="F4" s="52"/>
      <c r="G4" s="52"/>
      <c r="H4" s="52"/>
      <c r="I4" s="52"/>
      <c r="J4" s="52"/>
      <c r="K4" s="52"/>
      <c r="L4" s="52" t="s">
        <v>50</v>
      </c>
      <c r="M4" s="52"/>
      <c r="N4" s="52"/>
      <c r="O4" s="52"/>
      <c r="P4" s="52"/>
      <c r="Q4" s="52"/>
      <c r="R4" s="52"/>
      <c r="S4" s="52"/>
      <c r="T4" s="52"/>
      <c r="U4" s="52"/>
      <c r="V4" s="46"/>
    </row>
    <row r="5" spans="1:26" ht="52.9" customHeight="1" x14ac:dyDescent="0.3">
      <c r="A5" s="3" t="s">
        <v>56</v>
      </c>
      <c r="B5" s="56">
        <v>130075</v>
      </c>
      <c r="C5" s="56"/>
      <c r="D5" s="36" t="s">
        <v>0</v>
      </c>
      <c r="E5" s="37" t="s">
        <v>1</v>
      </c>
      <c r="F5" s="36" t="s">
        <v>2</v>
      </c>
      <c r="G5" s="36" t="s">
        <v>3</v>
      </c>
      <c r="H5" s="37" t="s">
        <v>4</v>
      </c>
      <c r="I5" s="37" t="s">
        <v>5</v>
      </c>
      <c r="J5" s="38" t="s">
        <v>62</v>
      </c>
      <c r="K5" s="39" t="s">
        <v>63</v>
      </c>
      <c r="L5" s="14" t="s">
        <v>6</v>
      </c>
      <c r="M5" s="14" t="s">
        <v>7</v>
      </c>
      <c r="N5" s="42" t="s">
        <v>64</v>
      </c>
      <c r="O5" s="15" t="s">
        <v>8</v>
      </c>
      <c r="P5" s="14" t="s">
        <v>65</v>
      </c>
      <c r="Q5" s="14" t="s">
        <v>66</v>
      </c>
      <c r="R5" s="14" t="s">
        <v>67</v>
      </c>
      <c r="S5" s="14" t="s">
        <v>68</v>
      </c>
      <c r="T5" s="14" t="s">
        <v>69</v>
      </c>
      <c r="U5" s="14" t="s">
        <v>70</v>
      </c>
      <c r="V5" s="47" t="s">
        <v>74</v>
      </c>
      <c r="W5" s="16"/>
      <c r="X5" s="4"/>
      <c r="Y5" s="4"/>
      <c r="Z5" s="4"/>
    </row>
    <row r="6" spans="1:26" ht="18.75" x14ac:dyDescent="0.3">
      <c r="A6" s="3" t="s">
        <v>9</v>
      </c>
      <c r="B6" s="56">
        <v>4</v>
      </c>
      <c r="C6" s="56"/>
      <c r="D6" s="17">
        <v>0</v>
      </c>
      <c r="E6" s="17">
        <f>D6/$B$9</f>
        <v>0</v>
      </c>
      <c r="F6" s="17">
        <f>(D6^2)/296</f>
        <v>0</v>
      </c>
      <c r="G6" s="43">
        <v>1</v>
      </c>
      <c r="H6" s="17">
        <f>$B$10*G6</f>
        <v>1.36</v>
      </c>
      <c r="I6" s="17">
        <f>$B$28*G6</f>
        <v>1.36</v>
      </c>
      <c r="J6" s="17">
        <f>(F6*H6)/$B$14</f>
        <v>0</v>
      </c>
      <c r="K6" s="17">
        <f>-(F6*I6)/$B$14</f>
        <v>0</v>
      </c>
      <c r="L6" s="17">
        <v>1</v>
      </c>
      <c r="M6" s="17" cm="1">
        <f t="array" ref="M6:M26">$B$25*L6:L26</f>
        <v>5.5939666388512324</v>
      </c>
      <c r="N6" s="17">
        <f>2*$B$5/($B$26*$B$27*M6*$B$13*32.174)</f>
        <v>33.557021537469609</v>
      </c>
      <c r="O6" s="17">
        <f>0.88*N6/(5.3+N6)</f>
        <v>0.75997021347859794</v>
      </c>
      <c r="P6" s="17">
        <f>1+(O6*56*0.5925*D6*M6)/(498*$B$14)</f>
        <v>1</v>
      </c>
      <c r="Q6" s="17">
        <f>1-(O6*56*0.5925*D6*M6)/(498*$B$14)</f>
        <v>1</v>
      </c>
      <c r="R6" s="17">
        <f>1+(O6*(56/2)*0.5925*D6*M6)/(498*$B$14)</f>
        <v>1</v>
      </c>
      <c r="S6" s="17">
        <f>1-(O6*(56/2)*0.5925*D6*M6)/(498*$B$14)</f>
        <v>1</v>
      </c>
      <c r="T6" s="17"/>
      <c r="U6" s="17"/>
      <c r="V6" s="41"/>
      <c r="W6" s="4"/>
      <c r="X6" s="4"/>
      <c r="Y6" s="4"/>
      <c r="Z6" s="4"/>
    </row>
    <row r="7" spans="1:26" ht="18.75" x14ac:dyDescent="0.3">
      <c r="A7" s="40" t="s">
        <v>10</v>
      </c>
      <c r="B7" s="60">
        <f>305</f>
        <v>305</v>
      </c>
      <c r="C7" s="60"/>
      <c r="D7" s="17">
        <v>20</v>
      </c>
      <c r="E7" s="17">
        <f t="shared" ref="E7:E28" si="0">D7/$B$9</f>
        <v>3.6456434560699962E-2</v>
      </c>
      <c r="F7" s="17">
        <f t="shared" ref="F7:F28" si="1">(D7^2)/296</f>
        <v>1.3513513513513513</v>
      </c>
      <c r="G7" s="43">
        <v>1</v>
      </c>
      <c r="H7" s="17">
        <f t="shared" ref="H7:H28" si="2">$B$10*G7</f>
        <v>1.36</v>
      </c>
      <c r="I7" s="17">
        <f t="shared" ref="I7:I28" si="3">$B$28*G7</f>
        <v>1.36</v>
      </c>
      <c r="J7" s="17">
        <f t="shared" ref="J7:J26" si="4">(F7*H7)/$B$14</f>
        <v>1.8615040179522209E-2</v>
      </c>
      <c r="K7" s="17">
        <f>-(F7*I7)/$B$14</f>
        <v>-1.8615040179522209E-2</v>
      </c>
      <c r="L7" s="17">
        <v>1</v>
      </c>
      <c r="M7" s="17">
        <v>5.5939666388512324</v>
      </c>
      <c r="N7" s="17">
        <f t="shared" ref="N7:N28" si="5">2*$B$5/($B$26*$B$27*M7*$B$13*32.174)</f>
        <v>33.557021537469609</v>
      </c>
      <c r="O7" s="17">
        <f t="shared" ref="O7:O26" si="6">0.88*N7/(5.3+N7)</f>
        <v>0.75997021347859794</v>
      </c>
      <c r="P7" s="17">
        <f t="shared" ref="P7:P26" si="7">1+(O7*56*0.5925*D7*M7)/(498*$B$14)</f>
        <v>1.0573786421608677</v>
      </c>
      <c r="Q7" s="17">
        <f t="shared" ref="Q7:Q26" si="8">1-(O7*56*0.5925*D7*M7)/(498*$B$14)</f>
        <v>0.94262135783913226</v>
      </c>
      <c r="R7" s="17">
        <f t="shared" ref="R7:R26" si="9">1+(O7*(56/2)*0.5925*D7*M7)/(498*$B$14)</f>
        <v>1.0286893210804338</v>
      </c>
      <c r="S7" s="17">
        <f t="shared" ref="S7:S26" si="10">1-(O7*(56/2)*0.5925*D7*M7)/(498*$B$14)</f>
        <v>0.97131067891956613</v>
      </c>
      <c r="T7" s="17"/>
      <c r="U7" s="17"/>
      <c r="V7" s="41"/>
      <c r="W7" s="4"/>
      <c r="X7" s="4"/>
      <c r="Y7" s="4"/>
      <c r="Z7" s="4"/>
    </row>
    <row r="8" spans="1:26" ht="18.75" x14ac:dyDescent="0.3">
      <c r="A8" s="3" t="s">
        <v>11</v>
      </c>
      <c r="B8" s="56">
        <v>385</v>
      </c>
      <c r="C8" s="56"/>
      <c r="D8" s="17">
        <v>40</v>
      </c>
      <c r="E8" s="17">
        <f t="shared" si="0"/>
        <v>7.2912869121399923E-2</v>
      </c>
      <c r="F8" s="17">
        <f t="shared" si="1"/>
        <v>5.4054054054054053</v>
      </c>
      <c r="G8" s="43">
        <v>1</v>
      </c>
      <c r="H8" s="17">
        <f t="shared" si="2"/>
        <v>1.36</v>
      </c>
      <c r="I8" s="17">
        <f t="shared" si="3"/>
        <v>1.36</v>
      </c>
      <c r="J8" s="17">
        <f t="shared" si="4"/>
        <v>7.4460160718088836E-2</v>
      </c>
      <c r="K8" s="17">
        <f t="shared" ref="K7:K28" si="11">-(F8*I8)/$B$14</f>
        <v>-7.4460160718088836E-2</v>
      </c>
      <c r="L8" s="17">
        <v>1</v>
      </c>
      <c r="M8" s="17">
        <v>5.5939666388512324</v>
      </c>
      <c r="N8" s="17">
        <f t="shared" si="5"/>
        <v>33.557021537469609</v>
      </c>
      <c r="O8" s="17">
        <f t="shared" si="6"/>
        <v>0.75997021347859794</v>
      </c>
      <c r="P8" s="17">
        <f t="shared" si="7"/>
        <v>1.1147572843217355</v>
      </c>
      <c r="Q8" s="17">
        <f t="shared" si="8"/>
        <v>0.88524271567826451</v>
      </c>
      <c r="R8" s="17">
        <f t="shared" si="9"/>
        <v>1.0573786421608677</v>
      </c>
      <c r="S8" s="17">
        <f t="shared" si="10"/>
        <v>0.94262135783913226</v>
      </c>
      <c r="T8" s="17"/>
      <c r="U8" s="17"/>
      <c r="V8" s="41"/>
      <c r="W8" s="4"/>
      <c r="X8" s="4"/>
      <c r="Y8" s="4"/>
      <c r="Z8" s="4"/>
    </row>
    <row r="9" spans="1:26" ht="18.75" x14ac:dyDescent="0.3">
      <c r="A9" s="3" t="s">
        <v>51</v>
      </c>
      <c r="B9" s="56">
        <v>548.6</v>
      </c>
      <c r="C9" s="56"/>
      <c r="D9" s="17">
        <v>60</v>
      </c>
      <c r="E9" s="17">
        <f t="shared" si="0"/>
        <v>0.10936930368209989</v>
      </c>
      <c r="F9" s="17">
        <f t="shared" si="1"/>
        <v>12.162162162162161</v>
      </c>
      <c r="G9" s="43">
        <v>1</v>
      </c>
      <c r="H9" s="17">
        <f t="shared" si="2"/>
        <v>1.36</v>
      </c>
      <c r="I9" s="17">
        <f t="shared" si="3"/>
        <v>1.36</v>
      </c>
      <c r="J9" s="17">
        <f t="shared" si="4"/>
        <v>0.16753536161569987</v>
      </c>
      <c r="K9" s="17">
        <f t="shared" si="11"/>
        <v>-0.16753536161569987</v>
      </c>
      <c r="L9" s="17">
        <v>1</v>
      </c>
      <c r="M9" s="17">
        <v>5.5939666388512324</v>
      </c>
      <c r="N9" s="17">
        <f t="shared" si="5"/>
        <v>33.557021537469609</v>
      </c>
      <c r="O9" s="17">
        <f t="shared" si="6"/>
        <v>0.75997021347859794</v>
      </c>
      <c r="P9" s="17">
        <f t="shared" si="7"/>
        <v>1.1721359264826032</v>
      </c>
      <c r="Q9" s="17">
        <f t="shared" si="8"/>
        <v>0.82786407351739677</v>
      </c>
      <c r="R9" s="17">
        <f t="shared" si="9"/>
        <v>1.0860679632413017</v>
      </c>
      <c r="S9" s="17">
        <f t="shared" si="10"/>
        <v>0.91393203675869839</v>
      </c>
      <c r="T9" s="17"/>
      <c r="U9" s="17"/>
      <c r="V9" s="41"/>
      <c r="W9" s="4"/>
      <c r="X9" s="4"/>
      <c r="Y9" s="4"/>
      <c r="Z9" s="4"/>
    </row>
    <row r="10" spans="1:26" ht="18.75" x14ac:dyDescent="0.3">
      <c r="A10" s="40" t="s">
        <v>12</v>
      </c>
      <c r="B10" s="60">
        <v>1.36</v>
      </c>
      <c r="C10" s="60"/>
      <c r="D10" s="17">
        <v>80</v>
      </c>
      <c r="E10" s="17">
        <f t="shared" si="0"/>
        <v>0.14582573824279985</v>
      </c>
      <c r="F10" s="17">
        <f t="shared" si="1"/>
        <v>21.621621621621621</v>
      </c>
      <c r="G10" s="43">
        <v>1</v>
      </c>
      <c r="H10" s="17">
        <f t="shared" si="2"/>
        <v>1.36</v>
      </c>
      <c r="I10" s="17">
        <f t="shared" si="3"/>
        <v>1.36</v>
      </c>
      <c r="J10" s="17">
        <f t="shared" si="4"/>
        <v>0.29784064287235534</v>
      </c>
      <c r="K10" s="17">
        <f t="shared" si="11"/>
        <v>-0.29784064287235534</v>
      </c>
      <c r="L10" s="17">
        <v>1</v>
      </c>
      <c r="M10" s="17">
        <v>5.5939666388512324</v>
      </c>
      <c r="N10" s="17">
        <f t="shared" si="5"/>
        <v>33.557021537469609</v>
      </c>
      <c r="O10" s="17">
        <f t="shared" si="6"/>
        <v>0.75997021347859794</v>
      </c>
      <c r="P10" s="17">
        <f t="shared" si="7"/>
        <v>1.229514568643471</v>
      </c>
      <c r="Q10" s="17">
        <f t="shared" si="8"/>
        <v>0.77048543135652903</v>
      </c>
      <c r="R10" s="17">
        <f t="shared" si="9"/>
        <v>1.1147572843217355</v>
      </c>
      <c r="S10" s="17">
        <f t="shared" si="10"/>
        <v>0.88524271567826451</v>
      </c>
      <c r="T10" s="17"/>
      <c r="U10" s="17"/>
      <c r="V10" s="41"/>
      <c r="W10" s="4"/>
      <c r="X10" s="4"/>
      <c r="Y10" s="4"/>
      <c r="Z10" s="4"/>
    </row>
    <row r="11" spans="1:26" ht="18.75" x14ac:dyDescent="0.3">
      <c r="A11" s="3" t="s">
        <v>52</v>
      </c>
      <c r="B11" s="61">
        <v>32.173999999999999</v>
      </c>
      <c r="C11" s="61"/>
      <c r="D11" s="17">
        <v>100</v>
      </c>
      <c r="E11" s="17">
        <f t="shared" si="0"/>
        <v>0.18228217280349981</v>
      </c>
      <c r="F11" s="17">
        <f t="shared" si="1"/>
        <v>33.783783783783782</v>
      </c>
      <c r="G11" s="43">
        <v>1</v>
      </c>
      <c r="H11" s="17">
        <f t="shared" si="2"/>
        <v>1.36</v>
      </c>
      <c r="I11" s="17">
        <f t="shared" si="3"/>
        <v>1.36</v>
      </c>
      <c r="J11" s="17">
        <f t="shared" si="4"/>
        <v>0.46537600448805527</v>
      </c>
      <c r="K11" s="17">
        <f t="shared" si="11"/>
        <v>-0.46537600448805527</v>
      </c>
      <c r="L11" s="17">
        <v>1</v>
      </c>
      <c r="M11" s="17">
        <v>5.5939666388512324</v>
      </c>
      <c r="N11" s="17">
        <f t="shared" si="5"/>
        <v>33.557021537469609</v>
      </c>
      <c r="O11" s="17">
        <f t="shared" si="6"/>
        <v>0.75997021347859794</v>
      </c>
      <c r="P11" s="17">
        <f t="shared" si="7"/>
        <v>1.2868932108043387</v>
      </c>
      <c r="Q11" s="17">
        <f t="shared" si="8"/>
        <v>0.71310678919566128</v>
      </c>
      <c r="R11" s="17">
        <f t="shared" si="9"/>
        <v>1.1434466054021692</v>
      </c>
      <c r="S11" s="17">
        <f t="shared" si="10"/>
        <v>0.85655339459783064</v>
      </c>
      <c r="T11" s="17"/>
      <c r="U11" s="17"/>
      <c r="V11" s="41"/>
      <c r="W11" s="4"/>
      <c r="X11" s="4"/>
      <c r="Y11" s="4"/>
      <c r="Z11" s="4"/>
    </row>
    <row r="12" spans="1:26" ht="18.75" x14ac:dyDescent="0.3">
      <c r="A12" s="3" t="s">
        <v>13</v>
      </c>
      <c r="B12" s="56">
        <v>111.8766</v>
      </c>
      <c r="C12" s="56"/>
      <c r="D12" s="17">
        <v>120</v>
      </c>
      <c r="E12" s="17">
        <f t="shared" si="0"/>
        <v>0.21873860736419978</v>
      </c>
      <c r="F12" s="17">
        <f t="shared" si="1"/>
        <v>48.648648648648646</v>
      </c>
      <c r="G12" s="43">
        <v>1</v>
      </c>
      <c r="H12" s="17">
        <f t="shared" si="2"/>
        <v>1.36</v>
      </c>
      <c r="I12" s="17">
        <f t="shared" si="3"/>
        <v>1.36</v>
      </c>
      <c r="J12" s="17">
        <f t="shared" si="4"/>
        <v>0.67014144646279949</v>
      </c>
      <c r="K12" s="17">
        <f t="shared" si="11"/>
        <v>-0.67014144646279949</v>
      </c>
      <c r="L12" s="17">
        <v>1</v>
      </c>
      <c r="M12" s="17">
        <v>5.5939666388512324</v>
      </c>
      <c r="N12" s="17">
        <f t="shared" si="5"/>
        <v>33.557021537469609</v>
      </c>
      <c r="O12" s="17">
        <f t="shared" si="6"/>
        <v>0.75997021347859794</v>
      </c>
      <c r="P12" s="17">
        <f t="shared" si="7"/>
        <v>1.3442718529652065</v>
      </c>
      <c r="Q12" s="17">
        <f t="shared" si="8"/>
        <v>0.65572814703479354</v>
      </c>
      <c r="R12" s="17">
        <f t="shared" si="9"/>
        <v>1.1721359264826032</v>
      </c>
      <c r="S12" s="17">
        <f t="shared" si="10"/>
        <v>0.82786407351739677</v>
      </c>
      <c r="T12" s="17"/>
      <c r="U12" s="17"/>
      <c r="V12" s="41"/>
      <c r="W12" s="4"/>
      <c r="X12" s="4"/>
      <c r="Y12" s="4"/>
      <c r="Z12" s="4"/>
    </row>
    <row r="13" spans="1:26" ht="18.75" x14ac:dyDescent="0.3">
      <c r="A13" s="3" t="s">
        <v>14</v>
      </c>
      <c r="B13" s="56">
        <v>1317.5</v>
      </c>
      <c r="C13" s="56"/>
      <c r="D13" s="17">
        <v>146</v>
      </c>
      <c r="E13" s="17">
        <f t="shared" si="0"/>
        <v>0.2661319722931097</v>
      </c>
      <c r="F13" s="17">
        <f t="shared" si="1"/>
        <v>72.013513513513516</v>
      </c>
      <c r="G13" s="43">
        <v>1</v>
      </c>
      <c r="H13" s="17">
        <f t="shared" si="2"/>
        <v>1.36</v>
      </c>
      <c r="I13" s="17">
        <f t="shared" si="3"/>
        <v>1.36</v>
      </c>
      <c r="J13" s="17">
        <f t="shared" si="4"/>
        <v>0.99199549116673857</v>
      </c>
      <c r="K13" s="17">
        <f t="shared" si="11"/>
        <v>-0.99199549116673857</v>
      </c>
      <c r="L13" s="17">
        <v>1</v>
      </c>
      <c r="M13" s="17">
        <v>5.5939666388512324</v>
      </c>
      <c r="N13" s="17">
        <f t="shared" si="5"/>
        <v>33.557021537469609</v>
      </c>
      <c r="O13" s="17">
        <f t="shared" si="6"/>
        <v>0.75997021347859794</v>
      </c>
      <c r="P13" s="17">
        <f t="shared" si="7"/>
        <v>1.4188640877743346</v>
      </c>
      <c r="Q13" s="17">
        <f t="shared" si="8"/>
        <v>0.58113591222566541</v>
      </c>
      <c r="R13" s="17">
        <f t="shared" si="9"/>
        <v>1.2094320438871673</v>
      </c>
      <c r="S13" s="17">
        <f t="shared" si="10"/>
        <v>0.7905679561128327</v>
      </c>
      <c r="T13" s="17"/>
      <c r="U13" s="17"/>
      <c r="V13" s="41"/>
      <c r="W13" s="4"/>
      <c r="X13" s="4"/>
      <c r="Y13" s="4"/>
      <c r="Z13" s="4"/>
    </row>
    <row r="14" spans="1:26" ht="18.75" x14ac:dyDescent="0.3">
      <c r="A14" s="3" t="s">
        <v>15</v>
      </c>
      <c r="B14" s="62">
        <f>B5/B13</f>
        <v>98.728652751423155</v>
      </c>
      <c r="C14" s="63"/>
      <c r="D14" s="17">
        <v>160</v>
      </c>
      <c r="E14" s="17">
        <f t="shared" si="0"/>
        <v>0.29165147648559969</v>
      </c>
      <c r="F14" s="17">
        <f t="shared" si="1"/>
        <v>86.486486486486484</v>
      </c>
      <c r="G14" s="43">
        <v>1</v>
      </c>
      <c r="H14" s="17">
        <f t="shared" si="2"/>
        <v>1.36</v>
      </c>
      <c r="I14" s="17">
        <f t="shared" si="3"/>
        <v>1.36</v>
      </c>
      <c r="J14" s="17">
        <f t="shared" si="4"/>
        <v>1.1913625714894214</v>
      </c>
      <c r="K14" s="17">
        <f t="shared" si="11"/>
        <v>-1.1913625714894214</v>
      </c>
      <c r="L14" s="17">
        <v>1</v>
      </c>
      <c r="M14" s="17">
        <v>5.5939666388512324</v>
      </c>
      <c r="N14" s="17">
        <f t="shared" si="5"/>
        <v>33.557021537469609</v>
      </c>
      <c r="O14" s="17">
        <f t="shared" si="6"/>
        <v>0.75997021347859794</v>
      </c>
      <c r="P14" s="17">
        <f t="shared" si="7"/>
        <v>1.4590291372869419</v>
      </c>
      <c r="Q14" s="17">
        <f t="shared" si="8"/>
        <v>0.54097086271305805</v>
      </c>
      <c r="R14" s="17">
        <f t="shared" si="9"/>
        <v>1.229514568643471</v>
      </c>
      <c r="S14" s="17">
        <f t="shared" si="10"/>
        <v>0.77048543135652903</v>
      </c>
      <c r="T14" s="17"/>
      <c r="U14" s="17"/>
      <c r="V14" s="41"/>
      <c r="W14" s="4"/>
      <c r="X14" s="4"/>
      <c r="Y14" s="4"/>
      <c r="Z14" s="4"/>
    </row>
    <row r="15" spans="1:26" ht="18.75" x14ac:dyDescent="0.3">
      <c r="A15" s="3" t="s">
        <v>16</v>
      </c>
      <c r="B15" s="62">
        <v>2.5</v>
      </c>
      <c r="C15" s="63"/>
      <c r="D15" s="17">
        <v>180</v>
      </c>
      <c r="E15" s="17">
        <f t="shared" si="0"/>
        <v>0.32810791104629966</v>
      </c>
      <c r="F15" s="17">
        <f t="shared" si="1"/>
        <v>109.45945945945945</v>
      </c>
      <c r="G15" s="43">
        <v>1</v>
      </c>
      <c r="H15" s="17">
        <f t="shared" si="2"/>
        <v>1.36</v>
      </c>
      <c r="I15" s="17">
        <f t="shared" si="3"/>
        <v>1.36</v>
      </c>
      <c r="J15" s="17">
        <f t="shared" si="4"/>
        <v>1.5078182545412988</v>
      </c>
      <c r="K15" s="17">
        <f t="shared" si="11"/>
        <v>-1.5078182545412988</v>
      </c>
      <c r="L15" s="17">
        <v>1</v>
      </c>
      <c r="M15" s="17">
        <v>5.5939666388512324</v>
      </c>
      <c r="N15" s="17">
        <f t="shared" si="5"/>
        <v>33.557021537469609</v>
      </c>
      <c r="O15" s="17">
        <f t="shared" si="6"/>
        <v>0.75997021347859794</v>
      </c>
      <c r="P15" s="17">
        <f t="shared" si="7"/>
        <v>1.5164077794478097</v>
      </c>
      <c r="Q15" s="17">
        <f t="shared" si="8"/>
        <v>0.48359222055219031</v>
      </c>
      <c r="R15" s="17">
        <f t="shared" si="9"/>
        <v>1.2582038897239047</v>
      </c>
      <c r="S15" s="17">
        <f t="shared" si="10"/>
        <v>0.74179611027609516</v>
      </c>
      <c r="T15" s="17"/>
      <c r="U15" s="17"/>
      <c r="V15" s="41"/>
      <c r="W15" s="4"/>
      <c r="X15" s="4"/>
      <c r="Y15" s="4"/>
      <c r="Z15" s="4"/>
    </row>
    <row r="16" spans="1:26" ht="18.75" x14ac:dyDescent="0.3">
      <c r="A16" s="3" t="s">
        <v>17</v>
      </c>
      <c r="B16" s="62">
        <v>-1</v>
      </c>
      <c r="C16" s="63"/>
      <c r="D16" s="17">
        <v>200</v>
      </c>
      <c r="E16" s="17">
        <f t="shared" si="0"/>
        <v>0.36456434560699963</v>
      </c>
      <c r="F16" s="17">
        <f t="shared" si="1"/>
        <v>135.13513513513513</v>
      </c>
      <c r="G16" s="43">
        <v>1</v>
      </c>
      <c r="H16" s="17">
        <f t="shared" si="2"/>
        <v>1.36</v>
      </c>
      <c r="I16" s="17">
        <f t="shared" si="3"/>
        <v>1.36</v>
      </c>
      <c r="J16" s="17">
        <f t="shared" si="4"/>
        <v>1.8615040179522211</v>
      </c>
      <c r="K16" s="17">
        <f t="shared" si="11"/>
        <v>-1.8615040179522211</v>
      </c>
      <c r="L16" s="17">
        <v>1</v>
      </c>
      <c r="M16" s="17">
        <v>5.5939666388512324</v>
      </c>
      <c r="N16" s="17">
        <f t="shared" si="5"/>
        <v>33.557021537469609</v>
      </c>
      <c r="O16" s="17">
        <f t="shared" si="6"/>
        <v>0.75997021347859794</v>
      </c>
      <c r="P16" s="17">
        <f t="shared" si="7"/>
        <v>1.5737864216086774</v>
      </c>
      <c r="Q16" s="17">
        <f t="shared" si="8"/>
        <v>0.42621357839132257</v>
      </c>
      <c r="R16" s="17">
        <f t="shared" si="9"/>
        <v>1.2868932108043387</v>
      </c>
      <c r="S16" s="17">
        <f t="shared" si="10"/>
        <v>0.71310678919566128</v>
      </c>
      <c r="T16" s="17"/>
      <c r="U16" s="17"/>
      <c r="V16" s="48"/>
      <c r="W16" s="4"/>
      <c r="X16" s="4"/>
      <c r="Y16" s="4"/>
      <c r="Z16" s="4"/>
    </row>
    <row r="17" spans="1:26" ht="18.75" x14ac:dyDescent="0.3">
      <c r="A17" s="3" t="s">
        <v>18</v>
      </c>
      <c r="B17" s="56">
        <v>9.5</v>
      </c>
      <c r="C17" s="56"/>
      <c r="D17" s="17">
        <v>220</v>
      </c>
      <c r="E17" s="17">
        <f t="shared" si="0"/>
        <v>0.4010207801676996</v>
      </c>
      <c r="F17" s="17">
        <f t="shared" si="1"/>
        <v>163.51351351351352</v>
      </c>
      <c r="G17" s="43">
        <v>1</v>
      </c>
      <c r="H17" s="17">
        <f t="shared" si="2"/>
        <v>1.36</v>
      </c>
      <c r="I17" s="17">
        <f t="shared" si="3"/>
        <v>1.36</v>
      </c>
      <c r="J17" s="17">
        <f t="shared" si="4"/>
        <v>2.2524198617221871</v>
      </c>
      <c r="K17" s="17">
        <f t="shared" si="11"/>
        <v>-2.2524198617221871</v>
      </c>
      <c r="L17" s="17">
        <v>1</v>
      </c>
      <c r="M17" s="17">
        <v>5.5939666388512324</v>
      </c>
      <c r="N17" s="17">
        <f t="shared" si="5"/>
        <v>33.557021537469609</v>
      </c>
      <c r="O17" s="17">
        <f t="shared" si="6"/>
        <v>0.75997021347859794</v>
      </c>
      <c r="P17" s="17">
        <f t="shared" si="7"/>
        <v>1.6311650637695454</v>
      </c>
      <c r="Q17" s="17">
        <f t="shared" si="8"/>
        <v>0.36883493623045471</v>
      </c>
      <c r="R17" s="17">
        <f t="shared" si="9"/>
        <v>1.3155825318847727</v>
      </c>
      <c r="S17" s="17">
        <f t="shared" si="10"/>
        <v>0.6844174681152273</v>
      </c>
      <c r="T17" s="17"/>
      <c r="U17" s="17"/>
      <c r="V17" s="41"/>
      <c r="W17" s="4"/>
      <c r="X17" s="4"/>
      <c r="Y17" s="4"/>
      <c r="Z17" s="4"/>
    </row>
    <row r="18" spans="1:26" ht="18.75" x14ac:dyDescent="0.3">
      <c r="A18" s="3" t="s">
        <v>19</v>
      </c>
      <c r="B18" s="62">
        <v>0.246</v>
      </c>
      <c r="C18" s="63"/>
      <c r="D18" s="17">
        <v>240</v>
      </c>
      <c r="E18" s="17">
        <f t="shared" si="0"/>
        <v>0.43747721472839957</v>
      </c>
      <c r="F18" s="17">
        <f t="shared" si="1"/>
        <v>194.59459459459458</v>
      </c>
      <c r="G18" s="43">
        <v>1</v>
      </c>
      <c r="H18" s="17">
        <f t="shared" si="2"/>
        <v>1.36</v>
      </c>
      <c r="I18" s="17">
        <f t="shared" si="3"/>
        <v>1.36</v>
      </c>
      <c r="J18" s="17">
        <f t="shared" si="4"/>
        <v>2.680565785851198</v>
      </c>
      <c r="K18" s="17">
        <f t="shared" si="11"/>
        <v>-2.680565785851198</v>
      </c>
      <c r="L18" s="17">
        <v>1</v>
      </c>
      <c r="M18" s="17">
        <v>5.5939666388512324</v>
      </c>
      <c r="N18" s="17">
        <f t="shared" si="5"/>
        <v>33.557021537469609</v>
      </c>
      <c r="O18" s="17">
        <f t="shared" si="6"/>
        <v>0.75997021347859794</v>
      </c>
      <c r="P18" s="17">
        <f t="shared" si="7"/>
        <v>1.6885437059304129</v>
      </c>
      <c r="Q18" s="17">
        <f t="shared" si="8"/>
        <v>0.31145629406958697</v>
      </c>
      <c r="R18" s="17">
        <f t="shared" si="9"/>
        <v>1.3442718529652065</v>
      </c>
      <c r="S18" s="17">
        <f t="shared" si="10"/>
        <v>0.65572814703479354</v>
      </c>
      <c r="T18" s="17"/>
      <c r="U18" s="17"/>
      <c r="V18" s="41"/>
      <c r="W18" s="4"/>
      <c r="X18" s="4"/>
      <c r="Y18" s="4"/>
      <c r="Z18" s="4"/>
    </row>
    <row r="19" spans="1:26" ht="18.75" x14ac:dyDescent="0.3">
      <c r="A19" s="3" t="s">
        <v>20</v>
      </c>
      <c r="B19" s="56">
        <v>25</v>
      </c>
      <c r="C19" s="56"/>
      <c r="D19" s="17">
        <v>260</v>
      </c>
      <c r="E19" s="17">
        <f t="shared" si="0"/>
        <v>0.47393364928909948</v>
      </c>
      <c r="F19" s="17">
        <f t="shared" si="1"/>
        <v>228.37837837837839</v>
      </c>
      <c r="G19" s="43">
        <v>1</v>
      </c>
      <c r="H19" s="17">
        <f t="shared" si="2"/>
        <v>1.36</v>
      </c>
      <c r="I19" s="17">
        <f t="shared" si="3"/>
        <v>1.36</v>
      </c>
      <c r="J19" s="17">
        <f t="shared" si="4"/>
        <v>3.1459417903392537</v>
      </c>
      <c r="K19" s="17">
        <f t="shared" si="11"/>
        <v>-3.1459417903392537</v>
      </c>
      <c r="L19" s="17">
        <v>1</v>
      </c>
      <c r="M19" s="17">
        <v>5.5939666388512324</v>
      </c>
      <c r="N19" s="17">
        <f t="shared" si="5"/>
        <v>33.557021537469609</v>
      </c>
      <c r="O19" s="17">
        <f t="shared" si="6"/>
        <v>0.75997021347859794</v>
      </c>
      <c r="P19" s="17">
        <f t="shared" si="7"/>
        <v>1.7459223480912809</v>
      </c>
      <c r="Q19" s="17">
        <f t="shared" si="8"/>
        <v>0.25407765190871923</v>
      </c>
      <c r="R19" s="17">
        <f t="shared" si="9"/>
        <v>1.3729611740456404</v>
      </c>
      <c r="S19" s="17">
        <f t="shared" si="10"/>
        <v>0.62703882595435956</v>
      </c>
      <c r="T19" s="18"/>
      <c r="U19" s="18"/>
      <c r="V19" s="41"/>
      <c r="W19" s="9"/>
      <c r="X19" s="4"/>
      <c r="Y19" s="4"/>
      <c r="Z19" s="4"/>
    </row>
    <row r="20" spans="1:26" ht="18.75" x14ac:dyDescent="0.3">
      <c r="A20" s="3" t="s">
        <v>21</v>
      </c>
      <c r="B20" s="56"/>
      <c r="C20" s="56"/>
      <c r="D20" s="17">
        <v>280</v>
      </c>
      <c r="E20" s="17">
        <f t="shared" si="0"/>
        <v>0.51039008384979945</v>
      </c>
      <c r="F20" s="17">
        <f t="shared" si="1"/>
        <v>264.86486486486484</v>
      </c>
      <c r="G20" s="43">
        <v>1</v>
      </c>
      <c r="H20" s="17">
        <f t="shared" si="2"/>
        <v>1.36</v>
      </c>
      <c r="I20" s="17">
        <f t="shared" si="3"/>
        <v>1.36</v>
      </c>
      <c r="J20" s="17">
        <f t="shared" si="4"/>
        <v>3.6485478751863525</v>
      </c>
      <c r="K20" s="17">
        <f t="shared" si="11"/>
        <v>-3.6485478751863525</v>
      </c>
      <c r="L20" s="17">
        <v>1</v>
      </c>
      <c r="M20" s="17">
        <v>5.5939666388512324</v>
      </c>
      <c r="N20" s="17">
        <f t="shared" si="5"/>
        <v>33.557021537469609</v>
      </c>
      <c r="O20" s="17">
        <f t="shared" si="6"/>
        <v>0.75997021347859794</v>
      </c>
      <c r="P20" s="17">
        <f t="shared" si="7"/>
        <v>1.8033009902521484</v>
      </c>
      <c r="Q20" s="17">
        <f t="shared" si="8"/>
        <v>0.19669900974785148</v>
      </c>
      <c r="R20" s="17">
        <f t="shared" si="9"/>
        <v>1.4016504951260742</v>
      </c>
      <c r="S20" s="17">
        <f t="shared" si="10"/>
        <v>0.5983495048739258</v>
      </c>
      <c r="T20" s="17"/>
      <c r="U20" s="17"/>
      <c r="V20" s="41"/>
      <c r="W20" s="9"/>
      <c r="X20" s="4"/>
      <c r="Y20" s="4"/>
      <c r="Z20" s="4"/>
    </row>
    <row r="21" spans="1:26" ht="37.5" x14ac:dyDescent="0.3">
      <c r="A21" s="3" t="s">
        <v>22</v>
      </c>
      <c r="B21" s="56"/>
      <c r="C21" s="56"/>
      <c r="D21" s="17">
        <v>300</v>
      </c>
      <c r="E21" s="17">
        <f t="shared" si="0"/>
        <v>0.54684651841049947</v>
      </c>
      <c r="F21" s="17">
        <f t="shared" si="1"/>
        <v>304.05405405405406</v>
      </c>
      <c r="G21" s="43">
        <v>1</v>
      </c>
      <c r="H21" s="17">
        <f t="shared" si="2"/>
        <v>1.36</v>
      </c>
      <c r="I21" s="17">
        <f t="shared" si="3"/>
        <v>1.36</v>
      </c>
      <c r="J21" s="17">
        <f t="shared" si="4"/>
        <v>4.1883840403924975</v>
      </c>
      <c r="K21" s="17">
        <f t="shared" si="11"/>
        <v>-4.1883840403924975</v>
      </c>
      <c r="L21" s="17">
        <v>1</v>
      </c>
      <c r="M21" s="17">
        <v>5.5939666388512324</v>
      </c>
      <c r="N21" s="17">
        <f t="shared" si="5"/>
        <v>33.557021537469609</v>
      </c>
      <c r="O21" s="17">
        <f t="shared" si="6"/>
        <v>0.75997021347859794</v>
      </c>
      <c r="P21" s="17">
        <f t="shared" si="7"/>
        <v>1.8606796324130164</v>
      </c>
      <c r="Q21" s="17">
        <f t="shared" si="8"/>
        <v>0.13932036758698374</v>
      </c>
      <c r="R21" s="17">
        <f t="shared" si="9"/>
        <v>1.4303398162065082</v>
      </c>
      <c r="S21" s="17">
        <f t="shared" si="10"/>
        <v>0.56966018379349181</v>
      </c>
      <c r="T21" s="17"/>
      <c r="U21" s="17"/>
      <c r="V21" s="41"/>
      <c r="W21" s="9"/>
      <c r="X21" s="4"/>
      <c r="Y21" s="4"/>
      <c r="Z21" s="4"/>
    </row>
    <row r="22" spans="1:26" ht="18.75" x14ac:dyDescent="0.3">
      <c r="A22" s="3" t="s">
        <v>57</v>
      </c>
      <c r="B22" s="56">
        <v>1</v>
      </c>
      <c r="C22" s="56"/>
      <c r="D22" s="17">
        <v>320</v>
      </c>
      <c r="E22" s="17">
        <f t="shared" si="0"/>
        <v>0.58330295297119938</v>
      </c>
      <c r="F22" s="17">
        <f t="shared" si="1"/>
        <v>345.94594594594594</v>
      </c>
      <c r="G22" s="43">
        <v>1</v>
      </c>
      <c r="H22" s="17">
        <f t="shared" si="2"/>
        <v>1.36</v>
      </c>
      <c r="I22" s="17">
        <f t="shared" si="3"/>
        <v>1.36</v>
      </c>
      <c r="J22" s="17">
        <f t="shared" si="4"/>
        <v>4.7654502859576855</v>
      </c>
      <c r="K22" s="17">
        <f t="shared" si="11"/>
        <v>-4.7654502859576855</v>
      </c>
      <c r="L22" s="17">
        <v>1</v>
      </c>
      <c r="M22" s="17">
        <v>5.5939666388512324</v>
      </c>
      <c r="N22" s="17">
        <f t="shared" si="5"/>
        <v>33.557021537469609</v>
      </c>
      <c r="O22" s="17">
        <f t="shared" si="6"/>
        <v>0.75997021347859794</v>
      </c>
      <c r="P22" s="17">
        <f t="shared" si="7"/>
        <v>1.9180582745738839</v>
      </c>
      <c r="Q22" s="17">
        <f t="shared" si="8"/>
        <v>8.1941725426116108E-2</v>
      </c>
      <c r="R22" s="17">
        <f t="shared" si="9"/>
        <v>1.4590291372869419</v>
      </c>
      <c r="S22" s="17">
        <f t="shared" si="10"/>
        <v>0.54097086271305805</v>
      </c>
      <c r="T22" s="17"/>
      <c r="U22" s="17"/>
      <c r="V22" s="41"/>
      <c r="W22" s="9"/>
      <c r="X22" s="4"/>
      <c r="Y22" s="4"/>
      <c r="Z22" s="4"/>
    </row>
    <row r="23" spans="1:26" ht="18.75" x14ac:dyDescent="0.3">
      <c r="A23" s="3" t="s">
        <v>23</v>
      </c>
      <c r="B23" s="56">
        <f>1*B17/B22</f>
        <v>9.5</v>
      </c>
      <c r="C23" s="56"/>
      <c r="D23" s="17">
        <v>340</v>
      </c>
      <c r="E23" s="17">
        <f t="shared" si="0"/>
        <v>0.61975938753189941</v>
      </c>
      <c r="F23" s="17">
        <f t="shared" si="1"/>
        <v>390.54054054054052</v>
      </c>
      <c r="G23" s="43">
        <v>1</v>
      </c>
      <c r="H23" s="17">
        <f t="shared" si="2"/>
        <v>1.36</v>
      </c>
      <c r="I23" s="17">
        <f t="shared" si="3"/>
        <v>1.36</v>
      </c>
      <c r="J23" s="17">
        <f t="shared" si="4"/>
        <v>5.3797466118819175</v>
      </c>
      <c r="K23" s="17">
        <f t="shared" si="11"/>
        <v>-5.3797466118819175</v>
      </c>
      <c r="L23" s="17">
        <v>1</v>
      </c>
      <c r="M23" s="17">
        <v>5.5939666388512324</v>
      </c>
      <c r="N23" s="17">
        <f t="shared" si="5"/>
        <v>33.557021537469609</v>
      </c>
      <c r="O23" s="17">
        <f t="shared" si="6"/>
        <v>0.75997021347859794</v>
      </c>
      <c r="P23" s="17">
        <f t="shared" si="7"/>
        <v>1.9754369167347516</v>
      </c>
      <c r="Q23" s="17">
        <f t="shared" si="8"/>
        <v>2.4563083265248364E-2</v>
      </c>
      <c r="R23" s="17">
        <f t="shared" si="9"/>
        <v>1.4877184583673757</v>
      </c>
      <c r="S23" s="17">
        <f t="shared" si="10"/>
        <v>0.51228154163262418</v>
      </c>
      <c r="T23" s="17"/>
      <c r="U23" s="17"/>
      <c r="V23" s="41"/>
      <c r="W23" s="9"/>
      <c r="X23" s="4"/>
      <c r="Y23" s="4"/>
      <c r="Z23" s="4"/>
    </row>
    <row r="24" spans="1:26" ht="18.75" x14ac:dyDescent="0.3">
      <c r="A24" s="3" t="s">
        <v>24</v>
      </c>
      <c r="B24" s="56">
        <f>((0.15-0))/((0-(-1.69)))*180/PI()</f>
        <v>5.0854242171374837</v>
      </c>
      <c r="C24" s="56"/>
      <c r="D24" s="17">
        <v>360</v>
      </c>
      <c r="E24" s="17">
        <f t="shared" si="0"/>
        <v>0.65621582209259932</v>
      </c>
      <c r="F24" s="17">
        <f t="shared" si="1"/>
        <v>437.83783783783781</v>
      </c>
      <c r="G24" s="43">
        <v>1</v>
      </c>
      <c r="H24" s="17">
        <f t="shared" si="2"/>
        <v>1.36</v>
      </c>
      <c r="I24" s="17">
        <f t="shared" si="3"/>
        <v>1.36</v>
      </c>
      <c r="J24" s="17">
        <f t="shared" si="4"/>
        <v>6.0312730181651952</v>
      </c>
      <c r="K24" s="17">
        <f t="shared" si="11"/>
        <v>-6.0312730181651952</v>
      </c>
      <c r="L24" s="17">
        <v>1</v>
      </c>
      <c r="M24" s="17">
        <v>5.5939666388512324</v>
      </c>
      <c r="N24" s="17">
        <f t="shared" si="5"/>
        <v>33.557021537469609</v>
      </c>
      <c r="O24" s="17">
        <f t="shared" si="6"/>
        <v>0.75997021347859794</v>
      </c>
      <c r="P24" s="17">
        <f t="shared" si="7"/>
        <v>2.0328155588956194</v>
      </c>
      <c r="Q24" s="17">
        <f t="shared" si="8"/>
        <v>-3.2815558895619379E-2</v>
      </c>
      <c r="R24" s="17">
        <f t="shared" si="9"/>
        <v>1.5164077794478097</v>
      </c>
      <c r="S24" s="17">
        <f t="shared" si="10"/>
        <v>0.48359222055219031</v>
      </c>
      <c r="T24" s="17"/>
      <c r="U24" s="17"/>
      <c r="V24" s="41"/>
      <c r="W24" s="9"/>
      <c r="X24" s="4"/>
      <c r="Y24" s="4"/>
      <c r="Z24" s="4"/>
    </row>
    <row r="25" spans="1:26" ht="18.75" x14ac:dyDescent="0.3">
      <c r="A25" s="40" t="s">
        <v>59</v>
      </c>
      <c r="B25" s="57">
        <f>B24*1.1</f>
        <v>5.5939666388512324</v>
      </c>
      <c r="C25" s="57"/>
      <c r="D25" s="17">
        <v>380</v>
      </c>
      <c r="E25" s="17">
        <f t="shared" si="0"/>
        <v>0.69267225665329923</v>
      </c>
      <c r="F25" s="17">
        <f t="shared" si="1"/>
        <v>487.83783783783781</v>
      </c>
      <c r="G25" s="43">
        <v>1</v>
      </c>
      <c r="H25" s="17">
        <f t="shared" si="2"/>
        <v>1.36</v>
      </c>
      <c r="I25" s="17">
        <f t="shared" si="3"/>
        <v>1.36</v>
      </c>
      <c r="J25" s="17">
        <f t="shared" si="4"/>
        <v>6.7200295048075169</v>
      </c>
      <c r="K25" s="17">
        <f t="shared" si="11"/>
        <v>-6.7200295048075169</v>
      </c>
      <c r="L25" s="17">
        <v>1</v>
      </c>
      <c r="M25" s="17">
        <v>5.5939666388512324</v>
      </c>
      <c r="N25" s="17">
        <f t="shared" si="5"/>
        <v>33.557021537469609</v>
      </c>
      <c r="O25" s="17">
        <f t="shared" si="6"/>
        <v>0.75997021347859794</v>
      </c>
      <c r="P25" s="17">
        <f t="shared" si="7"/>
        <v>2.0901942010564873</v>
      </c>
      <c r="Q25" s="17">
        <f t="shared" si="8"/>
        <v>-9.0194201056487344E-2</v>
      </c>
      <c r="R25" s="17">
        <f t="shared" si="9"/>
        <v>1.5450971005282437</v>
      </c>
      <c r="S25" s="17">
        <f t="shared" si="10"/>
        <v>0.45490289947175633</v>
      </c>
      <c r="T25" s="17"/>
      <c r="U25" s="17"/>
      <c r="V25" s="41"/>
      <c r="W25" s="9"/>
      <c r="X25" s="4"/>
      <c r="Y25" s="4"/>
      <c r="Z25" s="4"/>
    </row>
    <row r="26" spans="1:26" ht="18.75" x14ac:dyDescent="0.3">
      <c r="A26" s="3" t="s">
        <v>71</v>
      </c>
      <c r="B26" s="58">
        <v>2.3760000000000001E-3</v>
      </c>
      <c r="C26" s="58"/>
      <c r="D26" s="78">
        <v>385</v>
      </c>
      <c r="E26" s="17">
        <f t="shared" si="0"/>
        <v>0.70178636529347427</v>
      </c>
      <c r="F26" s="17">
        <f t="shared" si="1"/>
        <v>500.76013513513516</v>
      </c>
      <c r="G26" s="43">
        <v>1</v>
      </c>
      <c r="H26" s="17">
        <f t="shared" si="2"/>
        <v>1.36</v>
      </c>
      <c r="I26" s="17">
        <f t="shared" si="3"/>
        <v>1.36</v>
      </c>
      <c r="J26" s="17">
        <f t="shared" si="4"/>
        <v>6.8980358265241994</v>
      </c>
      <c r="K26" s="17">
        <f t="shared" si="11"/>
        <v>-6.8980358265241994</v>
      </c>
      <c r="L26" s="17">
        <v>1</v>
      </c>
      <c r="M26" s="17">
        <v>5.5939666388512324</v>
      </c>
      <c r="N26" s="17">
        <f t="shared" si="5"/>
        <v>33.557021537469609</v>
      </c>
      <c r="O26" s="17">
        <f t="shared" si="6"/>
        <v>0.75997021347859794</v>
      </c>
      <c r="P26" s="17">
        <f t="shared" si="7"/>
        <v>2.104538861596704</v>
      </c>
      <c r="Q26" s="17">
        <f t="shared" si="8"/>
        <v>-0.10453886159670422</v>
      </c>
      <c r="R26" s="17">
        <f t="shared" si="9"/>
        <v>1.552269430798352</v>
      </c>
      <c r="S26" s="17">
        <f t="shared" si="10"/>
        <v>0.44773056920164789</v>
      </c>
      <c r="T26" s="17"/>
      <c r="U26" s="17"/>
      <c r="V26" s="41"/>
      <c r="W26" s="9"/>
      <c r="X26" s="4"/>
      <c r="Y26" s="4"/>
      <c r="Z26" s="4"/>
    </row>
    <row r="27" spans="1:26" ht="18.75" x14ac:dyDescent="0.3">
      <c r="A27" s="3" t="s">
        <v>25</v>
      </c>
      <c r="B27" s="56">
        <v>13.76</v>
      </c>
      <c r="C27" s="5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8"/>
      <c r="U27" s="18"/>
      <c r="V27" s="9"/>
      <c r="W27" s="9"/>
      <c r="X27" s="4"/>
      <c r="Y27" s="4"/>
      <c r="Z27" s="4"/>
    </row>
    <row r="28" spans="1:26" ht="18.75" x14ac:dyDescent="0.3">
      <c r="A28" s="3" t="s">
        <v>26</v>
      </c>
      <c r="B28" s="56">
        <v>1.36</v>
      </c>
      <c r="C28" s="5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4"/>
      <c r="W28" s="4"/>
      <c r="X28" s="4"/>
      <c r="Y28" s="4"/>
      <c r="Z28" s="4"/>
    </row>
    <row r="29" spans="1:26" ht="18.75" x14ac:dyDescent="0.3">
      <c r="A29" s="10"/>
      <c r="B29" s="11"/>
      <c r="C29" s="11"/>
      <c r="D29" s="17"/>
      <c r="E29" s="17"/>
      <c r="F29" s="17"/>
      <c r="G29" s="17"/>
      <c r="H29" s="17"/>
      <c r="I29" s="17"/>
      <c r="J29" s="17"/>
      <c r="K29" s="32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4"/>
      <c r="W29" s="4"/>
      <c r="X29" s="4"/>
      <c r="Y29" s="4"/>
      <c r="Z29" s="4"/>
    </row>
    <row r="30" spans="1:26" ht="18.75" x14ac:dyDescent="0.3">
      <c r="A30" s="10" t="s">
        <v>27</v>
      </c>
      <c r="B30" s="59" t="s">
        <v>53</v>
      </c>
      <c r="C30" s="59"/>
      <c r="D30" s="33" t="s">
        <v>54</v>
      </c>
      <c r="E30" s="17"/>
      <c r="F30" s="17"/>
      <c r="G30" s="17"/>
      <c r="H30" s="17"/>
      <c r="I30" s="17"/>
      <c r="J30" s="17"/>
      <c r="K30" s="32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4"/>
      <c r="W30" s="4"/>
      <c r="X30" s="4"/>
      <c r="Y30" s="4"/>
      <c r="Z30" s="4"/>
    </row>
    <row r="31" spans="1:26" ht="18.75" x14ac:dyDescent="0.3">
      <c r="A31" s="7" t="s">
        <v>28</v>
      </c>
      <c r="B31" s="51">
        <f>SQRT((2*$B$5)/($B$26*$B$13*B10))*0.592</f>
        <v>146.34087167158748</v>
      </c>
      <c r="C31" s="51"/>
      <c r="D31" s="35">
        <f>SQRT((2*$B$5)/($B$26*$B$13*B28))*0.592</f>
        <v>146.34087167158748</v>
      </c>
      <c r="E31" s="34"/>
      <c r="F31" s="17"/>
      <c r="G31" s="17"/>
      <c r="H31" s="17"/>
      <c r="I31" s="17"/>
      <c r="J31" s="45"/>
      <c r="K31" s="32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4"/>
      <c r="W31" s="4"/>
      <c r="X31" s="4"/>
      <c r="Y31" s="4"/>
      <c r="Z31" s="4"/>
    </row>
    <row r="32" spans="1:26" ht="18.75" x14ac:dyDescent="0.3">
      <c r="A32" s="5" t="s">
        <v>29</v>
      </c>
      <c r="B32" s="51"/>
      <c r="C32" s="51"/>
      <c r="D32" s="17"/>
      <c r="E32" s="17"/>
      <c r="F32" s="17"/>
      <c r="G32" s="17"/>
      <c r="H32" s="17"/>
      <c r="I32" s="17"/>
      <c r="J32" s="17"/>
      <c r="K32" s="32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4"/>
      <c r="W32" s="4"/>
      <c r="X32" s="4"/>
      <c r="Y32" s="4"/>
      <c r="Z32" s="4"/>
    </row>
    <row r="33" spans="1:26" ht="18.75" x14ac:dyDescent="0.3">
      <c r="A33" s="5" t="s">
        <v>60</v>
      </c>
      <c r="B33" s="51">
        <f>B31*SQRT(B15)</f>
        <v>231.38523462831438</v>
      </c>
      <c r="C33" s="51"/>
      <c r="D33" s="17"/>
      <c r="E33" s="17"/>
      <c r="F33" s="17"/>
      <c r="G33" s="17"/>
      <c r="H33" s="17"/>
      <c r="I33" s="17"/>
      <c r="J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4"/>
      <c r="W33" s="4"/>
      <c r="X33" s="4"/>
      <c r="Y33" s="4"/>
      <c r="Z33" s="4"/>
    </row>
    <row r="34" spans="1:26" ht="18.75" x14ac:dyDescent="0.3">
      <c r="A34" s="5" t="s">
        <v>30</v>
      </c>
      <c r="B34" s="51">
        <f>B7</f>
        <v>305</v>
      </c>
      <c r="C34" s="51"/>
      <c r="D34" s="17"/>
      <c r="E34" s="17"/>
      <c r="F34" s="17"/>
      <c r="G34" s="17"/>
      <c r="H34" s="17"/>
      <c r="I34" s="17"/>
      <c r="J34" s="17"/>
      <c r="K34" s="32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4"/>
      <c r="W34" s="4"/>
      <c r="X34" s="4"/>
      <c r="Y34" s="4"/>
      <c r="Z34" s="4"/>
    </row>
    <row r="35" spans="1:26" ht="18.75" x14ac:dyDescent="0.3">
      <c r="A35" s="5" t="s">
        <v>31</v>
      </c>
      <c r="B35" s="50"/>
      <c r="C35" s="50"/>
      <c r="D35" s="17"/>
      <c r="E35" s="17"/>
      <c r="F35" s="17"/>
      <c r="G35" s="17"/>
      <c r="H35" s="17"/>
      <c r="I35" s="17"/>
      <c r="J35" s="17"/>
      <c r="K35" s="32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4"/>
      <c r="W35" s="4"/>
      <c r="X35" s="4"/>
      <c r="Y35" s="4"/>
      <c r="Z35" s="4"/>
    </row>
    <row r="36" spans="1:26" ht="18.75" x14ac:dyDescent="0.3">
      <c r="A36" s="5" t="s">
        <v>32</v>
      </c>
      <c r="B36" s="51">
        <f>B8</f>
        <v>385</v>
      </c>
      <c r="C36" s="51"/>
      <c r="D36" s="17"/>
      <c r="E36" s="17"/>
      <c r="F36" s="17"/>
      <c r="G36" s="17"/>
      <c r="H36" s="17"/>
      <c r="I36" s="17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4"/>
      <c r="W36" s="4"/>
      <c r="X36" s="4"/>
      <c r="Y36" s="4"/>
      <c r="Z36" s="4"/>
    </row>
    <row r="37" spans="1:26" ht="18.75" x14ac:dyDescent="0.3">
      <c r="A37" s="5" t="s">
        <v>33</v>
      </c>
      <c r="B37" s="51"/>
      <c r="C37" s="51"/>
      <c r="D37" s="17"/>
      <c r="E37" s="17"/>
      <c r="F37" s="17"/>
      <c r="G37" s="17"/>
      <c r="H37" s="17"/>
      <c r="I37" s="17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4"/>
      <c r="W37" s="4"/>
      <c r="X37" s="4"/>
      <c r="Y37" s="4"/>
      <c r="Z37" s="4"/>
    </row>
    <row r="38" spans="1:26" ht="18.75" x14ac:dyDescent="0.3">
      <c r="A38" s="12"/>
      <c r="B38" s="13"/>
      <c r="C38" s="13"/>
      <c r="D38" s="17"/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4"/>
      <c r="W38" s="4"/>
      <c r="X38" s="4"/>
      <c r="Y38" s="4"/>
      <c r="Z38" s="4"/>
    </row>
    <row r="39" spans="1:26" ht="18.75" x14ac:dyDescent="0.3">
      <c r="A39" s="16" t="s">
        <v>34</v>
      </c>
      <c r="B39" s="4"/>
      <c r="C39" s="4"/>
      <c r="D39" s="17"/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4"/>
      <c r="W39" s="4"/>
      <c r="X39" s="4"/>
      <c r="Y39" s="4"/>
      <c r="Z39" s="4"/>
    </row>
    <row r="40" spans="1:26" ht="18.75" x14ac:dyDescent="0.3">
      <c r="A40" s="19" t="s">
        <v>35</v>
      </c>
      <c r="B40" s="49"/>
      <c r="C40" s="49"/>
      <c r="D40" s="17"/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4"/>
      <c r="W40" s="4"/>
      <c r="X40" s="4"/>
      <c r="Y40" s="4"/>
      <c r="Z40" s="4"/>
    </row>
    <row r="41" spans="1:26" ht="18.75" x14ac:dyDescent="0.3">
      <c r="A41" s="8" t="s">
        <v>36</v>
      </c>
      <c r="B41" s="49"/>
      <c r="C41" s="49"/>
      <c r="D41" s="17"/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4"/>
      <c r="W41" s="4"/>
      <c r="X41" s="4"/>
      <c r="Y41" s="4"/>
      <c r="Z41" s="4"/>
    </row>
    <row r="42" spans="1:26" ht="18.75" x14ac:dyDescent="0.3">
      <c r="A42" s="8" t="s">
        <v>61</v>
      </c>
      <c r="B42" s="49"/>
      <c r="C42" s="49"/>
      <c r="D42" s="17"/>
      <c r="E42" s="17"/>
      <c r="F42" s="17"/>
      <c r="G42" s="17"/>
      <c r="H42" s="17"/>
      <c r="I42" s="17"/>
      <c r="J42" s="17"/>
      <c r="K42" s="32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4"/>
      <c r="W42" s="4"/>
      <c r="X42" s="4"/>
      <c r="Y42" s="4"/>
      <c r="Z42" s="4"/>
    </row>
    <row r="43" spans="1:26" ht="18.75" x14ac:dyDescent="0.3">
      <c r="A43" s="4"/>
      <c r="B43" s="4"/>
      <c r="C43" s="4"/>
      <c r="D43" s="17"/>
      <c r="E43" s="17"/>
      <c r="F43" s="17"/>
      <c r="G43" s="17"/>
      <c r="H43" s="17"/>
      <c r="I43" s="17"/>
      <c r="J43" s="17"/>
      <c r="K43" s="32"/>
      <c r="L43" s="17"/>
      <c r="M43" s="17"/>
      <c r="N43" s="17"/>
      <c r="O43" s="17"/>
      <c r="P43" s="20"/>
      <c r="Q43" s="17"/>
      <c r="R43" s="17"/>
      <c r="S43" s="17"/>
      <c r="T43" s="18"/>
      <c r="U43" s="18"/>
      <c r="V43" s="4"/>
      <c r="W43" s="4"/>
      <c r="X43" s="4"/>
      <c r="Y43" s="4"/>
      <c r="Z43" s="4"/>
    </row>
    <row r="44" spans="1:26" ht="18.75" x14ac:dyDescent="0.3">
      <c r="A44" s="4"/>
      <c r="B44" s="4"/>
      <c r="C44" s="4"/>
      <c r="D44" s="17"/>
      <c r="E44" s="17"/>
      <c r="F44" s="17"/>
      <c r="G44" s="17"/>
      <c r="H44" s="17"/>
      <c r="I44" s="17"/>
      <c r="J44" s="17"/>
      <c r="K44" s="32"/>
      <c r="L44" s="17"/>
      <c r="M44" s="17"/>
      <c r="N44" s="17"/>
      <c r="O44" s="17"/>
      <c r="P44" s="20"/>
      <c r="Q44" s="17"/>
      <c r="R44" s="17"/>
      <c r="S44" s="17"/>
      <c r="T44" s="17"/>
      <c r="U44" s="17"/>
      <c r="V44" s="4"/>
      <c r="W44" s="4"/>
      <c r="X44" s="4"/>
      <c r="Y44" s="4"/>
      <c r="Z44" s="4"/>
    </row>
    <row r="45" spans="1:26" ht="18.75" x14ac:dyDescent="0.3">
      <c r="A45" s="4"/>
      <c r="B45" s="4"/>
      <c r="C45" s="4"/>
      <c r="D45" s="17"/>
      <c r="E45" s="17"/>
      <c r="F45" s="17"/>
      <c r="G45" s="17"/>
      <c r="H45" s="17"/>
      <c r="I45" s="17"/>
      <c r="J45" s="17"/>
      <c r="K45" s="32"/>
      <c r="L45" s="17"/>
      <c r="M45" s="17"/>
      <c r="N45" s="17"/>
      <c r="O45" s="17"/>
      <c r="P45" s="20"/>
      <c r="Q45" s="17"/>
      <c r="R45" s="17"/>
      <c r="S45" s="17"/>
      <c r="T45" s="17"/>
      <c r="U45" s="17"/>
      <c r="V45" s="4"/>
      <c r="W45" s="4"/>
      <c r="X45" s="4"/>
      <c r="Y45" s="4"/>
      <c r="Z45" s="4"/>
    </row>
    <row r="46" spans="1:26" ht="18.75" x14ac:dyDescent="0.3">
      <c r="A46" s="4"/>
      <c r="B46" s="4"/>
      <c r="C46" s="4"/>
      <c r="D46" s="17"/>
      <c r="E46" s="17"/>
      <c r="F46" s="17"/>
      <c r="G46" s="17"/>
      <c r="H46" s="17"/>
      <c r="I46" s="17"/>
      <c r="J46" s="17"/>
      <c r="K46" s="32"/>
      <c r="L46" s="17"/>
      <c r="M46" s="17"/>
      <c r="N46" s="17"/>
      <c r="O46" s="17"/>
      <c r="P46" s="20"/>
      <c r="Q46" s="17"/>
      <c r="R46" s="17"/>
      <c r="S46" s="17"/>
      <c r="T46" s="17"/>
      <c r="U46" s="17"/>
      <c r="V46" s="4"/>
      <c r="W46" s="4"/>
      <c r="X46" s="4"/>
      <c r="Y46" s="4"/>
      <c r="Z46" s="4"/>
    </row>
    <row r="47" spans="1:26" ht="18.75" x14ac:dyDescent="0.3">
      <c r="A47" s="4"/>
      <c r="B47" s="4"/>
      <c r="C47" s="4"/>
      <c r="D47" s="17"/>
      <c r="E47" s="17"/>
      <c r="F47" s="17"/>
      <c r="G47" s="17"/>
      <c r="H47" s="17"/>
      <c r="I47" s="17"/>
      <c r="J47" s="17"/>
      <c r="K47" s="32"/>
      <c r="L47" s="17"/>
      <c r="M47" s="17"/>
      <c r="N47" s="17"/>
      <c r="O47" s="17"/>
      <c r="P47" s="21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x14ac:dyDescent="0.3">
      <c r="A48" s="4"/>
      <c r="B48" s="4"/>
      <c r="C48" s="4"/>
      <c r="D48" s="17"/>
      <c r="E48" s="17"/>
      <c r="F48" s="17"/>
      <c r="G48" s="17"/>
      <c r="H48" s="17"/>
      <c r="I48" s="17"/>
      <c r="J48" s="17"/>
      <c r="K48" s="32"/>
      <c r="L48" s="17"/>
      <c r="M48" s="17"/>
      <c r="N48" s="17"/>
      <c r="O48" s="17"/>
      <c r="P48" s="21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x14ac:dyDescent="0.3">
      <c r="A49" s="22" t="s">
        <v>37</v>
      </c>
      <c r="B49" s="23" t="s">
        <v>38</v>
      </c>
      <c r="C49" s="23" t="s">
        <v>39</v>
      </c>
      <c r="D49" s="17"/>
      <c r="E49" s="17"/>
      <c r="F49" s="17"/>
      <c r="G49" s="17"/>
      <c r="H49" s="17"/>
      <c r="I49" s="17"/>
      <c r="J49" s="17"/>
      <c r="K49" s="32"/>
      <c r="L49" s="17"/>
      <c r="M49" s="17"/>
      <c r="N49" s="17"/>
      <c r="O49" s="17"/>
      <c r="P49" s="21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4" customHeight="1" x14ac:dyDescent="0.3">
      <c r="A50" s="66" t="s">
        <v>40</v>
      </c>
      <c r="B50" s="24">
        <f>B31</f>
        <v>146.34087167158748</v>
      </c>
      <c r="C50" s="25">
        <v>1</v>
      </c>
      <c r="D50" s="17"/>
      <c r="E50" s="17"/>
      <c r="F50" s="17"/>
      <c r="G50" s="17"/>
      <c r="H50" s="17"/>
      <c r="I50" s="17"/>
      <c r="J50" s="17"/>
      <c r="K50" s="27"/>
      <c r="L50" s="17"/>
      <c r="M50" s="17"/>
      <c r="N50" s="17"/>
      <c r="O50" s="1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x14ac:dyDescent="0.3">
      <c r="A51" s="67"/>
      <c r="B51" s="24">
        <f>B31</f>
        <v>146.34087167158748</v>
      </c>
      <c r="C51" s="26">
        <v>0</v>
      </c>
      <c r="D51" s="4"/>
      <c r="E51" s="17"/>
      <c r="F51" s="17"/>
      <c r="G51" s="4"/>
      <c r="H51" s="17"/>
      <c r="I51" s="17"/>
      <c r="J51" s="17"/>
      <c r="K51" s="27"/>
      <c r="L51" s="17"/>
      <c r="M51" s="4"/>
      <c r="N51" s="17"/>
      <c r="O51" s="1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x14ac:dyDescent="0.3">
      <c r="A52" s="66" t="s">
        <v>55</v>
      </c>
      <c r="B52" s="24">
        <f>D31</f>
        <v>146.34087167158748</v>
      </c>
      <c r="C52" s="26">
        <v>0</v>
      </c>
      <c r="D52" s="4"/>
      <c r="E52" s="17"/>
      <c r="F52" s="17"/>
      <c r="G52" s="4"/>
      <c r="H52" s="17"/>
      <c r="I52" s="17"/>
      <c r="J52" s="17"/>
      <c r="K52" s="27"/>
      <c r="L52" s="17"/>
      <c r="M52" s="4"/>
      <c r="N52" s="17"/>
      <c r="O52" s="1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x14ac:dyDescent="0.3">
      <c r="A53" s="67"/>
      <c r="B53" s="24">
        <f>D31</f>
        <v>146.34087167158748</v>
      </c>
      <c r="C53" s="26">
        <f>B16</f>
        <v>-1</v>
      </c>
      <c r="D53" s="4"/>
      <c r="E53" s="17"/>
      <c r="F53" s="17"/>
      <c r="G53" s="4"/>
      <c r="H53" s="17"/>
      <c r="I53" s="17"/>
      <c r="J53" s="17"/>
      <c r="K53" s="27"/>
      <c r="L53" s="17"/>
      <c r="M53" s="4"/>
      <c r="N53" s="17"/>
      <c r="O53" s="1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0" customHeight="1" x14ac:dyDescent="0.3">
      <c r="A54" s="68" t="s">
        <v>73</v>
      </c>
      <c r="B54" s="28">
        <f>B33</f>
        <v>231.38523462831438</v>
      </c>
      <c r="C54" s="29">
        <v>2.5</v>
      </c>
      <c r="D54" s="44">
        <v>2.38</v>
      </c>
      <c r="E54" s="17"/>
      <c r="F54" s="17"/>
      <c r="G54" s="4"/>
      <c r="H54" s="17"/>
      <c r="I54" s="17"/>
      <c r="J54" s="17"/>
      <c r="K54" s="27"/>
      <c r="L54" s="17"/>
      <c r="M54" s="4"/>
      <c r="N54" s="17"/>
      <c r="O54" s="1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x14ac:dyDescent="0.3">
      <c r="A55" s="69"/>
      <c r="B55" s="28">
        <f>B36</f>
        <v>385</v>
      </c>
      <c r="C55" s="29">
        <v>2.5</v>
      </c>
      <c r="D55" s="44">
        <v>2.38</v>
      </c>
      <c r="E55" s="17"/>
      <c r="F55" s="17"/>
      <c r="G55" s="4"/>
      <c r="H55" s="17"/>
      <c r="I55" s="17"/>
      <c r="J55" s="17"/>
      <c r="K55" s="27"/>
      <c r="L55" s="17"/>
      <c r="M55" s="4"/>
      <c r="N55" s="17"/>
      <c r="O55" s="1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x14ac:dyDescent="0.3">
      <c r="A56" s="68" t="s">
        <v>58</v>
      </c>
      <c r="B56" s="28">
        <f>D31</f>
        <v>146.34087167158748</v>
      </c>
      <c r="C56" s="29">
        <v>-1</v>
      </c>
      <c r="D56" s="21"/>
      <c r="E56" s="17"/>
      <c r="F56" s="17"/>
      <c r="G56" s="4"/>
      <c r="H56" s="17"/>
      <c r="I56" s="17"/>
      <c r="J56" s="17"/>
      <c r="K56" s="27"/>
      <c r="L56" s="17"/>
      <c r="M56" s="4"/>
      <c r="N56" s="17"/>
      <c r="O56" s="17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54" customHeight="1" x14ac:dyDescent="0.3">
      <c r="A57" s="70"/>
      <c r="B57" s="30">
        <f>B34</f>
        <v>305</v>
      </c>
      <c r="C57" s="29">
        <v>-1</v>
      </c>
      <c r="D57" s="21"/>
      <c r="E57" s="17"/>
      <c r="F57" s="17"/>
      <c r="G57" s="4"/>
      <c r="H57" s="17"/>
      <c r="I57" s="17"/>
      <c r="J57" s="17"/>
      <c r="K57" s="27"/>
      <c r="L57" s="17"/>
      <c r="M57" s="4"/>
      <c r="N57" s="17"/>
      <c r="O57" s="1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x14ac:dyDescent="0.3">
      <c r="A58" s="71" t="s">
        <v>41</v>
      </c>
      <c r="B58" s="24">
        <v>0</v>
      </c>
      <c r="C58" s="25">
        <v>0</v>
      </c>
      <c r="D58" s="4"/>
      <c r="E58" s="17"/>
      <c r="F58" s="17"/>
      <c r="G58" s="4"/>
      <c r="H58" s="17"/>
      <c r="I58" s="17"/>
      <c r="J58" s="17"/>
      <c r="K58" s="27"/>
      <c r="L58" s="17"/>
      <c r="M58" s="4"/>
      <c r="N58" s="17"/>
      <c r="O58" s="1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x14ac:dyDescent="0.3">
      <c r="A59" s="72"/>
      <c r="B59" s="24">
        <v>0</v>
      </c>
      <c r="C59" s="26">
        <v>0</v>
      </c>
      <c r="D59" s="4"/>
      <c r="E59" s="17"/>
      <c r="F59" s="17"/>
      <c r="G59" s="4"/>
      <c r="H59" s="17"/>
      <c r="I59" s="17"/>
      <c r="J59" s="17"/>
      <c r="K59" s="27"/>
      <c r="L59" s="17"/>
      <c r="M59" s="4"/>
      <c r="N59" s="17"/>
      <c r="O59" s="1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x14ac:dyDescent="0.3">
      <c r="A60" s="73" t="s">
        <v>42</v>
      </c>
      <c r="B60" s="24">
        <f>B33</f>
        <v>231.38523462831438</v>
      </c>
      <c r="C60" s="24">
        <f>B16</f>
        <v>-1</v>
      </c>
      <c r="D60" s="4"/>
      <c r="E60" s="17"/>
      <c r="F60" s="17"/>
      <c r="G60" s="4"/>
      <c r="H60" s="17"/>
      <c r="I60" s="17"/>
      <c r="J60" s="17"/>
      <c r="K60" s="27"/>
      <c r="L60" s="17"/>
      <c r="M60" s="4"/>
      <c r="N60" s="17"/>
      <c r="O60" s="1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x14ac:dyDescent="0.3">
      <c r="A61" s="73"/>
      <c r="B61" s="24">
        <f>B33</f>
        <v>231.38523462831438</v>
      </c>
      <c r="C61" s="26">
        <f>B15</f>
        <v>2.5</v>
      </c>
      <c r="D61" s="4"/>
      <c r="E61" s="17"/>
      <c r="F61" s="17"/>
      <c r="G61" s="4"/>
      <c r="H61" s="17"/>
      <c r="I61" s="17"/>
      <c r="J61" s="17"/>
      <c r="K61" s="27"/>
      <c r="L61" s="17"/>
      <c r="M61" s="4"/>
      <c r="N61" s="17"/>
      <c r="O61" s="1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x14ac:dyDescent="0.3">
      <c r="A62" s="71" t="s">
        <v>43</v>
      </c>
      <c r="B62" s="24">
        <f>B34</f>
        <v>305</v>
      </c>
      <c r="C62" s="24">
        <f>B16</f>
        <v>-1</v>
      </c>
      <c r="D62" s="4"/>
      <c r="E62" s="17"/>
      <c r="F62" s="17"/>
      <c r="G62" s="4"/>
      <c r="H62" s="17"/>
      <c r="I62" s="17"/>
      <c r="J62" s="17"/>
      <c r="K62" s="27"/>
      <c r="L62" s="17"/>
      <c r="M62" s="4"/>
      <c r="N62" s="17"/>
      <c r="O62" s="1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x14ac:dyDescent="0.3">
      <c r="A63" s="73"/>
      <c r="B63" s="24">
        <f>B34</f>
        <v>305</v>
      </c>
      <c r="C63" s="26">
        <f>B15</f>
        <v>2.5</v>
      </c>
      <c r="D63" s="4"/>
      <c r="E63" s="17"/>
      <c r="F63" s="17"/>
      <c r="G63" s="4"/>
      <c r="H63" s="17"/>
      <c r="I63" s="17"/>
      <c r="J63" s="17"/>
      <c r="K63" s="27"/>
      <c r="L63" s="17"/>
      <c r="M63" s="4"/>
      <c r="N63" s="17"/>
      <c r="O63" s="1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x14ac:dyDescent="0.3">
      <c r="A64" s="71" t="s">
        <v>44</v>
      </c>
      <c r="B64" s="24">
        <f>B35</f>
        <v>0</v>
      </c>
      <c r="C64" s="25">
        <v>0</v>
      </c>
      <c r="D64" s="4"/>
      <c r="E64" s="17"/>
      <c r="F64" s="17"/>
      <c r="G64" s="4"/>
      <c r="H64" s="17"/>
      <c r="I64" s="17"/>
      <c r="J64" s="17"/>
      <c r="K64" s="27"/>
      <c r="L64" s="17"/>
      <c r="M64" s="4"/>
      <c r="N64" s="17"/>
      <c r="O64" s="1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x14ac:dyDescent="0.3">
      <c r="A65" s="72"/>
      <c r="B65" s="24">
        <f>B35</f>
        <v>0</v>
      </c>
      <c r="C65" s="26">
        <v>0</v>
      </c>
      <c r="D65" s="4"/>
      <c r="E65" s="17"/>
      <c r="F65" s="17"/>
      <c r="G65" s="4"/>
      <c r="H65" s="17"/>
      <c r="I65" s="17"/>
      <c r="J65" s="17"/>
      <c r="K65" s="27"/>
      <c r="L65" s="17"/>
      <c r="M65" s="4"/>
      <c r="N65" s="17"/>
      <c r="O65" s="1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x14ac:dyDescent="0.3">
      <c r="A66" s="73" t="s">
        <v>45</v>
      </c>
      <c r="B66" s="24">
        <f>B8</f>
        <v>385</v>
      </c>
      <c r="C66" s="24">
        <f>B15</f>
        <v>2.5</v>
      </c>
      <c r="D66" s="4"/>
      <c r="E66" s="17"/>
      <c r="F66" s="17"/>
      <c r="G66" s="4"/>
      <c r="H66" s="17"/>
      <c r="I66" s="17"/>
      <c r="J66" s="17"/>
      <c r="K66" s="27"/>
      <c r="L66" s="17"/>
      <c r="M66" s="4"/>
      <c r="N66" s="17"/>
      <c r="O66" s="1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x14ac:dyDescent="0.3">
      <c r="A67" s="72"/>
      <c r="B67" s="24">
        <f>B8</f>
        <v>385</v>
      </c>
      <c r="C67" s="26">
        <v>0</v>
      </c>
      <c r="D67" s="4"/>
      <c r="E67" s="17"/>
      <c r="F67" s="17"/>
      <c r="G67" s="4"/>
      <c r="H67" s="17"/>
      <c r="I67" s="17"/>
      <c r="J67" s="17"/>
      <c r="K67" s="27"/>
      <c r="L67" s="17"/>
      <c r="M67" s="4"/>
      <c r="N67" s="17"/>
      <c r="O67" s="1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x14ac:dyDescent="0.3">
      <c r="A68" s="68" t="s">
        <v>46</v>
      </c>
      <c r="B68" s="28">
        <f>B34</f>
        <v>305</v>
      </c>
      <c r="C68" s="29">
        <f>B16</f>
        <v>-1</v>
      </c>
      <c r="D68" s="4"/>
      <c r="E68" s="17"/>
      <c r="F68" s="17"/>
      <c r="G68" s="4"/>
      <c r="H68" s="17"/>
      <c r="I68" s="17"/>
      <c r="J68" s="17"/>
      <c r="K68" s="27"/>
      <c r="L68" s="17"/>
      <c r="M68" s="4"/>
      <c r="N68" s="17"/>
      <c r="O68" s="1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x14ac:dyDescent="0.3">
      <c r="A69" s="69"/>
      <c r="B69" s="28">
        <f>B36</f>
        <v>385</v>
      </c>
      <c r="C69" s="28">
        <v>0</v>
      </c>
      <c r="D69" s="4"/>
      <c r="E69" s="17"/>
      <c r="F69" s="17"/>
      <c r="G69" s="4"/>
      <c r="H69" s="17"/>
      <c r="I69" s="17"/>
      <c r="J69" s="17"/>
      <c r="K69" s="27"/>
      <c r="L69" s="17"/>
      <c r="M69" s="4"/>
      <c r="N69" s="17"/>
      <c r="O69" s="1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x14ac:dyDescent="0.3">
      <c r="A70" s="74" t="s">
        <v>47</v>
      </c>
      <c r="B70" s="31">
        <v>0</v>
      </c>
      <c r="C70" s="30">
        <f>1.25*B15</f>
        <v>3.125</v>
      </c>
      <c r="D70" s="4"/>
      <c r="E70" s="17"/>
      <c r="F70" s="17"/>
      <c r="G70" s="4"/>
      <c r="H70" s="17"/>
      <c r="I70" s="17"/>
      <c r="J70" s="17"/>
      <c r="K70" s="27"/>
      <c r="L70" s="17"/>
      <c r="M70" s="4"/>
      <c r="N70" s="17"/>
      <c r="O70" s="1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x14ac:dyDescent="0.3">
      <c r="A71" s="65"/>
      <c r="B71" s="30">
        <f>B36</f>
        <v>385</v>
      </c>
      <c r="C71" s="30">
        <f>1.25*B15</f>
        <v>3.125</v>
      </c>
      <c r="D71" s="4"/>
      <c r="E71" s="17"/>
      <c r="F71" s="17"/>
      <c r="G71" s="4"/>
      <c r="H71" s="17"/>
      <c r="I71" s="17"/>
      <c r="J71" s="17"/>
      <c r="K71" s="27"/>
      <c r="L71" s="17"/>
      <c r="M71" s="4"/>
      <c r="N71" s="17"/>
      <c r="O71" s="1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x14ac:dyDescent="0.3">
      <c r="A72" s="64" t="s">
        <v>48</v>
      </c>
      <c r="B72" s="31">
        <v>0</v>
      </c>
      <c r="C72" s="30">
        <f>1.5*B15</f>
        <v>3.75</v>
      </c>
      <c r="D72" s="4"/>
      <c r="E72" s="17"/>
      <c r="F72" s="17"/>
      <c r="G72" s="4"/>
      <c r="H72" s="17"/>
      <c r="I72" s="17"/>
      <c r="J72" s="17"/>
      <c r="K72" s="27"/>
      <c r="L72" s="17"/>
      <c r="M72" s="4"/>
      <c r="N72" s="17"/>
      <c r="O72" s="17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x14ac:dyDescent="0.3">
      <c r="A73" s="65"/>
      <c r="B73" s="30">
        <f>B36</f>
        <v>385</v>
      </c>
      <c r="C73" s="30">
        <f>1.5*B15</f>
        <v>3.75</v>
      </c>
      <c r="D73" s="4"/>
      <c r="E73" s="17"/>
      <c r="F73" s="17"/>
      <c r="G73" s="4"/>
      <c r="H73" s="17"/>
      <c r="I73" s="17"/>
      <c r="J73" s="17"/>
      <c r="K73" s="27"/>
      <c r="L73" s="17"/>
      <c r="M73" s="4"/>
      <c r="N73" s="17"/>
      <c r="O73" s="1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17"/>
      <c r="K74" s="27"/>
      <c r="L74" s="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17"/>
      <c r="K75" s="27"/>
      <c r="L75" s="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x14ac:dyDescent="0.3">
      <c r="A76" s="76"/>
      <c r="B76" s="4"/>
      <c r="C76" s="4"/>
      <c r="D76" s="4"/>
      <c r="E76" s="4"/>
      <c r="F76" s="4"/>
      <c r="G76" s="4"/>
      <c r="H76" s="4"/>
      <c r="I76" s="4"/>
      <c r="J76" s="17"/>
      <c r="K76" s="27"/>
      <c r="L76" s="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x14ac:dyDescent="0.3">
      <c r="A77" s="76"/>
      <c r="B77" s="41"/>
      <c r="C77" s="41"/>
      <c r="D77" s="4"/>
      <c r="E77" s="4"/>
      <c r="F77" s="4"/>
      <c r="G77" s="4"/>
      <c r="H77" s="4"/>
      <c r="I77" s="4"/>
      <c r="J77" s="17"/>
      <c r="K77" s="27"/>
      <c r="L77" s="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x14ac:dyDescent="0.3">
      <c r="A78" s="75"/>
      <c r="B78" s="4"/>
      <c r="C78" s="4"/>
      <c r="D78" s="4"/>
      <c r="E78" s="4"/>
      <c r="F78" s="4"/>
      <c r="G78" s="4"/>
      <c r="H78" s="4"/>
      <c r="I78" s="4"/>
      <c r="J78" s="17"/>
      <c r="K78" s="27"/>
      <c r="L78" s="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x14ac:dyDescent="0.3">
      <c r="A79" s="75"/>
      <c r="B79" s="4"/>
      <c r="C79" s="4"/>
      <c r="D79" s="4"/>
      <c r="E79" s="4"/>
      <c r="F79" s="4"/>
      <c r="G79" s="4"/>
      <c r="H79" s="4"/>
      <c r="I79" s="4"/>
      <c r="J79" s="17"/>
      <c r="K79" s="27"/>
      <c r="L79" s="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x14ac:dyDescent="0.3">
      <c r="A80" s="75"/>
      <c r="B80" s="77"/>
      <c r="C80" s="4"/>
      <c r="D80" s="4"/>
      <c r="E80" s="4"/>
      <c r="F80" s="4"/>
      <c r="G80" s="4"/>
      <c r="H80" s="4"/>
      <c r="I80" s="4"/>
      <c r="J80" s="17"/>
      <c r="K80" s="27"/>
      <c r="L80" s="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x14ac:dyDescent="0.3">
      <c r="A81" s="75"/>
      <c r="B81" s="77"/>
      <c r="C81" s="4"/>
      <c r="D81" s="4"/>
      <c r="E81" s="4"/>
      <c r="F81" s="4"/>
      <c r="G81" s="4"/>
      <c r="H81" s="4"/>
      <c r="I81" s="4"/>
      <c r="J81" s="17"/>
      <c r="K81" s="27"/>
      <c r="L81" s="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x14ac:dyDescent="0.3">
      <c r="A82" s="76"/>
      <c r="B82" s="4"/>
      <c r="C82" s="4"/>
      <c r="D82" s="4"/>
      <c r="E82" s="4"/>
      <c r="F82" s="4"/>
      <c r="G82" s="4"/>
      <c r="H82" s="4"/>
      <c r="I82" s="4"/>
      <c r="J82" s="17"/>
      <c r="K82" s="27"/>
      <c r="L82" s="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x14ac:dyDescent="0.3">
      <c r="A83" s="76"/>
      <c r="B83" s="4"/>
      <c r="C83" s="4"/>
      <c r="D83" s="4"/>
      <c r="E83" s="4"/>
      <c r="F83" s="4"/>
      <c r="G83" s="4"/>
      <c r="H83" s="4"/>
      <c r="I83" s="4"/>
      <c r="J83" s="17"/>
      <c r="K83" s="27"/>
      <c r="L83" s="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x14ac:dyDescent="0.3">
      <c r="A84" s="75"/>
      <c r="B84" s="4"/>
      <c r="C84" s="4"/>
      <c r="D84" s="4"/>
      <c r="E84" s="4"/>
      <c r="F84" s="4"/>
      <c r="G84" s="4"/>
      <c r="H84" s="4"/>
      <c r="I84" s="4"/>
      <c r="J84" s="17"/>
      <c r="K84" s="27"/>
      <c r="L84" s="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x14ac:dyDescent="0.3">
      <c r="A85" s="75"/>
      <c r="B85" s="4"/>
      <c r="C85" s="4"/>
      <c r="D85" s="4"/>
      <c r="E85" s="4"/>
      <c r="F85" s="4"/>
      <c r="G85" s="4"/>
      <c r="H85" s="4"/>
      <c r="I85" s="4"/>
      <c r="J85" s="17"/>
      <c r="K85" s="27"/>
      <c r="L85" s="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x14ac:dyDescent="0.3">
      <c r="A86" s="75"/>
      <c r="B86" s="4"/>
      <c r="C86" s="4"/>
      <c r="D86" s="4"/>
      <c r="E86" s="4"/>
      <c r="F86" s="4"/>
      <c r="G86" s="4"/>
      <c r="H86" s="4"/>
      <c r="I86" s="4"/>
      <c r="J86" s="17"/>
      <c r="K86" s="27"/>
      <c r="L86" s="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x14ac:dyDescent="0.3">
      <c r="A87" s="75"/>
      <c r="B87" s="4"/>
      <c r="C87" s="4"/>
      <c r="D87" s="4"/>
      <c r="E87" s="4"/>
      <c r="F87" s="4"/>
      <c r="G87" s="4"/>
      <c r="H87" s="4"/>
      <c r="I87" s="4"/>
      <c r="J87" s="17"/>
      <c r="K87" s="27"/>
      <c r="L87" s="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</sheetData>
  <mergeCells count="59">
    <mergeCell ref="A86:A87"/>
    <mergeCell ref="A76:A77"/>
    <mergeCell ref="A78:A79"/>
    <mergeCell ref="A80:A81"/>
    <mergeCell ref="B80:B81"/>
    <mergeCell ref="A82:A83"/>
    <mergeCell ref="A84:A85"/>
    <mergeCell ref="A72:A73"/>
    <mergeCell ref="A50:A51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52:A53"/>
    <mergeCell ref="B5:C5"/>
    <mergeCell ref="B6:C6"/>
    <mergeCell ref="B7:C7"/>
    <mergeCell ref="B8:C8"/>
    <mergeCell ref="B9:C9"/>
    <mergeCell ref="B19:C19"/>
    <mergeCell ref="B20:C20"/>
    <mergeCell ref="B21:C21"/>
    <mergeCell ref="B22:C22"/>
    <mergeCell ref="B10:C10"/>
    <mergeCell ref="B11:C11"/>
    <mergeCell ref="B12:C12"/>
    <mergeCell ref="B13:C13"/>
    <mergeCell ref="B17:C17"/>
    <mergeCell ref="B14:C14"/>
    <mergeCell ref="B15:C15"/>
    <mergeCell ref="B16:C16"/>
    <mergeCell ref="B18:C18"/>
    <mergeCell ref="B33:C33"/>
    <mergeCell ref="B34:C34"/>
    <mergeCell ref="B23:C23"/>
    <mergeCell ref="B24:C24"/>
    <mergeCell ref="B25:C25"/>
    <mergeCell ref="B26:C26"/>
    <mergeCell ref="B27:C27"/>
    <mergeCell ref="B30:C30"/>
    <mergeCell ref="B28:C28"/>
    <mergeCell ref="B31:C31"/>
    <mergeCell ref="B32:C32"/>
    <mergeCell ref="D4:K4"/>
    <mergeCell ref="L4:U4"/>
    <mergeCell ref="A1:A3"/>
    <mergeCell ref="B1:C3"/>
    <mergeCell ref="B4:C4"/>
    <mergeCell ref="B42:C42"/>
    <mergeCell ref="B35:C35"/>
    <mergeCell ref="B36:C36"/>
    <mergeCell ref="B37:C37"/>
    <mergeCell ref="B40:C40"/>
    <mergeCell ref="B41:C41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C3A20A79498B40BC9CF7D7CCBB5401" ma:contentTypeVersion="4" ma:contentTypeDescription="Crear nuevo documento." ma:contentTypeScope="" ma:versionID="673e37d4c0b19ca3f557588ffb8fb630">
  <xsd:schema xmlns:xsd="http://www.w3.org/2001/XMLSchema" xmlns:xs="http://www.w3.org/2001/XMLSchema" xmlns:p="http://schemas.microsoft.com/office/2006/metadata/properties" xmlns:ns2="6829990f-4afb-4f2e-980d-658e49402902" targetNamespace="http://schemas.microsoft.com/office/2006/metadata/properties" ma:root="true" ma:fieldsID="3f86a158727faa22e024fd4b10192573" ns2:_="">
    <xsd:import namespace="6829990f-4afb-4f2e-980d-658e49402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9990f-4afb-4f2e-980d-658e49402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B0AEFD-A140-4821-AEE1-410B95AD91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29990f-4afb-4f2e-980d-658e49402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4313A1-A181-450A-822A-489F25B9E25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D82AA8-C089-4B13-8EA4-D0E0B922CC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Vn-diagram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Perafan Lopez</dc:creator>
  <cp:keywords/>
  <dc:description/>
  <cp:lastModifiedBy>Tomas Atencia Tatis</cp:lastModifiedBy>
  <cp:revision/>
  <dcterms:created xsi:type="dcterms:W3CDTF">2020-02-04T20:24:20Z</dcterms:created>
  <dcterms:modified xsi:type="dcterms:W3CDTF">2025-03-06T20:41:04Z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0x01010095C3A20A79498B40BC9CF7D7CCBB5401</vt:lpwstr>
  </property>
</Properties>
</file>