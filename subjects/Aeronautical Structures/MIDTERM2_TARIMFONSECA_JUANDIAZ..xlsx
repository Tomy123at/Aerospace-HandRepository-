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is Documentos\Downloads\"/>
    </mc:Choice>
  </mc:AlternateContent>
  <xr:revisionPtr revIDLastSave="0" documentId="8_{34EF00CD-1577-495B-B8C2-16C3953951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-n SL" sheetId="15" r:id="rId1"/>
    <sheet name="V-n CL" sheetId="18" r:id="rId2"/>
    <sheet name="Level Turn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8" l="1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6" i="18"/>
  <c r="C4" i="16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6" i="15"/>
  <c r="L12" i="15"/>
  <c r="B31" i="15"/>
  <c r="E3" i="16"/>
  <c r="C3" i="16" s="1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6" i="18"/>
  <c r="U7" i="18"/>
  <c r="U8" i="18"/>
  <c r="U9" i="18"/>
  <c r="U10" i="18"/>
  <c r="U11" i="18"/>
  <c r="U12" i="18"/>
  <c r="U13" i="18"/>
  <c r="U14" i="18"/>
  <c r="U15" i="18"/>
  <c r="U16" i="18"/>
  <c r="U17" i="18"/>
  <c r="U18" i="18"/>
  <c r="U19" i="18"/>
  <c r="U20" i="18"/>
  <c r="U6" i="18"/>
  <c r="T7" i="18"/>
  <c r="T8" i="18"/>
  <c r="T9" i="18"/>
  <c r="T10" i="18"/>
  <c r="T11" i="18"/>
  <c r="T12" i="18"/>
  <c r="T13" i="18"/>
  <c r="T14" i="18"/>
  <c r="T15" i="18"/>
  <c r="T16" i="18"/>
  <c r="T17" i="18"/>
  <c r="T18" i="18"/>
  <c r="T19" i="18"/>
  <c r="T20" i="18"/>
  <c r="T6" i="18"/>
  <c r="R6" i="18"/>
  <c r="S7" i="18"/>
  <c r="S8" i="18"/>
  <c r="S9" i="18"/>
  <c r="S10" i="18"/>
  <c r="S11" i="18"/>
  <c r="S12" i="18"/>
  <c r="S13" i="18"/>
  <c r="S14" i="18"/>
  <c r="S15" i="18"/>
  <c r="S16" i="18"/>
  <c r="S17" i="18"/>
  <c r="S18" i="18"/>
  <c r="S19" i="18"/>
  <c r="S20" i="18"/>
  <c r="S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17" i="15"/>
  <c r="R6" i="15"/>
  <c r="Q6" i="18"/>
  <c r="C66" i="18"/>
  <c r="B42" i="18"/>
  <c r="C68" i="18"/>
  <c r="E20" i="18" l="1"/>
  <c r="E17" i="18"/>
  <c r="B33" i="18"/>
  <c r="B32" i="18"/>
  <c r="B31" i="18"/>
  <c r="E12" i="18" s="1"/>
  <c r="B8" i="18"/>
  <c r="B7" i="18"/>
  <c r="B27" i="15"/>
  <c r="B27" i="18"/>
  <c r="B28" i="18"/>
  <c r="B41" i="18"/>
  <c r="C67" i="18" s="1"/>
  <c r="E10" i="16"/>
  <c r="E19" i="16"/>
  <c r="E20" i="16"/>
  <c r="E21" i="16"/>
  <c r="E27" i="16"/>
  <c r="E28" i="16"/>
  <c r="D10" i="16"/>
  <c r="F10" i="16" s="1"/>
  <c r="C2" i="16"/>
  <c r="E2" i="16"/>
  <c r="C5" i="16"/>
  <c r="D11" i="16"/>
  <c r="F11" i="16" s="1"/>
  <c r="D12" i="16"/>
  <c r="E12" i="16" s="1"/>
  <c r="D13" i="16"/>
  <c r="F13" i="16" s="1"/>
  <c r="D14" i="16"/>
  <c r="F14" i="16" s="1"/>
  <c r="D15" i="16"/>
  <c r="F15" i="16" s="1"/>
  <c r="D16" i="16"/>
  <c r="F16" i="16" s="1"/>
  <c r="D17" i="16"/>
  <c r="F17" i="16" s="1"/>
  <c r="D18" i="16"/>
  <c r="F18" i="16" s="1"/>
  <c r="D19" i="16"/>
  <c r="F19" i="16" s="1"/>
  <c r="D20" i="16"/>
  <c r="F20" i="16" s="1"/>
  <c r="D21" i="16"/>
  <c r="F21" i="16" s="1"/>
  <c r="D22" i="16"/>
  <c r="F22" i="16" s="1"/>
  <c r="D23" i="16"/>
  <c r="F23" i="16" s="1"/>
  <c r="D24" i="16"/>
  <c r="E24" i="16" s="1"/>
  <c r="D25" i="16"/>
  <c r="E25" i="16" s="1"/>
  <c r="D26" i="16"/>
  <c r="E26" i="16" s="1"/>
  <c r="D27" i="16"/>
  <c r="F27" i="16" s="1"/>
  <c r="D28" i="16"/>
  <c r="F28" i="16" s="1"/>
  <c r="V1" i="18"/>
  <c r="B24" i="15"/>
  <c r="B24" i="18"/>
  <c r="E9" i="18"/>
  <c r="F9" i="18" s="1"/>
  <c r="E10" i="18"/>
  <c r="E11" i="18" s="1"/>
  <c r="E7" i="18"/>
  <c r="E8" i="18"/>
  <c r="B25" i="18"/>
  <c r="O8" i="18" s="1"/>
  <c r="P8" i="18" s="1"/>
  <c r="Q8" i="18" s="1"/>
  <c r="B23" i="18"/>
  <c r="B21" i="18"/>
  <c r="B14" i="18"/>
  <c r="C50" i="18"/>
  <c r="C51" i="18"/>
  <c r="C52" i="18"/>
  <c r="C53" i="18"/>
  <c r="C56" i="18"/>
  <c r="C57" i="18"/>
  <c r="C58" i="18"/>
  <c r="C59" i="18"/>
  <c r="C63" i="18"/>
  <c r="C64" i="18"/>
  <c r="C69" i="18"/>
  <c r="B40" i="18"/>
  <c r="D31" i="18"/>
  <c r="B48" i="18" s="1"/>
  <c r="B71" i="18" s="1"/>
  <c r="B34" i="18"/>
  <c r="F6" i="18"/>
  <c r="G6" i="18"/>
  <c r="I6" i="18"/>
  <c r="J6" i="18"/>
  <c r="O6" i="18"/>
  <c r="P6" i="18"/>
  <c r="F7" i="18"/>
  <c r="G7" i="18"/>
  <c r="I7" i="18"/>
  <c r="J7" i="18"/>
  <c r="I8" i="18"/>
  <c r="J8" i="18"/>
  <c r="I9" i="18"/>
  <c r="J9" i="18"/>
  <c r="O9" i="18"/>
  <c r="P9" i="18" s="1"/>
  <c r="Q9" i="18" s="1"/>
  <c r="I10" i="18"/>
  <c r="J10" i="18"/>
  <c r="O10" i="18"/>
  <c r="P10" i="18"/>
  <c r="Q10" i="18" s="1"/>
  <c r="I11" i="18"/>
  <c r="J11" i="18"/>
  <c r="I12" i="18"/>
  <c r="J12" i="18"/>
  <c r="I13" i="18"/>
  <c r="J13" i="18"/>
  <c r="I14" i="18"/>
  <c r="J14" i="18"/>
  <c r="I15" i="18"/>
  <c r="J15" i="18"/>
  <c r="I16" i="18"/>
  <c r="J16" i="18"/>
  <c r="O16" i="18"/>
  <c r="P16" i="18"/>
  <c r="Q16" i="18" s="1"/>
  <c r="I17" i="18"/>
  <c r="J17" i="18"/>
  <c r="I18" i="18"/>
  <c r="J18" i="18"/>
  <c r="I19" i="18"/>
  <c r="J19" i="18"/>
  <c r="I20" i="18"/>
  <c r="J20" i="18"/>
  <c r="O20" i="18"/>
  <c r="P20" i="18"/>
  <c r="Q20" i="18" s="1"/>
  <c r="O11" i="18"/>
  <c r="P11" i="18" s="1"/>
  <c r="Q11" i="18" s="1"/>
  <c r="C57" i="15"/>
  <c r="B75" i="15"/>
  <c r="B71" i="15"/>
  <c r="B48" i="15"/>
  <c r="B46" i="15"/>
  <c r="B70" i="15" s="1"/>
  <c r="B46" i="18" l="1"/>
  <c r="B70" i="18" s="1"/>
  <c r="B35" i="18"/>
  <c r="B61" i="18" s="1"/>
  <c r="F2" i="18"/>
  <c r="B36" i="18"/>
  <c r="B51" i="18" s="1"/>
  <c r="E17" i="16"/>
  <c r="E18" i="16"/>
  <c r="E16" i="16"/>
  <c r="E15" i="16"/>
  <c r="E13" i="16"/>
  <c r="F26" i="16"/>
  <c r="F25" i="16"/>
  <c r="E14" i="16"/>
  <c r="E11" i="16"/>
  <c r="E23" i="16"/>
  <c r="E22" i="16"/>
  <c r="F24" i="16"/>
  <c r="F12" i="16"/>
  <c r="O7" i="18"/>
  <c r="P7" i="18" s="1"/>
  <c r="Q7" i="18" s="1"/>
  <c r="O18" i="18"/>
  <c r="P18" i="18" s="1"/>
  <c r="Q18" i="18" s="1"/>
  <c r="O13" i="18"/>
  <c r="P13" i="18" s="1"/>
  <c r="Q13" i="18" s="1"/>
  <c r="G10" i="18"/>
  <c r="G9" i="18"/>
  <c r="K9" i="18" s="1"/>
  <c r="F10" i="18"/>
  <c r="M10" i="18"/>
  <c r="O14" i="18"/>
  <c r="P14" i="18" s="1"/>
  <c r="Q14" i="18" s="1"/>
  <c r="B58" i="18"/>
  <c r="B64" i="18" s="1"/>
  <c r="B59" i="18"/>
  <c r="M9" i="18"/>
  <c r="M6" i="18"/>
  <c r="L6" i="18"/>
  <c r="B53" i="18"/>
  <c r="K6" i="18"/>
  <c r="L10" i="18"/>
  <c r="K10" i="18"/>
  <c r="M7" i="18"/>
  <c r="F8" i="18"/>
  <c r="G8" i="18"/>
  <c r="K8" i="18" s="1"/>
  <c r="B63" i="18"/>
  <c r="K7" i="18"/>
  <c r="L7" i="18"/>
  <c r="D33" i="18"/>
  <c r="B52" i="18"/>
  <c r="E16" i="18"/>
  <c r="O12" i="18"/>
  <c r="P12" i="18" s="1"/>
  <c r="Q12" i="18" s="1"/>
  <c r="B55" i="18"/>
  <c r="B49" i="18"/>
  <c r="O19" i="18"/>
  <c r="P19" i="18" s="1"/>
  <c r="Q19" i="18" s="1"/>
  <c r="O17" i="18"/>
  <c r="P17" i="18" s="1"/>
  <c r="Q17" i="18" s="1"/>
  <c r="O15" i="18"/>
  <c r="P15" i="18" s="1"/>
  <c r="Q15" i="18" s="1"/>
  <c r="B47" i="18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6" i="15"/>
  <c r="E11" i="15"/>
  <c r="B33" i="15"/>
  <c r="B57" i="15" s="1"/>
  <c r="B53" i="15"/>
  <c r="C64" i="15"/>
  <c r="B65" i="15"/>
  <c r="B64" i="15"/>
  <c r="F2" i="15"/>
  <c r="C63" i="15"/>
  <c r="B63" i="15"/>
  <c r="B62" i="15"/>
  <c r="B61" i="15"/>
  <c r="B60" i="15"/>
  <c r="C69" i="15"/>
  <c r="C68" i="15"/>
  <c r="B69" i="15"/>
  <c r="C59" i="15"/>
  <c r="C58" i="15"/>
  <c r="B59" i="15"/>
  <c r="B58" i="15"/>
  <c r="C53" i="15"/>
  <c r="C52" i="15"/>
  <c r="B52" i="15"/>
  <c r="C67" i="15"/>
  <c r="B67" i="15"/>
  <c r="C66" i="15"/>
  <c r="C51" i="15"/>
  <c r="C50" i="15"/>
  <c r="B51" i="15"/>
  <c r="D33" i="15"/>
  <c r="B49" i="15"/>
  <c r="B47" i="15"/>
  <c r="B36" i="15"/>
  <c r="V1" i="15"/>
  <c r="B25" i="15"/>
  <c r="O6" i="15" s="1"/>
  <c r="P6" i="15" s="1"/>
  <c r="Q6" i="15" s="1"/>
  <c r="K7" i="15"/>
  <c r="M7" i="15"/>
  <c r="M28" i="15"/>
  <c r="B42" i="15"/>
  <c r="B41" i="15"/>
  <c r="B40" i="15"/>
  <c r="B34" i="15"/>
  <c r="E7" i="15"/>
  <c r="G6" i="15"/>
  <c r="M6" i="15" s="1"/>
  <c r="G7" i="15"/>
  <c r="L7" i="15" s="1"/>
  <c r="G28" i="15"/>
  <c r="L28" i="15" s="1"/>
  <c r="F6" i="15"/>
  <c r="F7" i="15"/>
  <c r="F28" i="15"/>
  <c r="E8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5" i="15" s="1"/>
  <c r="E26" i="15" s="1"/>
  <c r="E27" i="15" s="1"/>
  <c r="F27" i="15" s="1"/>
  <c r="B50" i="15" l="1"/>
  <c r="B62" i="18"/>
  <c r="B65" i="18" s="1"/>
  <c r="B75" i="18"/>
  <c r="B67" i="18"/>
  <c r="B69" i="18" s="1"/>
  <c r="B60" i="18"/>
  <c r="F8" i="15"/>
  <c r="K6" i="15"/>
  <c r="K28" i="15"/>
  <c r="W6" i="15"/>
  <c r="U6" i="15"/>
  <c r="T6" i="15"/>
  <c r="V6" i="15"/>
  <c r="S6" i="15"/>
  <c r="O28" i="15"/>
  <c r="P28" i="15" s="1"/>
  <c r="Q28" i="15" s="1"/>
  <c r="O24" i="15"/>
  <c r="P24" i="15" s="1"/>
  <c r="Q24" i="15" s="1"/>
  <c r="U24" i="15" s="1"/>
  <c r="O10" i="15"/>
  <c r="P10" i="15" s="1"/>
  <c r="Q10" i="15" s="1"/>
  <c r="U10" i="15" s="1"/>
  <c r="O9" i="15"/>
  <c r="P9" i="15" s="1"/>
  <c r="Q9" i="15" s="1"/>
  <c r="O13" i="15"/>
  <c r="P13" i="15" s="1"/>
  <c r="Q13" i="15" s="1"/>
  <c r="O12" i="15"/>
  <c r="P12" i="15" s="1"/>
  <c r="Q12" i="15" s="1"/>
  <c r="T12" i="15" s="1"/>
  <c r="O23" i="15"/>
  <c r="P23" i="15" s="1"/>
  <c r="Q23" i="15" s="1"/>
  <c r="R23" i="15" s="1"/>
  <c r="O21" i="15"/>
  <c r="P21" i="15" s="1"/>
  <c r="Q21" i="15" s="1"/>
  <c r="R21" i="15" s="1"/>
  <c r="O20" i="15"/>
  <c r="P20" i="15" s="1"/>
  <c r="Q20" i="15" s="1"/>
  <c r="R20" i="15" s="1"/>
  <c r="O8" i="15"/>
  <c r="P8" i="15" s="1"/>
  <c r="Q8" i="15" s="1"/>
  <c r="O16" i="15"/>
  <c r="P16" i="15" s="1"/>
  <c r="Q16" i="15" s="1"/>
  <c r="V16" i="15" s="1"/>
  <c r="O27" i="15"/>
  <c r="P27" i="15" s="1"/>
  <c r="Q27" i="15" s="1"/>
  <c r="R27" i="15" s="1"/>
  <c r="O14" i="15"/>
  <c r="P14" i="15" s="1"/>
  <c r="Q14" i="15" s="1"/>
  <c r="S14" i="15" s="1"/>
  <c r="T11" i="15"/>
  <c r="O19" i="15"/>
  <c r="P19" i="15" s="1"/>
  <c r="Q19" i="15" s="1"/>
  <c r="O7" i="15"/>
  <c r="P7" i="15" s="1"/>
  <c r="Q7" i="15" s="1"/>
  <c r="T7" i="15" s="1"/>
  <c r="O17" i="15"/>
  <c r="P17" i="15" s="1"/>
  <c r="Q17" i="15" s="1"/>
  <c r="O15" i="15"/>
  <c r="P15" i="15" s="1"/>
  <c r="Q15" i="15" s="1"/>
  <c r="R15" i="15" s="1"/>
  <c r="O26" i="15"/>
  <c r="P26" i="15" s="1"/>
  <c r="Q26" i="15" s="1"/>
  <c r="R26" i="15" s="1"/>
  <c r="O25" i="15"/>
  <c r="P25" i="15" s="1"/>
  <c r="Q25" i="15" s="1"/>
  <c r="R25" i="15" s="1"/>
  <c r="O11" i="15"/>
  <c r="P11" i="15" s="1"/>
  <c r="Q11" i="15" s="1"/>
  <c r="R11" i="15" s="1"/>
  <c r="O22" i="15"/>
  <c r="P22" i="15" s="1"/>
  <c r="Q22" i="15" s="1"/>
  <c r="R22" i="15" s="1"/>
  <c r="O18" i="15"/>
  <c r="P18" i="15" s="1"/>
  <c r="Q18" i="15" s="1"/>
  <c r="R18" i="15" s="1"/>
  <c r="L9" i="18"/>
  <c r="G12" i="18"/>
  <c r="F12" i="18"/>
  <c r="M8" i="18"/>
  <c r="B56" i="18"/>
  <c r="B50" i="18"/>
  <c r="B57" i="18"/>
  <c r="L8" i="18"/>
  <c r="F11" i="18"/>
  <c r="G11" i="18"/>
  <c r="G10" i="15"/>
  <c r="L10" i="15" s="1"/>
  <c r="L6" i="15"/>
  <c r="S16" i="15"/>
  <c r="G16" i="15"/>
  <c r="F16" i="15"/>
  <c r="W23" i="15"/>
  <c r="T22" i="15"/>
  <c r="V21" i="15"/>
  <c r="W16" i="15"/>
  <c r="T23" i="15"/>
  <c r="S23" i="15"/>
  <c r="T21" i="15"/>
  <c r="V26" i="15"/>
  <c r="S13" i="15"/>
  <c r="G26" i="15"/>
  <c r="U26" i="15"/>
  <c r="T20" i="15"/>
  <c r="V25" i="15"/>
  <c r="W20" i="15"/>
  <c r="S20" i="15"/>
  <c r="F24" i="15"/>
  <c r="S19" i="15"/>
  <c r="F18" i="15"/>
  <c r="G14" i="15"/>
  <c r="T26" i="15"/>
  <c r="V23" i="15"/>
  <c r="W18" i="15"/>
  <c r="S26" i="15"/>
  <c r="W26" i="15"/>
  <c r="S25" i="15"/>
  <c r="B56" i="15"/>
  <c r="V7" i="15"/>
  <c r="U7" i="15"/>
  <c r="F20" i="15"/>
  <c r="G8" i="15"/>
  <c r="G24" i="15"/>
  <c r="F12" i="15"/>
  <c r="G22" i="15"/>
  <c r="F10" i="15"/>
  <c r="G18" i="15"/>
  <c r="F26" i="15"/>
  <c r="F25" i="15"/>
  <c r="F17" i="15"/>
  <c r="F9" i="15"/>
  <c r="G23" i="15"/>
  <c r="G15" i="15"/>
  <c r="F23" i="15"/>
  <c r="F15" i="15"/>
  <c r="G21" i="15"/>
  <c r="G13" i="15"/>
  <c r="G27" i="15"/>
  <c r="F22" i="15"/>
  <c r="F14" i="15"/>
  <c r="G20" i="15"/>
  <c r="G12" i="15"/>
  <c r="F21" i="15"/>
  <c r="F13" i="15"/>
  <c r="G19" i="15"/>
  <c r="G11" i="15"/>
  <c r="K11" i="15" s="1"/>
  <c r="F19" i="15"/>
  <c r="F11" i="15"/>
  <c r="G25" i="15"/>
  <c r="G17" i="15"/>
  <c r="G9" i="15"/>
  <c r="B32" i="15"/>
  <c r="B55" i="15" s="1"/>
  <c r="U14" i="15" l="1"/>
  <c r="W27" i="15"/>
  <c r="W24" i="15"/>
  <c r="V20" i="15"/>
  <c r="U20" i="15"/>
  <c r="U21" i="15"/>
  <c r="S22" i="15"/>
  <c r="V22" i="15"/>
  <c r="U11" i="15"/>
  <c r="W21" i="15"/>
  <c r="T25" i="15"/>
  <c r="S27" i="15"/>
  <c r="S21" i="15"/>
  <c r="S11" i="15"/>
  <c r="W25" i="15"/>
  <c r="U23" i="15"/>
  <c r="W22" i="15"/>
  <c r="W11" i="15"/>
  <c r="U22" i="15"/>
  <c r="S18" i="15"/>
  <c r="U25" i="15"/>
  <c r="V18" i="15"/>
  <c r="V11" i="15"/>
  <c r="K8" i="15"/>
  <c r="L8" i="15"/>
  <c r="M8" i="15"/>
  <c r="R13" i="15"/>
  <c r="V13" i="15"/>
  <c r="W12" i="15"/>
  <c r="R9" i="15"/>
  <c r="W9" i="15"/>
  <c r="T9" i="15"/>
  <c r="U9" i="15"/>
  <c r="V9" i="15"/>
  <c r="S9" i="15"/>
  <c r="R19" i="15"/>
  <c r="V19" i="15"/>
  <c r="R24" i="15"/>
  <c r="S24" i="15"/>
  <c r="S17" i="15"/>
  <c r="R14" i="15"/>
  <c r="W14" i="15"/>
  <c r="T14" i="15"/>
  <c r="T13" i="15"/>
  <c r="V24" i="15"/>
  <c r="U13" i="15"/>
  <c r="T24" i="15"/>
  <c r="U19" i="15"/>
  <c r="R8" i="15"/>
  <c r="W8" i="15"/>
  <c r="V8" i="15"/>
  <c r="S8" i="15"/>
  <c r="T8" i="15"/>
  <c r="U8" i="15"/>
  <c r="T19" i="15"/>
  <c r="U18" i="15"/>
  <c r="V14" i="15"/>
  <c r="T18" i="15"/>
  <c r="T27" i="15"/>
  <c r="U27" i="15"/>
  <c r="U15" i="15"/>
  <c r="W15" i="15"/>
  <c r="W7" i="15"/>
  <c r="R7" i="15"/>
  <c r="S7" i="15"/>
  <c r="V12" i="15"/>
  <c r="V17" i="15"/>
  <c r="T15" i="15"/>
  <c r="W17" i="15"/>
  <c r="R16" i="15"/>
  <c r="T16" i="15"/>
  <c r="U17" i="15"/>
  <c r="R12" i="15"/>
  <c r="U12" i="15"/>
  <c r="S12" i="15"/>
  <c r="W13" i="15"/>
  <c r="V10" i="15"/>
  <c r="R10" i="15"/>
  <c r="T10" i="15"/>
  <c r="W10" i="15"/>
  <c r="S10" i="15"/>
  <c r="W19" i="15"/>
  <c r="R28" i="15"/>
  <c r="U28" i="15"/>
  <c r="V28" i="15"/>
  <c r="S28" i="15"/>
  <c r="T28" i="15"/>
  <c r="W28" i="15"/>
  <c r="V27" i="15"/>
  <c r="V15" i="15"/>
  <c r="T17" i="15"/>
  <c r="U16" i="15"/>
  <c r="S15" i="15"/>
  <c r="M12" i="18"/>
  <c r="L12" i="18"/>
  <c r="K12" i="18"/>
  <c r="F13" i="18"/>
  <c r="G13" i="18"/>
  <c r="K11" i="18"/>
  <c r="L11" i="18"/>
  <c r="M11" i="18"/>
  <c r="K9" i="15"/>
  <c r="L9" i="15"/>
  <c r="M9" i="15"/>
  <c r="K10" i="15"/>
  <c r="M10" i="15"/>
  <c r="K16" i="15"/>
  <c r="M16" i="15"/>
  <c r="L16" i="15"/>
  <c r="L11" i="15"/>
  <c r="M11" i="15"/>
  <c r="K23" i="15"/>
  <c r="L23" i="15"/>
  <c r="M23" i="15"/>
  <c r="L13" i="15"/>
  <c r="M13" i="15"/>
  <c r="K13" i="15"/>
  <c r="L21" i="15"/>
  <c r="M21" i="15"/>
  <c r="K21" i="15"/>
  <c r="M22" i="15"/>
  <c r="K22" i="15"/>
  <c r="L22" i="15"/>
  <c r="K12" i="15"/>
  <c r="M12" i="15"/>
  <c r="L20" i="15"/>
  <c r="M20" i="15"/>
  <c r="K20" i="15"/>
  <c r="L24" i="15"/>
  <c r="K24" i="15"/>
  <c r="M24" i="15"/>
  <c r="L14" i="15"/>
  <c r="M14" i="15"/>
  <c r="K14" i="15"/>
  <c r="M17" i="15"/>
  <c r="K17" i="15"/>
  <c r="L17" i="15"/>
  <c r="L19" i="15"/>
  <c r="M19" i="15"/>
  <c r="K19" i="15"/>
  <c r="M25" i="15"/>
  <c r="K25" i="15"/>
  <c r="L25" i="15"/>
  <c r="K15" i="15"/>
  <c r="L15" i="15"/>
  <c r="M15" i="15"/>
  <c r="M18" i="15"/>
  <c r="L18" i="15"/>
  <c r="K18" i="15"/>
  <c r="M26" i="15"/>
  <c r="K26" i="15"/>
  <c r="L26" i="15"/>
  <c r="L27" i="15"/>
  <c r="M27" i="15"/>
  <c r="K27" i="15"/>
  <c r="L13" i="18" l="1"/>
  <c r="M13" i="18"/>
  <c r="K13" i="18"/>
  <c r="F14" i="18"/>
  <c r="G14" i="18"/>
  <c r="B23" i="15"/>
  <c r="B21" i="15"/>
  <c r="B14" i="15"/>
  <c r="B28" i="15"/>
  <c r="B8" i="15"/>
  <c r="L14" i="18" l="1"/>
  <c r="K14" i="18"/>
  <c r="M14" i="18"/>
  <c r="G15" i="18"/>
  <c r="F15" i="18"/>
  <c r="B35" i="15"/>
  <c r="J11" i="15"/>
  <c r="J19" i="15"/>
  <c r="J27" i="15"/>
  <c r="J12" i="15"/>
  <c r="J20" i="15"/>
  <c r="J28" i="15"/>
  <c r="D31" i="15"/>
  <c r="J13" i="15"/>
  <c r="J21" i="15"/>
  <c r="J6" i="15"/>
  <c r="J14" i="15"/>
  <c r="J22" i="15"/>
  <c r="J7" i="15"/>
  <c r="J15" i="15"/>
  <c r="J23" i="15"/>
  <c r="J8" i="15"/>
  <c r="J16" i="15"/>
  <c r="J24" i="15"/>
  <c r="J9" i="15"/>
  <c r="J17" i="15"/>
  <c r="J25" i="15"/>
  <c r="J10" i="15"/>
  <c r="J18" i="15"/>
  <c r="J26" i="15"/>
  <c r="K15" i="18" l="1"/>
  <c r="M15" i="18"/>
  <c r="L15" i="18"/>
  <c r="F16" i="18"/>
  <c r="G16" i="18"/>
  <c r="K16" i="18" l="1"/>
  <c r="L16" i="18"/>
  <c r="M16" i="18"/>
  <c r="E18" i="18"/>
  <c r="F17" i="18"/>
  <c r="G17" i="18"/>
  <c r="K17" i="18" l="1"/>
  <c r="M17" i="18"/>
  <c r="L17" i="18"/>
  <c r="E19" i="18"/>
  <c r="F18" i="18"/>
  <c r="G18" i="18"/>
  <c r="K18" i="18" l="1"/>
  <c r="L18" i="18"/>
  <c r="M18" i="18"/>
  <c r="F19" i="18"/>
  <c r="G19" i="18"/>
  <c r="K19" i="18" l="1"/>
  <c r="L19" i="18"/>
  <c r="M19" i="18"/>
  <c r="F20" i="18"/>
  <c r="G20" i="18"/>
  <c r="K20" i="18" l="1"/>
  <c r="L20" i="18"/>
  <c r="M20" i="18"/>
</calcChain>
</file>

<file path=xl/sharedStrings.xml><?xml version="1.0" encoding="utf-8"?>
<sst xmlns="http://schemas.openxmlformats.org/spreadsheetml/2006/main" count="185" uniqueCount="98">
  <si>
    <t>V eq. KEAS</t>
  </si>
  <si>
    <t>Mach (Ve/Cse)</t>
  </si>
  <si>
    <t>q dynamic pressure (lb/ft^2)</t>
  </si>
  <si>
    <t>Clmax_m/Clmax_0</t>
  </si>
  <si>
    <t>Cl max_m</t>
  </si>
  <si>
    <t>Cl max_m (-)</t>
  </si>
  <si>
    <t>positive load factor n</t>
  </si>
  <si>
    <t>negative load factor</t>
  </si>
  <si>
    <t>Cl alpha_m/cl alpha 0</t>
  </si>
  <si>
    <t>Cl alpha_m</t>
  </si>
  <si>
    <t>Kg</t>
  </si>
  <si>
    <t>h (ft)</t>
  </si>
  <si>
    <t>Vc KEAS</t>
  </si>
  <si>
    <t>Vd KEAS</t>
  </si>
  <si>
    <t>(Clmax)0 at M=0</t>
  </si>
  <si>
    <t>positive load factor n1</t>
  </si>
  <si>
    <t>negative limit load factor</t>
  </si>
  <si>
    <t>Aspect ratio</t>
  </si>
  <si>
    <r>
      <t xml:space="preserve">Taper ratio </t>
    </r>
    <r>
      <rPr>
        <b/>
        <i/>
        <sz val="14"/>
        <color theme="1"/>
        <rFont val="Calibri"/>
        <family val="2"/>
        <scheme val="minor"/>
      </rPr>
      <t>(lambda)</t>
    </r>
  </si>
  <si>
    <r>
      <t xml:space="preserve">aflechamiento </t>
    </r>
    <r>
      <rPr>
        <b/>
        <i/>
        <sz val="14"/>
        <color theme="1"/>
        <rFont val="Calibri"/>
        <family val="2"/>
        <scheme val="minor"/>
      </rPr>
      <t>(Swept)</t>
    </r>
    <r>
      <rPr>
        <b/>
        <sz val="14"/>
        <color theme="1"/>
        <rFont val="Calibri"/>
        <family val="2"/>
        <scheme val="minor"/>
      </rPr>
      <t>Λ</t>
    </r>
  </si>
  <si>
    <r>
      <t xml:space="preserve">Compressibility factor </t>
    </r>
    <r>
      <rPr>
        <b/>
        <i/>
        <sz val="14"/>
        <color theme="1"/>
        <rFont val="Calibri"/>
        <family val="2"/>
        <scheme val="minor"/>
      </rPr>
      <t>beta</t>
    </r>
  </si>
  <si>
    <t>compressible swept parameter Λ_beta</t>
  </si>
  <si>
    <r>
      <rPr>
        <b/>
        <i/>
        <sz val="14"/>
        <color theme="1"/>
        <rFont val="Calibri"/>
        <family val="2"/>
        <scheme val="minor"/>
      </rPr>
      <t>k</t>
    </r>
    <r>
      <rPr>
        <sz val="14"/>
        <color theme="1"/>
        <rFont val="Calibri"/>
        <family val="2"/>
        <scheme val="minor"/>
      </rPr>
      <t xml:space="preserve"> factor assume =1</t>
    </r>
  </si>
  <si>
    <t>β*AR/K</t>
  </si>
  <si>
    <t>cl alpha w (1/rad) tablas</t>
  </si>
  <si>
    <t>negative Cl max (-) M=0</t>
  </si>
  <si>
    <t>Speeds</t>
  </si>
  <si>
    <t>V stall KEAS</t>
  </si>
  <si>
    <t>V flaps KEAS</t>
  </si>
  <si>
    <t>V cruise KEAS</t>
  </si>
  <si>
    <t>V NE</t>
  </si>
  <si>
    <t>V dive KEAS</t>
  </si>
  <si>
    <t>Loads</t>
  </si>
  <si>
    <t xml:space="preserve">Ultimate load </t>
  </si>
  <si>
    <t>Plot</t>
  </si>
  <si>
    <t>x</t>
  </si>
  <si>
    <t>y</t>
  </si>
  <si>
    <t xml:space="preserve">positive V stall </t>
  </si>
  <si>
    <t>Positive load factor related to maneuver speed to cruise speed</t>
  </si>
  <si>
    <t>V flaps</t>
  </si>
  <si>
    <t xml:space="preserve">V maneuver </t>
  </si>
  <si>
    <t>V cruise</t>
  </si>
  <si>
    <t>V ne</t>
  </si>
  <si>
    <t>V dive</t>
  </si>
  <si>
    <t>Vcruise to Vdive (positive load factors)</t>
  </si>
  <si>
    <t>proof load</t>
  </si>
  <si>
    <t>Ultimate load</t>
  </si>
  <si>
    <t>MANEUVER</t>
  </si>
  <si>
    <t>GUST</t>
  </si>
  <si>
    <t>Cse KEAS (h ft)</t>
  </si>
  <si>
    <t>n+</t>
  </si>
  <si>
    <t>n-</t>
  </si>
  <si>
    <t>negative V stall</t>
  </si>
  <si>
    <t>μ</t>
  </si>
  <si>
    <t>V eq. m/s</t>
  </si>
  <si>
    <r>
      <t xml:space="preserve">cl alpha aircraft (1/rad) at </t>
    </r>
    <r>
      <rPr>
        <b/>
        <sz val="14"/>
        <color theme="1"/>
        <rFont val="Calibri"/>
        <family val="2"/>
        <scheme val="minor"/>
      </rPr>
      <t>M=0</t>
    </r>
  </si>
  <si>
    <t>V_B KEAS</t>
  </si>
  <si>
    <t>negative gust load factor VB</t>
  </si>
  <si>
    <t>positive gust load factor Vc</t>
  </si>
  <si>
    <t>negative gust load factor Vc</t>
  </si>
  <si>
    <t>positive gust load factor Vd</t>
  </si>
  <si>
    <t>negative gust load factor Vd</t>
  </si>
  <si>
    <t>positive gust load factor VB</t>
  </si>
  <si>
    <t>MIDTERM 2</t>
  </si>
  <si>
    <t>CESSNA CITATION XLS+</t>
  </si>
  <si>
    <t>R_min</t>
  </si>
  <si>
    <t>360 turn time</t>
  </si>
  <si>
    <r>
      <rPr>
        <b/>
        <sz val="11"/>
        <color theme="1"/>
        <rFont val="Times New Roman"/>
        <family val="1"/>
      </rPr>
      <t>φ_</t>
    </r>
    <r>
      <rPr>
        <b/>
        <sz val="11"/>
        <color theme="1"/>
        <rFont val="Calibri"/>
        <family val="2"/>
      </rPr>
      <t>max</t>
    </r>
  </si>
  <si>
    <r>
      <rPr>
        <b/>
        <sz val="11"/>
        <color theme="1"/>
        <rFont val="Times New Roman"/>
        <family val="1"/>
      </rPr>
      <t>ω</t>
    </r>
    <r>
      <rPr>
        <b/>
        <sz val="11"/>
        <color theme="1"/>
        <rFont val="Calibri"/>
        <family val="2"/>
      </rPr>
      <t>_max</t>
    </r>
  </si>
  <si>
    <t>Unit</t>
  </si>
  <si>
    <t>Value</t>
  </si>
  <si>
    <t>deg</t>
  </si>
  <si>
    <t>deg/s</t>
  </si>
  <si>
    <t>m</t>
  </si>
  <si>
    <t>s</t>
  </si>
  <si>
    <t>V maneuver (V_A) KEAS</t>
  </si>
  <si>
    <t>n2 load factor</t>
  </si>
  <si>
    <t>Masa (lb)</t>
  </si>
  <si>
    <t xml:space="preserve">sea level </t>
  </si>
  <si>
    <t>FAR 25</t>
  </si>
  <si>
    <t>span b (ft)</t>
  </si>
  <si>
    <t>wing area S (ft^2)</t>
  </si>
  <si>
    <t>Wing load W/S (lb/ft^2)</t>
  </si>
  <si>
    <t>Gravity ft/s^2</t>
  </si>
  <si>
    <t>Air density at h ft (slug/ft^3)</t>
  </si>
  <si>
    <t>positive load factor n+ with flaps</t>
  </si>
  <si>
    <t>VB</t>
  </si>
  <si>
    <t>VC</t>
  </si>
  <si>
    <t>VD</t>
  </si>
  <si>
    <t>negative load factor related to maneuver speed to cruise speed due to is under FAR 25 (more restrictive)</t>
  </si>
  <si>
    <t>NIVELADO</t>
  </si>
  <si>
    <t>Stall+ to Stall-</t>
  </si>
  <si>
    <t>φ (Deg)</t>
  </si>
  <si>
    <t>ω (Deg/s)</t>
  </si>
  <si>
    <t>R (m)</t>
  </si>
  <si>
    <t>RAD</t>
  </si>
  <si>
    <t>RAD/S</t>
  </si>
  <si>
    <t>mean aerodynamic chord (c_bar)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</si>
</sst>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8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EBFDA9"/>
        <bgColor indexed="64"/>
      </patternFill>
    </fill>
    <fill>
      <patternFill patternType="solid">
        <fgColor rgb="FFF1DFEE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FFD9FD"/>
        <bgColor indexed="64"/>
      </patternFill>
    </fill>
    <fill>
      <patternFill patternType="solid">
        <fgColor rgb="FFFFC5FC"/>
        <bgColor indexed="64"/>
      </patternFill>
    </fill>
    <fill>
      <patternFill patternType="solid">
        <fgColor rgb="FFFBA7F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2" fillId="0" borderId="0" xfId="0" applyFont="1"/>
    <xf numFmtId="0" fontId="2" fillId="0" borderId="3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" fontId="14" fillId="0" borderId="0" xfId="0" applyNumberFormat="1" applyFont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2" fontId="1" fillId="5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2" fontId="1" fillId="7" borderId="0" xfId="0" applyNumberFormat="1" applyFont="1" applyFill="1" applyAlignment="1">
      <alignment horizontal="center" vertical="center"/>
    </xf>
    <xf numFmtId="2" fontId="1" fillId="7" borderId="0" xfId="0" applyNumberFormat="1" applyFon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2" fontId="1" fillId="8" borderId="0" xfId="0" applyNumberFormat="1" applyFont="1" applyFill="1" applyAlignment="1">
      <alignment horizontal="center" vertical="center"/>
    </xf>
    <xf numFmtId="2" fontId="1" fillId="8" borderId="0" xfId="0" applyNumberFormat="1" applyFont="1" applyFill="1" applyAlignment="1">
      <alignment horizontal="center"/>
    </xf>
    <xf numFmtId="165" fontId="1" fillId="8" borderId="0" xfId="0" applyNumberFormat="1" applyFont="1" applyFill="1" applyAlignment="1">
      <alignment horizontal="center"/>
    </xf>
    <xf numFmtId="2" fontId="2" fillId="8" borderId="0" xfId="0" applyNumberFormat="1" applyFont="1" applyFill="1" applyAlignment="1">
      <alignment horizontal="center"/>
    </xf>
    <xf numFmtId="0" fontId="2" fillId="6" borderId="9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2" fontId="2" fillId="6" borderId="10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2" fontId="1" fillId="5" borderId="1" xfId="0" applyNumberFormat="1" applyFont="1" applyFill="1" applyBorder="1"/>
    <xf numFmtId="0" fontId="1" fillId="5" borderId="1" xfId="0" applyFont="1" applyFill="1" applyBorder="1"/>
    <xf numFmtId="0" fontId="9" fillId="5" borderId="1" xfId="0" applyFont="1" applyFill="1" applyBorder="1"/>
    <xf numFmtId="0" fontId="12" fillId="5" borderId="1" xfId="0" applyFont="1" applyFill="1" applyBorder="1"/>
    <xf numFmtId="0" fontId="12" fillId="2" borderId="1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/>
    <xf numFmtId="0" fontId="12" fillId="2" borderId="1" xfId="0" applyFont="1" applyFill="1" applyBorder="1"/>
    <xf numFmtId="0" fontId="12" fillId="3" borderId="1" xfId="0" applyFont="1" applyFill="1" applyBorder="1"/>
    <xf numFmtId="0" fontId="13" fillId="3" borderId="1" xfId="0" applyFont="1" applyFill="1" applyBorder="1" applyAlignment="1">
      <alignment horizontal="center" vertical="center"/>
    </xf>
    <xf numFmtId="2" fontId="2" fillId="5" borderId="0" xfId="0" applyNumberFormat="1" applyFont="1" applyFill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2" fontId="2" fillId="2" borderId="10" xfId="0" applyNumberFormat="1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/>
    <xf numFmtId="0" fontId="1" fillId="2" borderId="1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2" fontId="1" fillId="2" borderId="10" xfId="0" applyNumberFormat="1" applyFont="1" applyFill="1" applyBorder="1" applyAlignment="1">
      <alignment horizontal="center" vertical="center" wrapText="1"/>
    </xf>
    <xf numFmtId="2" fontId="2" fillId="2" borderId="6" xfId="0" applyNumberFormat="1" applyFont="1" applyFill="1" applyBorder="1" applyAlignment="1">
      <alignment horizontal="center" vertical="center" wrapText="1"/>
    </xf>
    <xf numFmtId="2" fontId="2" fillId="2" borderId="10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2" fontId="1" fillId="6" borderId="6" xfId="0" applyNumberFormat="1" applyFont="1" applyFill="1" applyBorder="1" applyAlignment="1">
      <alignment horizontal="center" vertical="center" wrapText="1"/>
    </xf>
    <xf numFmtId="2" fontId="1" fillId="6" borderId="10" xfId="0" applyNumberFormat="1" applyFont="1" applyFill="1" applyBorder="1" applyAlignment="1">
      <alignment horizontal="center" vertical="center" wrapText="1"/>
    </xf>
    <xf numFmtId="166" fontId="1" fillId="6" borderId="1" xfId="0" applyNumberFormat="1" applyFont="1" applyFill="1" applyBorder="1" applyAlignment="1">
      <alignment horizontal="center" vertical="center" wrapText="1"/>
    </xf>
    <xf numFmtId="2" fontId="2" fillId="6" borderId="6" xfId="0" applyNumberFormat="1" applyFont="1" applyFill="1" applyBorder="1" applyAlignment="1">
      <alignment horizontal="center" vertical="center" wrapText="1"/>
    </xf>
    <xf numFmtId="2" fontId="2" fillId="6" borderId="10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A7F7"/>
      <color rgb="FFFFC5FC"/>
      <color rgb="FFFFE1FF"/>
      <color rgb="FFCCECFF"/>
      <color rgb="FFFF6565"/>
      <color rgb="FFFCBD84"/>
      <color rgb="FFEBFDA9"/>
      <color rgb="FFFFD9FD"/>
      <color rgb="FFF1DFEE"/>
      <color rgb="FFFFF7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i="1"/>
              <a:t>V-n diagram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nmax+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'V-n SL'!$B$50:$B$51</c:f>
              <c:numCache>
                <c:formatCode>0.00</c:formatCode>
                <c:ptCount val="2"/>
                <c:pt idx="0">
                  <c:v>145.6971551626597</c:v>
                </c:pt>
                <c:pt idx="1">
                  <c:v>551.25</c:v>
                </c:pt>
              </c:numCache>
            </c:numRef>
          </c:xVal>
          <c:yVal>
            <c:numRef>
              <c:f>'V-n SL'!$C$50:$C$51</c:f>
              <c:numCache>
                <c:formatCode>0.0</c:formatCode>
                <c:ptCount val="2"/>
                <c:pt idx="0">
                  <c:v>2.89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21-4F4F-8195-ADAF7DC9232D}"/>
            </c:ext>
          </c:extLst>
        </c:ser>
        <c:ser>
          <c:idx val="1"/>
          <c:order val="1"/>
          <c:tx>
            <c:v>nmax-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'V-n SL'!$B$52:$B$53</c:f>
              <c:numCache>
                <c:formatCode>0.00</c:formatCode>
                <c:ptCount val="2"/>
                <c:pt idx="0">
                  <c:v>121.20405460600621</c:v>
                </c:pt>
                <c:pt idx="1">
                  <c:v>441</c:v>
                </c:pt>
              </c:numCache>
            </c:numRef>
          </c:xVal>
          <c:yVal>
            <c:numRef>
              <c:f>'V-n SL'!$C$52:$C$53</c:f>
              <c:numCache>
                <c:formatCode>0.0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21-4F4F-8195-ADAF7DC9232D}"/>
            </c:ext>
          </c:extLst>
        </c:ser>
        <c:ser>
          <c:idx val="3"/>
          <c:order val="3"/>
          <c:tx>
            <c:v>n-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'V-n SL'!$E$6:$E$11</c:f>
              <c:numCache>
                <c:formatCode>0.00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</c:numCache>
            </c:numRef>
          </c:xVal>
          <c:yVal>
            <c:numRef>
              <c:f>'V-n SL'!$M$6:$M$11</c:f>
              <c:numCache>
                <c:formatCode>0.00</c:formatCode>
                <c:ptCount val="6"/>
                <c:pt idx="0">
                  <c:v>0</c:v>
                </c:pt>
                <c:pt idx="1">
                  <c:v>-4.2474776183103906E-2</c:v>
                </c:pt>
                <c:pt idx="2">
                  <c:v>-0.16989910473241562</c:v>
                </c:pt>
                <c:pt idx="3">
                  <c:v>-0.49997230581260849</c:v>
                </c:pt>
                <c:pt idx="4">
                  <c:v>-0.86954766543471163</c:v>
                </c:pt>
                <c:pt idx="5">
                  <c:v>-0.99835587634176015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D21-4F4F-8195-ADAF7DC9232D}"/>
            </c:ext>
          </c:extLst>
        </c:ser>
        <c:ser>
          <c:idx val="4"/>
          <c:order val="4"/>
          <c:tx>
            <c:v>Vdive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'V-n SL'!$B$62:$B$63</c:f>
              <c:numCache>
                <c:formatCode>0.00</c:formatCode>
                <c:ptCount val="2"/>
                <c:pt idx="0">
                  <c:v>551.25</c:v>
                </c:pt>
                <c:pt idx="1">
                  <c:v>551.25</c:v>
                </c:pt>
              </c:numCache>
            </c:numRef>
          </c:xVal>
          <c:yVal>
            <c:numRef>
              <c:f>'V-n SL'!$C$62:$C$63</c:f>
              <c:numCache>
                <c:formatCode>0.0</c:formatCode>
                <c:ptCount val="2"/>
                <c:pt idx="0" formatCode="0.00">
                  <c:v>0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D21-4F4F-8195-ADAF7DC9232D}"/>
            </c:ext>
          </c:extLst>
        </c:ser>
        <c:ser>
          <c:idx val="5"/>
          <c:order val="5"/>
          <c:tx>
            <c:v>Vc-Vd</c:v>
          </c:tx>
          <c:spPr>
            <a:ln w="25400" cap="rnd">
              <a:solidFill>
                <a:schemeClr val="tx1">
                  <a:alpha val="9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'V-n SL'!$B$64:$B$65</c:f>
              <c:numCache>
                <c:formatCode>0.00</c:formatCode>
                <c:ptCount val="2"/>
                <c:pt idx="0">
                  <c:v>441</c:v>
                </c:pt>
                <c:pt idx="1">
                  <c:v>551.25</c:v>
                </c:pt>
              </c:numCache>
            </c:numRef>
          </c:xVal>
          <c:yVal>
            <c:numRef>
              <c:f>'V-n SL'!$C$64:$C$65</c:f>
              <c:numCache>
                <c:formatCode>0.00</c:formatCode>
                <c:ptCount val="2"/>
                <c:pt idx="0" formatCode="0.0">
                  <c:v>-1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D21-4F4F-8195-ADAF7DC9232D}"/>
            </c:ext>
          </c:extLst>
        </c:ser>
        <c:ser>
          <c:idx val="6"/>
          <c:order val="6"/>
          <c:tx>
            <c:v>Positive stall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'V-n SL'!$B$46:$B$47</c:f>
              <c:numCache>
                <c:formatCode>0.00</c:formatCode>
                <c:ptCount val="2"/>
                <c:pt idx="0">
                  <c:v>85.704208919211595</c:v>
                </c:pt>
                <c:pt idx="1">
                  <c:v>85.704208919211595</c:v>
                </c:pt>
              </c:numCache>
            </c:numRef>
          </c:xVal>
          <c:yVal>
            <c:numRef>
              <c:f>'V-n SL'!$C$46:$C$47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D21-4F4F-8195-ADAF7DC9232D}"/>
            </c:ext>
          </c:extLst>
        </c:ser>
        <c:ser>
          <c:idx val="7"/>
          <c:order val="7"/>
          <c:tx>
            <c:v>Negative stall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'V-n SL'!$B$48:$B$49</c:f>
              <c:numCache>
                <c:formatCode>0.00</c:formatCode>
                <c:ptCount val="2"/>
                <c:pt idx="0">
                  <c:v>121.20405460600621</c:v>
                </c:pt>
                <c:pt idx="1">
                  <c:v>121.20405460600621</c:v>
                </c:pt>
              </c:numCache>
            </c:numRef>
          </c:xVal>
          <c:yVal>
            <c:numRef>
              <c:f>'V-n SL'!$C$48:$C$49</c:f>
              <c:numCache>
                <c:formatCode>0.0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D21-4F4F-8195-ADAF7DC9232D}"/>
            </c:ext>
          </c:extLst>
        </c:ser>
        <c:ser>
          <c:idx val="8"/>
          <c:order val="8"/>
          <c:tx>
            <c:v>Stall+ - Stall-</c:v>
          </c:tx>
          <c:spPr>
            <a:ln w="254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'V-n SL'!$B$70:$B$71</c:f>
              <c:numCache>
                <c:formatCode>0.00</c:formatCode>
                <c:ptCount val="2"/>
                <c:pt idx="0">
                  <c:v>85.704208919211595</c:v>
                </c:pt>
                <c:pt idx="1">
                  <c:v>121.20405460600621</c:v>
                </c:pt>
              </c:numCache>
            </c:numRef>
          </c:xVal>
          <c:yVal>
            <c:numRef>
              <c:f>'V-n SL'!$C$70:$C$71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D21-4F4F-8195-ADAF7DC9232D}"/>
            </c:ext>
          </c:extLst>
        </c:ser>
        <c:ser>
          <c:idx val="9"/>
          <c:order val="9"/>
          <c:tx>
            <c:v>n+ 1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A5-4DB6-9AC9-C6F2F0126174}"/>
              </c:ext>
            </c:extLst>
          </c:dPt>
          <c:xVal>
            <c:numRef>
              <c:f>'V-n SL'!$E$6:$E$9</c:f>
              <c:numCache>
                <c:formatCode>0.00</c:formatCode>
                <c:ptCount val="4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</c:numCache>
            </c:numRef>
          </c:xVal>
          <c:yVal>
            <c:numRef>
              <c:f>'V-n SL'!$L$6:$L$9</c:f>
              <c:numCache>
                <c:formatCode>0.00</c:formatCode>
                <c:ptCount val="4"/>
                <c:pt idx="0">
                  <c:v>0</c:v>
                </c:pt>
                <c:pt idx="1">
                  <c:v>8.4949552366207812E-2</c:v>
                </c:pt>
                <c:pt idx="2">
                  <c:v>0.33979820946483125</c:v>
                </c:pt>
                <c:pt idx="3">
                  <c:v>0.99994461162521697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D21-4F4F-8195-ADAF7DC9232D}"/>
            </c:ext>
          </c:extLst>
        </c:ser>
        <c:ser>
          <c:idx val="10"/>
          <c:order val="10"/>
          <c:tx>
            <c:v>n+ 2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'V-n SL'!$E$9:$E$12</c:f>
              <c:numCache>
                <c:formatCode>0.00</c:formatCode>
                <c:ptCount val="4"/>
                <c:pt idx="0">
                  <c:v>85.772374578776024</c:v>
                </c:pt>
                <c:pt idx="1">
                  <c:v>113.11524899916832</c:v>
                </c:pt>
                <c:pt idx="2">
                  <c:v>121.20405460600621</c:v>
                </c:pt>
                <c:pt idx="3">
                  <c:v>145.69999999999999</c:v>
                </c:pt>
              </c:numCache>
            </c:numRef>
          </c:xVal>
          <c:yVal>
            <c:numRef>
              <c:f>'V-n SL'!$L$9:$L$12</c:f>
              <c:numCache>
                <c:formatCode>0.00</c:formatCode>
                <c:ptCount val="4"/>
                <c:pt idx="0">
                  <c:v>0.99994461162521697</c:v>
                </c:pt>
                <c:pt idx="1">
                  <c:v>1.7390953308694233</c:v>
                </c:pt>
                <c:pt idx="2">
                  <c:v>1.9967117526835203</c:v>
                </c:pt>
                <c:pt idx="3">
                  <c:v>2.8853611566568298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D21-4F4F-8195-ADAF7DC9232D}"/>
            </c:ext>
          </c:extLst>
        </c:ser>
        <c:ser>
          <c:idx val="11"/>
          <c:order val="11"/>
          <c:tx>
            <c:v>n+ flap</c:v>
          </c:tx>
          <c:spPr>
            <a:ln w="25400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xVal>
            <c:numRef>
              <c:f>'V-n SL'!$E$6:$E$10</c:f>
              <c:numCache>
                <c:formatCode>0.00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</c:numCache>
            </c:numRef>
          </c:xVal>
          <c:yVal>
            <c:numRef>
              <c:f>'V-n SL'!$K$6:$K$10</c:f>
              <c:numCache>
                <c:formatCode>0.00</c:formatCode>
                <c:ptCount val="5"/>
                <c:pt idx="0">
                  <c:v>0</c:v>
                </c:pt>
                <c:pt idx="1">
                  <c:v>9.7691985221138977E-2</c:v>
                </c:pt>
                <c:pt idx="2">
                  <c:v>0.39076794088455591</c:v>
                </c:pt>
                <c:pt idx="3">
                  <c:v>1.1499363033689995</c:v>
                </c:pt>
                <c:pt idx="4">
                  <c:v>1.9999596304998364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D21-4F4F-8195-ADAF7DC9232D}"/>
            </c:ext>
          </c:extLst>
        </c:ser>
        <c:ser>
          <c:idx val="12"/>
          <c:order val="12"/>
          <c:tx>
            <c:strRef>
              <c:f>'V-n SL'!$A$66:$A$67</c:f>
              <c:strCache>
                <c:ptCount val="2"/>
                <c:pt idx="0">
                  <c:v>proof load</c:v>
                </c:pt>
              </c:strCache>
            </c:strRef>
          </c:tx>
          <c:spPr>
            <a:ln w="28575" cap="rnd">
              <a:solidFill>
                <a:srgbClr val="FFC000">
                  <a:alpha val="98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FCBD84">
                    <a:alpha val="97647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A5-4DB6-9AC9-C6F2F0126174}"/>
              </c:ext>
            </c:extLst>
          </c:dPt>
          <c:xVal>
            <c:numRef>
              <c:f>'V-n SL'!$B$66:$B$67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SL'!$C$66:$C$67</c:f>
              <c:numCache>
                <c:formatCode>0.00</c:formatCode>
                <c:ptCount val="2"/>
                <c:pt idx="0">
                  <c:v>3.6125000000000003</c:v>
                </c:pt>
                <c:pt idx="1">
                  <c:v>3.6125000000000003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A2-4B85-AF5D-FB545BADD196}"/>
            </c:ext>
          </c:extLst>
        </c:ser>
        <c:ser>
          <c:idx val="13"/>
          <c:order val="13"/>
          <c:tx>
            <c:strRef>
              <c:f>'V-n SL'!$A$68:$A$69</c:f>
              <c:strCache>
                <c:ptCount val="2"/>
                <c:pt idx="0">
                  <c:v>Ultimate load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FF656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ACA5-4DB6-9AC9-C6F2F0126174}"/>
              </c:ext>
            </c:extLst>
          </c:dPt>
          <c:xVal>
            <c:numRef>
              <c:f>'V-n SL'!$B$68:$B$69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SL'!$C$68:$C$69</c:f>
              <c:numCache>
                <c:formatCode>0.00</c:formatCode>
                <c:ptCount val="2"/>
                <c:pt idx="0">
                  <c:v>4.335</c:v>
                </c:pt>
                <c:pt idx="1">
                  <c:v>4.335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A2-4B85-AF5D-FB545BADD196}"/>
            </c:ext>
          </c:extLst>
        </c:ser>
        <c:ser>
          <c:idx val="14"/>
          <c:order val="14"/>
          <c:tx>
            <c:v>Vcruise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CA5-4DB6-9AC9-C6F2F0126174}"/>
              </c:ext>
            </c:extLst>
          </c:dPt>
          <c:xVal>
            <c:numRef>
              <c:f>'V-n SL'!$B$58:$B$59</c:f>
              <c:numCache>
                <c:formatCode>0.00</c:formatCode>
                <c:ptCount val="2"/>
                <c:pt idx="0">
                  <c:v>441</c:v>
                </c:pt>
                <c:pt idx="1">
                  <c:v>441</c:v>
                </c:pt>
              </c:numCache>
            </c:numRef>
          </c:xVal>
          <c:yVal>
            <c:numRef>
              <c:f>'V-n SL'!$C$58:$C$59</c:f>
              <c:numCache>
                <c:formatCode>0.0</c:formatCode>
                <c:ptCount val="2"/>
                <c:pt idx="0" formatCode="0.00">
                  <c:v>-1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98-415E-87BB-E49E1F09A373}"/>
            </c:ext>
          </c:extLst>
        </c:ser>
        <c:ser>
          <c:idx val="15"/>
          <c:order val="15"/>
          <c:tx>
            <c:v>Vmaneuver + 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'V-n SL'!$B$56:$B$57</c:f>
              <c:numCache>
                <c:formatCode>0.00</c:formatCode>
                <c:ptCount val="2"/>
                <c:pt idx="0">
                  <c:v>145.6971551626597</c:v>
                </c:pt>
                <c:pt idx="1">
                  <c:v>145.6971551626597</c:v>
                </c:pt>
              </c:numCache>
            </c:numRef>
          </c:xVal>
          <c:yVal>
            <c:numRef>
              <c:f>'V-n SL'!$C$56:$C$57</c:f>
              <c:numCache>
                <c:formatCode>0.0</c:formatCode>
                <c:ptCount val="2"/>
                <c:pt idx="0" formatCode="0.00">
                  <c:v>0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D2-469B-B816-9655542EA4E9}"/>
            </c:ext>
          </c:extLst>
        </c:ser>
        <c:ser>
          <c:idx val="16"/>
          <c:order val="16"/>
          <c:tx>
            <c:v>Vc +</c:v>
          </c:tx>
          <c:spPr>
            <a:ln w="41275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'V-n SL'!$E$6:$E$24</c:f>
              <c:numCache>
                <c:formatCode>0.00</c:formatCode>
                <c:ptCount val="1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</c:numCache>
            </c:numRef>
          </c:xVal>
          <c:yVal>
            <c:numRef>
              <c:f>'V-n SL'!$T$6:$T$24</c:f>
              <c:numCache>
                <c:formatCode>0.00</c:formatCode>
                <c:ptCount val="19"/>
                <c:pt idx="0">
                  <c:v>1</c:v>
                </c:pt>
                <c:pt idx="1">
                  <c:v>1.2103532604898835</c:v>
                </c:pt>
                <c:pt idx="2">
                  <c:v>1.4207065209797669</c:v>
                </c:pt>
                <c:pt idx="3">
                  <c:v>1.7216999461042053</c:v>
                </c:pt>
                <c:pt idx="4">
                  <c:v>1.9517664575240032</c:v>
                </c:pt>
                <c:pt idx="5">
                  <c:v>2.0198267228386912</c:v>
                </c:pt>
                <c:pt idx="6">
                  <c:v>2.2259388021350408</c:v>
                </c:pt>
                <c:pt idx="7">
                  <c:v>2.4362920626249238</c:v>
                </c:pt>
                <c:pt idx="8">
                  <c:v>2.6466453231148073</c:v>
                </c:pt>
                <c:pt idx="9">
                  <c:v>2.8569985836046907</c:v>
                </c:pt>
                <c:pt idx="10">
                  <c:v>3.0673518440945742</c:v>
                </c:pt>
                <c:pt idx="11">
                  <c:v>3.2777051045844576</c:v>
                </c:pt>
                <c:pt idx="12">
                  <c:v>3.4880583650743411</c:v>
                </c:pt>
                <c:pt idx="13">
                  <c:v>3.698411625564225</c:v>
                </c:pt>
                <c:pt idx="14">
                  <c:v>3.908764886054108</c:v>
                </c:pt>
                <c:pt idx="15">
                  <c:v>4.1191181465439914</c:v>
                </c:pt>
                <c:pt idx="16">
                  <c:v>4.3294714070338749</c:v>
                </c:pt>
                <c:pt idx="17">
                  <c:v>4.5398246675237584</c:v>
                </c:pt>
                <c:pt idx="18">
                  <c:v>4.7106315150415448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2D-4B98-BAAF-964737E9833A}"/>
            </c:ext>
          </c:extLst>
        </c:ser>
        <c:ser>
          <c:idx val="17"/>
          <c:order val="17"/>
          <c:tx>
            <c:v>Vc -</c:v>
          </c:tx>
          <c:spPr>
            <a:ln w="41275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'V-n SL'!$E$6:$E$24</c:f>
              <c:numCache>
                <c:formatCode>0.00</c:formatCode>
                <c:ptCount val="1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</c:numCache>
            </c:numRef>
          </c:xVal>
          <c:yVal>
            <c:numRef>
              <c:f>'V-n SL'!$U$6:$U$24</c:f>
              <c:numCache>
                <c:formatCode>0.00</c:formatCode>
                <c:ptCount val="19"/>
                <c:pt idx="0">
                  <c:v>1</c:v>
                </c:pt>
                <c:pt idx="1">
                  <c:v>0.78964673951011655</c:v>
                </c:pt>
                <c:pt idx="2">
                  <c:v>0.5792934790202332</c:v>
                </c:pt>
                <c:pt idx="3">
                  <c:v>0.27830005389579482</c:v>
                </c:pt>
                <c:pt idx="4">
                  <c:v>4.823354247599676E-2</c:v>
                </c:pt>
                <c:pt idx="5">
                  <c:v>-1.9826722838691246E-2</c:v>
                </c:pt>
                <c:pt idx="6">
                  <c:v>-0.22593880213504081</c:v>
                </c:pt>
                <c:pt idx="7">
                  <c:v>-0.43629206262492404</c:v>
                </c:pt>
                <c:pt idx="8">
                  <c:v>-0.64664532311480727</c:v>
                </c:pt>
                <c:pt idx="9">
                  <c:v>-0.85699858360469094</c:v>
                </c:pt>
                <c:pt idx="10">
                  <c:v>-1.0673518440945742</c:v>
                </c:pt>
                <c:pt idx="11">
                  <c:v>-1.2777051045844576</c:v>
                </c:pt>
                <c:pt idx="12">
                  <c:v>-1.4880583650743411</c:v>
                </c:pt>
                <c:pt idx="13">
                  <c:v>-1.698411625564225</c:v>
                </c:pt>
                <c:pt idx="14">
                  <c:v>-1.908764886054108</c:v>
                </c:pt>
                <c:pt idx="15">
                  <c:v>-2.1191181465439914</c:v>
                </c:pt>
                <c:pt idx="16">
                  <c:v>-2.3294714070338753</c:v>
                </c:pt>
                <c:pt idx="17">
                  <c:v>-2.5398246675237584</c:v>
                </c:pt>
                <c:pt idx="18">
                  <c:v>-2.7106315150415443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2D-4B98-BAAF-964737E9833A}"/>
            </c:ext>
          </c:extLst>
        </c:ser>
        <c:ser>
          <c:idx val="18"/>
          <c:order val="18"/>
          <c:tx>
            <c:v>Vd +</c:v>
          </c:tx>
          <c:spPr>
            <a:ln w="41275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'V-n SL'!$E$6:$E$28</c:f>
              <c:numCache>
                <c:formatCode>0.00</c:formatCode>
                <c:ptCount val="23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  <c:pt idx="19">
                  <c:v>466</c:v>
                </c:pt>
                <c:pt idx="20">
                  <c:v>491</c:v>
                </c:pt>
                <c:pt idx="21">
                  <c:v>516</c:v>
                </c:pt>
                <c:pt idx="22">
                  <c:v>551.25</c:v>
                </c:pt>
              </c:numCache>
            </c:numRef>
          </c:xVal>
          <c:yVal>
            <c:numRef>
              <c:f>'V-n SL'!$V$6:$V$28</c:f>
              <c:numCache>
                <c:formatCode>0.00</c:formatCode>
                <c:ptCount val="23"/>
                <c:pt idx="0">
                  <c:v>1</c:v>
                </c:pt>
                <c:pt idx="1">
                  <c:v>1.1051766302449417</c:v>
                </c:pt>
                <c:pt idx="2">
                  <c:v>1.2103532604898835</c:v>
                </c:pt>
                <c:pt idx="3">
                  <c:v>1.3608499730521026</c:v>
                </c:pt>
                <c:pt idx="4">
                  <c:v>1.4758832287620016</c:v>
                </c:pt>
                <c:pt idx="5">
                  <c:v>1.5099133614193456</c:v>
                </c:pt>
                <c:pt idx="6">
                  <c:v>1.6129694010675204</c:v>
                </c:pt>
                <c:pt idx="7">
                  <c:v>1.7181460313124619</c:v>
                </c:pt>
                <c:pt idx="8">
                  <c:v>1.8233226615574036</c:v>
                </c:pt>
                <c:pt idx="9">
                  <c:v>1.9284992918023454</c:v>
                </c:pt>
                <c:pt idx="10">
                  <c:v>2.0336759220472871</c:v>
                </c:pt>
                <c:pt idx="11">
                  <c:v>2.1388525522922288</c:v>
                </c:pt>
                <c:pt idx="12">
                  <c:v>2.2440291825371705</c:v>
                </c:pt>
                <c:pt idx="13">
                  <c:v>2.3492058127821123</c:v>
                </c:pt>
                <c:pt idx="14">
                  <c:v>2.454382443027054</c:v>
                </c:pt>
                <c:pt idx="15">
                  <c:v>2.5595590732719957</c:v>
                </c:pt>
                <c:pt idx="16">
                  <c:v>2.6647357035169374</c:v>
                </c:pt>
                <c:pt idx="17">
                  <c:v>2.7699123337618792</c:v>
                </c:pt>
                <c:pt idx="18">
                  <c:v>2.8553157575207724</c:v>
                </c:pt>
                <c:pt idx="19">
                  <c:v>2.9604923877657132</c:v>
                </c:pt>
                <c:pt idx="20">
                  <c:v>3.0656690180106554</c:v>
                </c:pt>
                <c:pt idx="21">
                  <c:v>3.1708456482555971</c:v>
                </c:pt>
                <c:pt idx="22">
                  <c:v>3.319144696900965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2D-4B98-BAAF-964737E9833A}"/>
            </c:ext>
          </c:extLst>
        </c:ser>
        <c:ser>
          <c:idx val="19"/>
          <c:order val="19"/>
          <c:tx>
            <c:v>Vd -</c:v>
          </c:tx>
          <c:spPr>
            <a:ln w="41275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'V-n SL'!$E$6:$E$28</c:f>
              <c:numCache>
                <c:formatCode>0.00</c:formatCode>
                <c:ptCount val="23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  <c:pt idx="19">
                  <c:v>466</c:v>
                </c:pt>
                <c:pt idx="20">
                  <c:v>491</c:v>
                </c:pt>
                <c:pt idx="21">
                  <c:v>516</c:v>
                </c:pt>
                <c:pt idx="22">
                  <c:v>551.25</c:v>
                </c:pt>
              </c:numCache>
            </c:numRef>
          </c:xVal>
          <c:yVal>
            <c:numRef>
              <c:f>'V-n SL'!$W$6:$W$28</c:f>
              <c:numCache>
                <c:formatCode>0.00</c:formatCode>
                <c:ptCount val="23"/>
                <c:pt idx="0">
                  <c:v>1</c:v>
                </c:pt>
                <c:pt idx="1">
                  <c:v>0.89482336975505827</c:v>
                </c:pt>
                <c:pt idx="2">
                  <c:v>0.78964673951011655</c:v>
                </c:pt>
                <c:pt idx="3">
                  <c:v>0.63915002694789735</c:v>
                </c:pt>
                <c:pt idx="4">
                  <c:v>0.52411677123799838</c:v>
                </c:pt>
                <c:pt idx="5">
                  <c:v>0.49008663858065438</c:v>
                </c:pt>
                <c:pt idx="6">
                  <c:v>0.3870305989324796</c:v>
                </c:pt>
                <c:pt idx="7">
                  <c:v>0.28185396868753798</c:v>
                </c:pt>
                <c:pt idx="8">
                  <c:v>0.17667733844259637</c:v>
                </c:pt>
                <c:pt idx="9">
                  <c:v>7.1500708197654528E-2</c:v>
                </c:pt>
                <c:pt idx="10">
                  <c:v>-3.3675922047287088E-2</c:v>
                </c:pt>
                <c:pt idx="11">
                  <c:v>-0.13885255229222881</c:v>
                </c:pt>
                <c:pt idx="12">
                  <c:v>-0.24402918253717054</c:v>
                </c:pt>
                <c:pt idx="13">
                  <c:v>-0.34920581278211249</c:v>
                </c:pt>
                <c:pt idx="14">
                  <c:v>-0.45438244302705399</c:v>
                </c:pt>
                <c:pt idx="15">
                  <c:v>-0.55955907327199572</c:v>
                </c:pt>
                <c:pt idx="16">
                  <c:v>-0.66473570351693767</c:v>
                </c:pt>
                <c:pt idx="17">
                  <c:v>-0.76991233376187918</c:v>
                </c:pt>
                <c:pt idx="18">
                  <c:v>-0.85531575752077216</c:v>
                </c:pt>
                <c:pt idx="19">
                  <c:v>-0.96049238776571344</c:v>
                </c:pt>
                <c:pt idx="20">
                  <c:v>-1.0656690180106554</c:v>
                </c:pt>
                <c:pt idx="21">
                  <c:v>-1.1708456482555971</c:v>
                </c:pt>
                <c:pt idx="22">
                  <c:v>-1.319144696900965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5C-4B86-A775-D6527A296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64624"/>
        <c:axId val="126336318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n+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'V-n SL'!$E$6:$E$12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25</c:v>
                      </c:pt>
                      <c:pt idx="2">
                        <c:v>50</c:v>
                      </c:pt>
                      <c:pt idx="3">
                        <c:v>85.772374578776024</c:v>
                      </c:pt>
                      <c:pt idx="4">
                        <c:v>113.11524899916832</c:v>
                      </c:pt>
                      <c:pt idx="5">
                        <c:v>121.20405460600621</c:v>
                      </c:pt>
                      <c:pt idx="6">
                        <c:v>145.69999999999999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'V-n SL'!$L$6:$L$12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8.4949552366207812E-2</c:v>
                      </c:pt>
                      <c:pt idx="2">
                        <c:v>0.33979820946483125</c:v>
                      </c:pt>
                      <c:pt idx="3">
                        <c:v>0.99994461162521697</c:v>
                      </c:pt>
                      <c:pt idx="4">
                        <c:v>1.7390953308694233</c:v>
                      </c:pt>
                      <c:pt idx="5">
                        <c:v>1.9967117526835203</c:v>
                      </c:pt>
                      <c:pt idx="6">
                        <c:v>2.8853611566568298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D21-4F4F-8195-ADAF7DC9232D}"/>
                  </c:ext>
                </c:extLst>
              </c15:ser>
            </c15:filteredScatterSeries>
          </c:ext>
        </c:extLst>
      </c:scatterChart>
      <c:valAx>
        <c:axId val="126336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F0502020204030204" pitchFamily="34" charset="0"/>
                    <a:ea typeface="+mn-ea"/>
                    <a:cs typeface="+mn-cs"/>
                  </a:defRPr>
                </a:pPr>
                <a:r>
                  <a:rPr lang="es-CO" b="1">
                    <a:latin typeface="Abadi" panose="020F0502020204030204" pitchFamily="34" charset="0"/>
                  </a:rPr>
                  <a:t>Veq KEAS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badi" panose="020F050202020403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3184"/>
        <c:crosses val="autoZero"/>
        <c:crossBetween val="midCat"/>
      </c:valAx>
      <c:valAx>
        <c:axId val="12633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Load factor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i="1"/>
              <a:t>V-n diagram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2410448358212692E-2"/>
          <c:y val="8.1842422561930389E-2"/>
          <c:w val="0.93770683157684975"/>
          <c:h val="0.87392992557313209"/>
        </c:manualLayout>
      </c:layout>
      <c:scatterChart>
        <c:scatterStyle val="smoothMarker"/>
        <c:varyColors val="0"/>
        <c:ser>
          <c:idx val="0"/>
          <c:order val="0"/>
          <c:tx>
            <c:v>nmax+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'V-n CL'!$B$50:$B$51</c:f>
              <c:numCache>
                <c:formatCode>0.00</c:formatCode>
                <c:ptCount val="2"/>
                <c:pt idx="0">
                  <c:v>242.08971716310782</c:v>
                </c:pt>
                <c:pt idx="1">
                  <c:v>331.27920000000006</c:v>
                </c:pt>
              </c:numCache>
            </c:numRef>
          </c:xVal>
          <c:yVal>
            <c:numRef>
              <c:f>'V-n CL'!$C$50:$C$51</c:f>
              <c:numCache>
                <c:formatCode>0.0</c:formatCode>
                <c:ptCount val="2"/>
                <c:pt idx="0">
                  <c:v>2.89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8A-495A-B758-57EE64BAA635}"/>
            </c:ext>
          </c:extLst>
        </c:ser>
        <c:ser>
          <c:idx val="1"/>
          <c:order val="1"/>
          <c:tx>
            <c:v>nmax-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7A-4B22-A22B-EF789BFB4EDE}"/>
              </c:ext>
            </c:extLst>
          </c:dPt>
          <c:xVal>
            <c:numRef>
              <c:f>'V-n CL'!$B$52:$B$53</c:f>
              <c:numCache>
                <c:formatCode>0.00</c:formatCode>
                <c:ptCount val="2"/>
                <c:pt idx="0">
                  <c:v>201.39209489596104</c:v>
                </c:pt>
                <c:pt idx="1">
                  <c:v>265.02336000000003</c:v>
                </c:pt>
              </c:numCache>
            </c:numRef>
          </c:xVal>
          <c:yVal>
            <c:numRef>
              <c:f>'V-n CL'!$C$52:$C$53</c:f>
              <c:numCache>
                <c:formatCode>0.0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8A-495A-B758-57EE64BAA635}"/>
            </c:ext>
          </c:extLst>
        </c:ser>
        <c:ser>
          <c:idx val="3"/>
          <c:order val="3"/>
          <c:spPr>
            <a:ln w="222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'V-n CL'!$E$6:$E$14</c:f>
              <c:numCache>
                <c:formatCode>0.00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</c:numCache>
            </c:numRef>
          </c:xVal>
          <c:yVal>
            <c:numRef>
              <c:f>'V-n CL'!$M$6:$M$14</c:f>
              <c:numCache>
                <c:formatCode>0.00</c:formatCode>
                <c:ptCount val="9"/>
                <c:pt idx="0">
                  <c:v>0</c:v>
                </c:pt>
                <c:pt idx="1">
                  <c:v>-1.5384399777213214E-2</c:v>
                </c:pt>
                <c:pt idx="2">
                  <c:v>-6.1537599108852856E-2</c:v>
                </c:pt>
                <c:pt idx="3">
                  <c:v>-0.13845959799491891</c:v>
                </c:pt>
                <c:pt idx="4">
                  <c:v>-0.24615039643541142</c:v>
                </c:pt>
                <c:pt idx="5">
                  <c:v>-0.38460999443033034</c:v>
                </c:pt>
                <c:pt idx="6">
                  <c:v>-0.49917793817088002</c:v>
                </c:pt>
                <c:pt idx="7">
                  <c:v>-0.8694480747868395</c:v>
                </c:pt>
                <c:pt idx="8">
                  <c:v>-0.99833510650154955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8A-495A-B758-57EE64BAA635}"/>
            </c:ext>
          </c:extLst>
        </c:ser>
        <c:ser>
          <c:idx val="4"/>
          <c:order val="4"/>
          <c:tx>
            <c:v>Vdive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'V-n CL'!$B$62:$B$63</c:f>
              <c:numCache>
                <c:formatCode>0.00</c:formatCode>
                <c:ptCount val="2"/>
                <c:pt idx="0">
                  <c:v>331.27920000000006</c:v>
                </c:pt>
                <c:pt idx="1">
                  <c:v>331.27920000000006</c:v>
                </c:pt>
              </c:numCache>
            </c:numRef>
          </c:xVal>
          <c:yVal>
            <c:numRef>
              <c:f>'V-n CL'!$C$62:$C$63</c:f>
              <c:numCache>
                <c:formatCode>0.0</c:formatCode>
                <c:ptCount val="2"/>
                <c:pt idx="0" formatCode="0.00">
                  <c:v>0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8A-495A-B758-57EE64BAA635}"/>
            </c:ext>
          </c:extLst>
        </c:ser>
        <c:ser>
          <c:idx val="5"/>
          <c:order val="5"/>
          <c:tx>
            <c:v>Vc-Vd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'V-n CL'!$B$64:$B$65</c:f>
              <c:numCache>
                <c:formatCode>0.00</c:formatCode>
                <c:ptCount val="2"/>
                <c:pt idx="0">
                  <c:v>265.02336000000003</c:v>
                </c:pt>
                <c:pt idx="1">
                  <c:v>331.27920000000006</c:v>
                </c:pt>
              </c:numCache>
            </c:numRef>
          </c:xVal>
          <c:yVal>
            <c:numRef>
              <c:f>'V-n CL'!$C$64:$C$65</c:f>
              <c:numCache>
                <c:formatCode>0.00</c:formatCode>
                <c:ptCount val="2"/>
                <c:pt idx="0" formatCode="0.0">
                  <c:v>-1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8A-495A-B758-57EE64BAA635}"/>
            </c:ext>
          </c:extLst>
        </c:ser>
        <c:ser>
          <c:idx val="6"/>
          <c:order val="6"/>
          <c:tx>
            <c:v>Positive stall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'V-n CL'!$B$46:$B$47</c:f>
              <c:numCache>
                <c:formatCode>0.00</c:formatCode>
                <c:ptCount val="2"/>
                <c:pt idx="0">
                  <c:v>142.40571597829873</c:v>
                </c:pt>
                <c:pt idx="1">
                  <c:v>142.40571597829873</c:v>
                </c:pt>
              </c:numCache>
            </c:numRef>
          </c:xVal>
          <c:yVal>
            <c:numRef>
              <c:f>'V-n CL'!$C$46:$C$47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B8A-495A-B758-57EE64BAA635}"/>
            </c:ext>
          </c:extLst>
        </c:ser>
        <c:ser>
          <c:idx val="7"/>
          <c:order val="7"/>
          <c:tx>
            <c:v>Negative stall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'V-n CL'!$B$48:$B$49</c:f>
              <c:numCache>
                <c:formatCode>0.00</c:formatCode>
                <c:ptCount val="2"/>
                <c:pt idx="0">
                  <c:v>201.39209489596104</c:v>
                </c:pt>
                <c:pt idx="1">
                  <c:v>201.39209489596104</c:v>
                </c:pt>
              </c:numCache>
            </c:numRef>
          </c:xVal>
          <c:yVal>
            <c:numRef>
              <c:f>'V-n CL'!$C$48:$C$49</c:f>
              <c:numCache>
                <c:formatCode>0.0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B8A-495A-B758-57EE64BAA635}"/>
            </c:ext>
          </c:extLst>
        </c:ser>
        <c:ser>
          <c:idx val="8"/>
          <c:order val="8"/>
          <c:tx>
            <c:v>Stall+ - Stall-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'V-n CL'!$B$70:$B$71</c:f>
              <c:numCache>
                <c:formatCode>0.00</c:formatCode>
                <c:ptCount val="2"/>
                <c:pt idx="0">
                  <c:v>142.40571597829873</c:v>
                </c:pt>
                <c:pt idx="1">
                  <c:v>201.39209489596104</c:v>
                </c:pt>
              </c:numCache>
            </c:numRef>
          </c:xVal>
          <c:yVal>
            <c:numRef>
              <c:f>'V-n CL'!$C$70:$C$71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B8A-495A-B758-57EE64BAA635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'V-n CL'!$E$6:$E$12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</c:numCache>
            </c:numRef>
          </c:xVal>
          <c:yVal>
            <c:numRef>
              <c:f>'V-n CL'!$L$6:$L$12</c:f>
              <c:numCache>
                <c:formatCode>0.00</c:formatCode>
                <c:ptCount val="7"/>
                <c:pt idx="0">
                  <c:v>0</c:v>
                </c:pt>
                <c:pt idx="1">
                  <c:v>3.0768799554426428E-2</c:v>
                </c:pt>
                <c:pt idx="2">
                  <c:v>0.12307519821770571</c:v>
                </c:pt>
                <c:pt idx="3">
                  <c:v>0.27691919598983783</c:v>
                </c:pt>
                <c:pt idx="4">
                  <c:v>0.49230079287082285</c:v>
                </c:pt>
                <c:pt idx="5">
                  <c:v>0.76921998886066068</c:v>
                </c:pt>
                <c:pt idx="6">
                  <c:v>0.99835587634176004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B8A-495A-B758-57EE64BAA635}"/>
            </c:ext>
          </c:extLst>
        </c:ser>
        <c:ser>
          <c:idx val="10"/>
          <c:order val="10"/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'V-n CL'!$E$12:$E$16</c:f>
              <c:numCache>
                <c:formatCode>0.00</c:formatCode>
                <c:ptCount val="5"/>
                <c:pt idx="0">
                  <c:v>142.40571597829873</c:v>
                </c:pt>
                <c:pt idx="1">
                  <c:v>187.94100950893724</c:v>
                </c:pt>
                <c:pt idx="2">
                  <c:v>201.39</c:v>
                </c:pt>
                <c:pt idx="3">
                  <c:v>225</c:v>
                </c:pt>
                <c:pt idx="4">
                  <c:v>242.08971716310782</c:v>
                </c:pt>
              </c:numCache>
            </c:numRef>
          </c:xVal>
          <c:yVal>
            <c:numRef>
              <c:f>'V-n CL'!$L$12:$L$16</c:f>
              <c:numCache>
                <c:formatCode>0.00</c:formatCode>
                <c:ptCount val="5"/>
                <c:pt idx="0">
                  <c:v>0.99835587634176004</c:v>
                </c:pt>
                <c:pt idx="1">
                  <c:v>1.738896149573679</c:v>
                </c:pt>
                <c:pt idx="2">
                  <c:v>1.9966702130030991</c:v>
                </c:pt>
                <c:pt idx="3">
                  <c:v>2.4922727639085407</c:v>
                </c:pt>
                <c:pt idx="4">
                  <c:v>2.8852484826276856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B8A-495A-B758-57EE64BAA635}"/>
            </c:ext>
          </c:extLst>
        </c:ser>
        <c:ser>
          <c:idx val="11"/>
          <c:order val="11"/>
          <c:spPr>
            <a:ln w="19050" cap="rnd">
              <a:solidFill>
                <a:srgbClr val="FBA7F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BA7F7"/>
              </a:solidFill>
              <a:ln w="9525">
                <a:solidFill>
                  <a:srgbClr val="FBA7F7"/>
                </a:solidFill>
              </a:ln>
              <a:effectLst/>
            </c:spPr>
          </c:marker>
          <c:xVal>
            <c:numRef>
              <c:f>'V-n CL'!$E$6:$E$13</c:f>
              <c:numCache>
                <c:formatCode>0.00</c:formatCode>
                <c:ptCount val="8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</c:numCache>
            </c:numRef>
          </c:xVal>
          <c:yVal>
            <c:numRef>
              <c:f>'V-n CL'!$K$6:$K$13</c:f>
              <c:numCache>
                <c:formatCode>0.00</c:formatCode>
                <c:ptCount val="8"/>
                <c:pt idx="0">
                  <c:v>0</c:v>
                </c:pt>
                <c:pt idx="1">
                  <c:v>3.538411948759039E-2</c:v>
                </c:pt>
                <c:pt idx="2">
                  <c:v>0.14153647795036156</c:v>
                </c:pt>
                <c:pt idx="3">
                  <c:v>0.31845707538831347</c:v>
                </c:pt>
                <c:pt idx="4">
                  <c:v>0.56614591180144624</c:v>
                </c:pt>
                <c:pt idx="5">
                  <c:v>0.88460298718975972</c:v>
                </c:pt>
                <c:pt idx="6">
                  <c:v>1.1481092577930239</c:v>
                </c:pt>
                <c:pt idx="7">
                  <c:v>1.9997305720097309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B8A-495A-B758-57EE64BAA635}"/>
            </c:ext>
          </c:extLst>
        </c:ser>
        <c:ser>
          <c:idx val="12"/>
          <c:order val="12"/>
          <c:tx>
            <c:strRef>
              <c:f>'V-n CL'!$A$66:$A$67</c:f>
              <c:strCache>
                <c:ptCount val="2"/>
                <c:pt idx="0">
                  <c:v>proof load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CBD8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48B-4BB0-A88B-EF137C1D6B0A}"/>
              </c:ext>
            </c:extLst>
          </c:dPt>
          <c:xVal>
            <c:numRef>
              <c:f>'V-n CL'!$B$66:$B$67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331.27920000000006</c:v>
                </c:pt>
              </c:numCache>
            </c:numRef>
          </c:xVal>
          <c:yVal>
            <c:numRef>
              <c:f>'V-n CL'!$C$66:$C$67</c:f>
              <c:numCache>
                <c:formatCode>0.00</c:formatCode>
                <c:ptCount val="2"/>
                <c:pt idx="0">
                  <c:v>3.6125000000000003</c:v>
                </c:pt>
                <c:pt idx="1">
                  <c:v>3.6125000000000003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B8A-495A-B758-57EE64BAA635}"/>
            </c:ext>
          </c:extLst>
        </c:ser>
        <c:ser>
          <c:idx val="13"/>
          <c:order val="13"/>
          <c:tx>
            <c:strRef>
              <c:f>'V-n CL'!$A$68:$A$69</c:f>
              <c:strCache>
                <c:ptCount val="2"/>
                <c:pt idx="0">
                  <c:v>Ultimate load</c:v>
                </c:pt>
              </c:strCache>
            </c:strRef>
          </c:tx>
          <c:spPr>
            <a:ln w="25400" cap="rnd">
              <a:solidFill>
                <a:srgbClr val="FF656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'V-n CL'!$B$68:$B$69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331.27920000000006</c:v>
                </c:pt>
              </c:numCache>
            </c:numRef>
          </c:xVal>
          <c:yVal>
            <c:numRef>
              <c:f>'V-n CL'!$C$68:$C$69</c:f>
              <c:numCache>
                <c:formatCode>0.00</c:formatCode>
                <c:ptCount val="2"/>
                <c:pt idx="0">
                  <c:v>4.335</c:v>
                </c:pt>
                <c:pt idx="1">
                  <c:v>4.335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B8A-495A-B758-57EE64BAA635}"/>
            </c:ext>
          </c:extLst>
        </c:ser>
        <c:ser>
          <c:idx val="14"/>
          <c:order val="14"/>
          <c:tx>
            <c:v>Vcruise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8B-4BB0-A88B-EF137C1D6B0A}"/>
              </c:ext>
            </c:extLst>
          </c:dPt>
          <c:xVal>
            <c:numRef>
              <c:f>'V-n CL'!$B$58:$B$59</c:f>
              <c:numCache>
                <c:formatCode>0.00</c:formatCode>
                <c:ptCount val="2"/>
                <c:pt idx="0">
                  <c:v>265.02336000000003</c:v>
                </c:pt>
                <c:pt idx="1">
                  <c:v>265.02336000000003</c:v>
                </c:pt>
              </c:numCache>
            </c:numRef>
          </c:xVal>
          <c:yVal>
            <c:numRef>
              <c:f>'V-n CL'!$C$58:$C$59</c:f>
              <c:numCache>
                <c:formatCode>0.0</c:formatCode>
                <c:ptCount val="2"/>
                <c:pt idx="0" formatCode="0.00">
                  <c:v>-1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B8A-495A-B758-57EE64BAA635}"/>
            </c:ext>
          </c:extLst>
        </c:ser>
        <c:ser>
          <c:idx val="15"/>
          <c:order val="15"/>
          <c:tx>
            <c:strRef>
              <c:f>'V-n CL'!$T$5</c:f>
              <c:strCache>
                <c:ptCount val="1"/>
                <c:pt idx="0">
                  <c:v>positive gust load factor Vc</c:v>
                </c:pt>
              </c:strCache>
            </c:strRef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'V-n CL'!$E$6:$E$17</c:f>
              <c:numCache>
                <c:formatCode>0.00</c:formatCode>
                <c:ptCount val="12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265.02336000000003</c:v>
                </c:pt>
              </c:numCache>
            </c:numRef>
          </c:xVal>
          <c:yVal>
            <c:numRef>
              <c:f>'V-n CL'!$T$6:$T$17</c:f>
              <c:numCache>
                <c:formatCode>0.00</c:formatCode>
                <c:ptCount val="12"/>
                <c:pt idx="0">
                  <c:v>1</c:v>
                </c:pt>
                <c:pt idx="1">
                  <c:v>1.0524181177066492</c:v>
                </c:pt>
                <c:pt idx="2">
                  <c:v>1.1048362354132981</c:v>
                </c:pt>
                <c:pt idx="3">
                  <c:v>1.1572543531199473</c:v>
                </c:pt>
                <c:pt idx="4">
                  <c:v>1.2096724708265962</c:v>
                </c:pt>
                <c:pt idx="5">
                  <c:v>1.2620905885332454</c:v>
                </c:pt>
                <c:pt idx="6">
                  <c:v>1.298585583290004</c:v>
                </c:pt>
                <c:pt idx="7">
                  <c:v>1.394060558333837</c:v>
                </c:pt>
                <c:pt idx="8">
                  <c:v>1.4222593889976824</c:v>
                </c:pt>
                <c:pt idx="9">
                  <c:v>1.4717630593598419</c:v>
                </c:pt>
                <c:pt idx="10">
                  <c:v>1.507595491593007</c:v>
                </c:pt>
                <c:pt idx="11">
                  <c:v>1.5556810271796655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B8A-495A-B758-57EE64BAA635}"/>
            </c:ext>
          </c:extLst>
        </c:ser>
        <c:ser>
          <c:idx val="16"/>
          <c:order val="16"/>
          <c:tx>
            <c:strRef>
              <c:f>'V-n CL'!$U$5</c:f>
              <c:strCache>
                <c:ptCount val="1"/>
                <c:pt idx="0">
                  <c:v>negative gust load factor Vc</c:v>
                </c:pt>
              </c:strCache>
            </c:strRef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'V-n CL'!$E$6:$E$17</c:f>
              <c:numCache>
                <c:formatCode>0.00</c:formatCode>
                <c:ptCount val="12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265.02336000000003</c:v>
                </c:pt>
              </c:numCache>
            </c:numRef>
          </c:xVal>
          <c:yVal>
            <c:numRef>
              <c:f>'V-n CL'!$U$6:$U$17</c:f>
              <c:numCache>
                <c:formatCode>0.00</c:formatCode>
                <c:ptCount val="12"/>
                <c:pt idx="0">
                  <c:v>1</c:v>
                </c:pt>
                <c:pt idx="1">
                  <c:v>0.94758188229335094</c:v>
                </c:pt>
                <c:pt idx="2">
                  <c:v>0.89516376458670188</c:v>
                </c:pt>
                <c:pt idx="3">
                  <c:v>0.84274564688005271</c:v>
                </c:pt>
                <c:pt idx="4">
                  <c:v>0.79032752917340365</c:v>
                </c:pt>
                <c:pt idx="5">
                  <c:v>0.73790941146675459</c:v>
                </c:pt>
                <c:pt idx="6">
                  <c:v>0.70141441670999605</c:v>
                </c:pt>
                <c:pt idx="7">
                  <c:v>0.60593944166616298</c:v>
                </c:pt>
                <c:pt idx="8">
                  <c:v>0.57774061100231766</c:v>
                </c:pt>
                <c:pt idx="9">
                  <c:v>0.52823694064015814</c:v>
                </c:pt>
                <c:pt idx="10">
                  <c:v>0.49240450840699301</c:v>
                </c:pt>
                <c:pt idx="11">
                  <c:v>0.4443189728203345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B8A-495A-B758-57EE64BAA635}"/>
            </c:ext>
          </c:extLst>
        </c:ser>
        <c:ser>
          <c:idx val="17"/>
          <c:order val="17"/>
          <c:tx>
            <c:strRef>
              <c:f>'V-n CL'!$V$5</c:f>
              <c:strCache>
                <c:ptCount val="1"/>
                <c:pt idx="0">
                  <c:v>positive gust load factor Vd</c:v>
                </c:pt>
              </c:strCache>
            </c:strRef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'V-n CL'!$E$6:$E$20</c:f>
              <c:numCache>
                <c:formatCode>0.00</c:formatCode>
                <c:ptCount val="1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265.02336000000003</c:v>
                </c:pt>
                <c:pt idx="12">
                  <c:v>290.02336000000003</c:v>
                </c:pt>
                <c:pt idx="13">
                  <c:v>315.02336000000003</c:v>
                </c:pt>
                <c:pt idx="14">
                  <c:v>331.27920000000006</c:v>
                </c:pt>
              </c:numCache>
            </c:numRef>
          </c:xVal>
          <c:yVal>
            <c:numRef>
              <c:f>'V-n CL'!$V$6:$V$20</c:f>
              <c:numCache>
                <c:formatCode>0.00</c:formatCode>
                <c:ptCount val="15"/>
                <c:pt idx="0">
                  <c:v>1</c:v>
                </c:pt>
                <c:pt idx="1">
                  <c:v>1.0262090588533246</c:v>
                </c:pt>
                <c:pt idx="2">
                  <c:v>1.0524181177066492</c:v>
                </c:pt>
                <c:pt idx="3">
                  <c:v>1.0786271765599735</c:v>
                </c:pt>
                <c:pt idx="4">
                  <c:v>1.1048362354132981</c:v>
                </c:pt>
                <c:pt idx="5">
                  <c:v>1.1310452942666227</c:v>
                </c:pt>
                <c:pt idx="6">
                  <c:v>1.149292791645002</c:v>
                </c:pt>
                <c:pt idx="7">
                  <c:v>1.1970302791669185</c:v>
                </c:pt>
                <c:pt idx="8">
                  <c:v>1.2111296944988412</c:v>
                </c:pt>
                <c:pt idx="9">
                  <c:v>1.2358815296799208</c:v>
                </c:pt>
                <c:pt idx="10">
                  <c:v>1.2537977457965035</c:v>
                </c:pt>
                <c:pt idx="11">
                  <c:v>1.2778405135898327</c:v>
                </c:pt>
                <c:pt idx="12">
                  <c:v>1.3040495724431573</c:v>
                </c:pt>
                <c:pt idx="13">
                  <c:v>1.3302586312964819</c:v>
                </c:pt>
                <c:pt idx="14">
                  <c:v>1.347300641987291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B8A-495A-B758-57EE64BAA635}"/>
            </c:ext>
          </c:extLst>
        </c:ser>
        <c:ser>
          <c:idx val="18"/>
          <c:order val="18"/>
          <c:tx>
            <c:strRef>
              <c:f>'V-n CL'!$W$5</c:f>
              <c:strCache>
                <c:ptCount val="1"/>
                <c:pt idx="0">
                  <c:v>negative gust load factor Vd</c:v>
                </c:pt>
              </c:strCache>
            </c:strRef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'V-n CL'!$E$6:$E$20</c:f>
              <c:numCache>
                <c:formatCode>0.00</c:formatCode>
                <c:ptCount val="1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265.02336000000003</c:v>
                </c:pt>
                <c:pt idx="12">
                  <c:v>290.02336000000003</c:v>
                </c:pt>
                <c:pt idx="13">
                  <c:v>315.02336000000003</c:v>
                </c:pt>
                <c:pt idx="14">
                  <c:v>331.27920000000006</c:v>
                </c:pt>
              </c:numCache>
            </c:numRef>
          </c:xVal>
          <c:yVal>
            <c:numRef>
              <c:f>'V-n CL'!$W$6:$W$20</c:f>
              <c:numCache>
                <c:formatCode>0.00</c:formatCode>
                <c:ptCount val="15"/>
                <c:pt idx="0">
                  <c:v>1</c:v>
                </c:pt>
                <c:pt idx="1">
                  <c:v>0.97379094114667542</c:v>
                </c:pt>
                <c:pt idx="2">
                  <c:v>0.94758188229335094</c:v>
                </c:pt>
                <c:pt idx="3">
                  <c:v>0.92137282344002636</c:v>
                </c:pt>
                <c:pt idx="4">
                  <c:v>0.89516376458670188</c:v>
                </c:pt>
                <c:pt idx="5">
                  <c:v>0.8689547057333773</c:v>
                </c:pt>
                <c:pt idx="6">
                  <c:v>0.85070720835499802</c:v>
                </c:pt>
                <c:pt idx="7">
                  <c:v>0.80296972083308149</c:v>
                </c:pt>
                <c:pt idx="8">
                  <c:v>0.78887030550115878</c:v>
                </c:pt>
                <c:pt idx="9">
                  <c:v>0.76411847032007907</c:v>
                </c:pt>
                <c:pt idx="10">
                  <c:v>0.74620225420349651</c:v>
                </c:pt>
                <c:pt idx="11">
                  <c:v>0.72215948641016725</c:v>
                </c:pt>
                <c:pt idx="12">
                  <c:v>0.69595042755684267</c:v>
                </c:pt>
                <c:pt idx="13">
                  <c:v>0.66974136870351808</c:v>
                </c:pt>
                <c:pt idx="14">
                  <c:v>0.65269935801270906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B8A-495A-B758-57EE64BAA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64624"/>
        <c:axId val="126336318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n+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'V-n CL'!$E$6:$E$12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25</c:v>
                      </c:pt>
                      <c:pt idx="2">
                        <c:v>50</c:v>
                      </c:pt>
                      <c:pt idx="3">
                        <c:v>75</c:v>
                      </c:pt>
                      <c:pt idx="4">
                        <c:v>100</c:v>
                      </c:pt>
                      <c:pt idx="5">
                        <c:v>125</c:v>
                      </c:pt>
                      <c:pt idx="6">
                        <c:v>142.40571597829873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'V-n CL'!$L$6:$L$12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3.0768799554426428E-2</c:v>
                      </c:pt>
                      <c:pt idx="2">
                        <c:v>0.12307519821770571</c:v>
                      </c:pt>
                      <c:pt idx="3">
                        <c:v>0.27691919598983783</c:v>
                      </c:pt>
                      <c:pt idx="4">
                        <c:v>0.49230079287082285</c:v>
                      </c:pt>
                      <c:pt idx="5">
                        <c:v>0.76921998886066068</c:v>
                      </c:pt>
                      <c:pt idx="6">
                        <c:v>0.99835587634176004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E-FB8A-495A-B758-57EE64BAA635}"/>
                  </c:ext>
                </c:extLst>
              </c15:ser>
            </c15:filteredScatterSeries>
          </c:ext>
        </c:extLst>
      </c:scatterChart>
      <c:valAx>
        <c:axId val="126336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Veq KEAS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3184"/>
        <c:crosses val="autoZero"/>
        <c:crossBetween val="midCat"/>
      </c:valAx>
      <c:valAx>
        <c:axId val="12633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load factor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775678040244977"/>
          <c:y val="2.2750332477299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𝑹 𝒗𝒔 𝒔𝒑𝒆𝒆𝒅</c:v>
          </c:tx>
          <c:spPr>
            <a:ln w="19050" cap="rnd">
              <a:solidFill>
                <a:srgbClr val="FBA7F7"/>
              </a:solidFill>
              <a:round/>
            </a:ln>
            <a:effectLst/>
          </c:spPr>
          <c:marker>
            <c:symbol val="none"/>
          </c:marker>
          <c:xVal>
            <c:numRef>
              <c:f>'Level Turn'!$A$10:$A$28</c:f>
              <c:numCache>
                <c:formatCode>0.00</c:formatCode>
                <c:ptCount val="19"/>
                <c:pt idx="0">
                  <c:v>113.11524899916832</c:v>
                </c:pt>
                <c:pt idx="1">
                  <c:v>121.20405460600621</c:v>
                </c:pt>
                <c:pt idx="2">
                  <c:v>145.69999999999999</c:v>
                </c:pt>
                <c:pt idx="3">
                  <c:v>170.7</c:v>
                </c:pt>
                <c:pt idx="4">
                  <c:v>195.7</c:v>
                </c:pt>
                <c:pt idx="5">
                  <c:v>220.7</c:v>
                </c:pt>
                <c:pt idx="6">
                  <c:v>245.7</c:v>
                </c:pt>
                <c:pt idx="7">
                  <c:v>270.7</c:v>
                </c:pt>
                <c:pt idx="8">
                  <c:v>295.7</c:v>
                </c:pt>
                <c:pt idx="9">
                  <c:v>320.7</c:v>
                </c:pt>
                <c:pt idx="10">
                  <c:v>345.7</c:v>
                </c:pt>
                <c:pt idx="11">
                  <c:v>370.7</c:v>
                </c:pt>
                <c:pt idx="12">
                  <c:v>395.7</c:v>
                </c:pt>
                <c:pt idx="13">
                  <c:v>420.7</c:v>
                </c:pt>
                <c:pt idx="14">
                  <c:v>441</c:v>
                </c:pt>
                <c:pt idx="15">
                  <c:v>466</c:v>
                </c:pt>
                <c:pt idx="16">
                  <c:v>491</c:v>
                </c:pt>
                <c:pt idx="17">
                  <c:v>516</c:v>
                </c:pt>
                <c:pt idx="18">
                  <c:v>551.25</c:v>
                </c:pt>
              </c:numCache>
            </c:numRef>
          </c:xVal>
          <c:yVal>
            <c:numRef>
              <c:f>'Level Turn'!$F$10:$F$28</c:f>
              <c:numCache>
                <c:formatCode>0.00</c:formatCode>
                <c:ptCount val="19"/>
                <c:pt idx="0">
                  <c:v>230.63091659965099</c:v>
                </c:pt>
                <c:pt idx="1">
                  <c:v>217.99977135923413</c:v>
                </c:pt>
                <c:pt idx="2">
                  <c:v>201.1569978273387</c:v>
                </c:pt>
                <c:pt idx="3">
                  <c:v>195.45212346309035</c:v>
                </c:pt>
                <c:pt idx="4">
                  <c:v>192.27072796649497</c:v>
                </c:pt>
                <c:pt idx="5">
                  <c:v>190.87965308283435</c:v>
                </c:pt>
                <c:pt idx="6">
                  <c:v>190.10670843594761</c:v>
                </c:pt>
                <c:pt idx="7">
                  <c:v>189.64788923849397</c:v>
                </c:pt>
                <c:pt idx="8">
                  <c:v>189.36111721992725</c:v>
                </c:pt>
                <c:pt idx="9">
                  <c:v>189.17424200397221</c:v>
                </c:pt>
                <c:pt idx="10">
                  <c:v>189.04817654879332</c:v>
                </c:pt>
                <c:pt idx="11">
                  <c:v>188.96060862493562</c:v>
                </c:pt>
                <c:pt idx="12">
                  <c:v>188.89823592178752</c:v>
                </c:pt>
                <c:pt idx="13">
                  <c:v>188.85283016939715</c:v>
                </c:pt>
                <c:pt idx="14">
                  <c:v>188.82475538128739</c:v>
                </c:pt>
                <c:pt idx="15">
                  <c:v>188.79797849638737</c:v>
                </c:pt>
                <c:pt idx="16">
                  <c:v>188.77751848579476</c:v>
                </c:pt>
                <c:pt idx="17">
                  <c:v>188.76166775355188</c:v>
                </c:pt>
                <c:pt idx="18">
                  <c:v>188.74491818999408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AD-44ED-B54D-103AF3D0B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007280"/>
        <c:axId val="244008240"/>
      </c:scatterChart>
      <c:valAx>
        <c:axId val="24400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Veq</a:t>
                </a:r>
                <a:r>
                  <a:rPr lang="en-US" baseline="0"/>
                  <a:t> (KEAS)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4008240"/>
        <c:crosses val="autoZero"/>
        <c:crossBetween val="midCat"/>
      </c:valAx>
      <c:valAx>
        <c:axId val="24400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</a:t>
                </a:r>
                <a:r>
                  <a:rPr lang="es-MX" baseline="0"/>
                  <a:t> (m)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400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𝝎 𝒗𝒔 </a:t>
            </a: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𝒔𝒑𝒆𝒆</a:t>
            </a:r>
            <a:r>
              <a:rPr lang="es-CO" sz="1400" b="1" i="1" u="none" strike="noStrike" baseline="0"/>
              <a:t>d</a:t>
            </a:r>
            <a:endParaRPr lang="es-CO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BA7F7"/>
              </a:solidFill>
              <a:round/>
            </a:ln>
            <a:effectLst/>
          </c:spPr>
          <c:marker>
            <c:symbol val="none"/>
          </c:marker>
          <c:xVal>
            <c:numRef>
              <c:f>'Level Turn'!$A$10:$A$28</c:f>
              <c:numCache>
                <c:formatCode>0.00</c:formatCode>
                <c:ptCount val="19"/>
                <c:pt idx="0">
                  <c:v>113.11524899916832</c:v>
                </c:pt>
                <c:pt idx="1">
                  <c:v>121.20405460600621</c:v>
                </c:pt>
                <c:pt idx="2">
                  <c:v>145.69999999999999</c:v>
                </c:pt>
                <c:pt idx="3">
                  <c:v>170.7</c:v>
                </c:pt>
                <c:pt idx="4">
                  <c:v>195.7</c:v>
                </c:pt>
                <c:pt idx="5">
                  <c:v>220.7</c:v>
                </c:pt>
                <c:pt idx="6">
                  <c:v>245.7</c:v>
                </c:pt>
                <c:pt idx="7">
                  <c:v>270.7</c:v>
                </c:pt>
                <c:pt idx="8">
                  <c:v>295.7</c:v>
                </c:pt>
                <c:pt idx="9">
                  <c:v>320.7</c:v>
                </c:pt>
                <c:pt idx="10">
                  <c:v>345.7</c:v>
                </c:pt>
                <c:pt idx="11">
                  <c:v>370.7</c:v>
                </c:pt>
                <c:pt idx="12">
                  <c:v>395.7</c:v>
                </c:pt>
                <c:pt idx="13">
                  <c:v>420.7</c:v>
                </c:pt>
                <c:pt idx="14">
                  <c:v>441</c:v>
                </c:pt>
                <c:pt idx="15">
                  <c:v>466</c:v>
                </c:pt>
                <c:pt idx="16">
                  <c:v>491</c:v>
                </c:pt>
                <c:pt idx="17">
                  <c:v>516</c:v>
                </c:pt>
                <c:pt idx="18">
                  <c:v>551.25</c:v>
                </c:pt>
              </c:numCache>
            </c:numRef>
          </c:xVal>
          <c:yVal>
            <c:numRef>
              <c:f>'Level Turn'!$E$10:$E$28</c:f>
              <c:numCache>
                <c:formatCode>0.00</c:formatCode>
                <c:ptCount val="19"/>
                <c:pt idx="0">
                  <c:v>14.092923979828237</c:v>
                </c:pt>
                <c:pt idx="1">
                  <c:v>15.975651892033387</c:v>
                </c:pt>
                <c:pt idx="2">
                  <c:v>20.812386615299399</c:v>
                </c:pt>
                <c:pt idx="3">
                  <c:v>25.123745757132181</c:v>
                </c:pt>
                <c:pt idx="4">
                  <c:v>29.246583035600583</c:v>
                </c:pt>
                <c:pt idx="5">
                  <c:v>33.223101620220518</c:v>
                </c:pt>
                <c:pt idx="6">
                  <c:v>37.136861031908957</c:v>
                </c:pt>
                <c:pt idx="7">
                  <c:v>41.01452826323672</c:v>
                </c:pt>
                <c:pt idx="8">
                  <c:v>44.870199008084612</c:v>
                </c:pt>
                <c:pt idx="9">
                  <c:v>48.711828932153765</c:v>
                </c:pt>
                <c:pt idx="10">
                  <c:v>52.544149311694241</c:v>
                </c:pt>
                <c:pt idx="11">
                  <c:v>56.370097418778549</c:v>
                </c:pt>
                <c:pt idx="12">
                  <c:v>60.191563790055795</c:v>
                </c:pt>
                <c:pt idx="13">
                  <c:v>64.009803333570275</c:v>
                </c:pt>
                <c:pt idx="14">
                  <c:v>67.108439043420077</c:v>
                </c:pt>
                <c:pt idx="15">
                  <c:v>70.922829756177848</c:v>
                </c:pt>
                <c:pt idx="16">
                  <c:v>74.735801705579831</c:v>
                </c:pt>
                <c:pt idx="17">
                  <c:v>78.547682192550297</c:v>
                </c:pt>
                <c:pt idx="18">
                  <c:v>83.921031542940895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47-4357-9506-DA0EE6C45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360800"/>
        <c:axId val="1028045680"/>
      </c:scatterChart>
      <c:valAx>
        <c:axId val="111136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Speed</a:t>
                </a:r>
                <a:r>
                  <a:rPr lang="en-US" baseline="0"/>
                  <a:t> </a:t>
                </a:r>
                <a:r>
                  <a:rPr lang="en-US"/>
                  <a:t>(KEAS)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8045680"/>
        <c:crosses val="autoZero"/>
        <c:crossBetween val="midCat"/>
      </c:valAx>
      <c:valAx>
        <c:axId val="10280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𝝎 (Deg/s)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136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Bank angle vs Speed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'Level Turn'!$D$9</c:f>
              <c:strCache>
                <c:ptCount val="1"/>
                <c:pt idx="0">
                  <c:v>φ (Deg)</c:v>
                </c:pt>
              </c:strCache>
            </c:strRef>
          </c:tx>
          <c:spPr>
            <a:ln w="19050" cap="rnd">
              <a:solidFill>
                <a:srgbClr val="FBA7F7"/>
              </a:solidFill>
              <a:round/>
            </a:ln>
            <a:effectLst/>
          </c:spPr>
          <c:marker>
            <c:symbol val="none"/>
          </c:marker>
          <c:xVal>
            <c:numRef>
              <c:f>'Level Turn'!$A$10:$A$28</c:f>
              <c:numCache>
                <c:formatCode>0.00</c:formatCode>
                <c:ptCount val="19"/>
                <c:pt idx="0">
                  <c:v>113.11524899916832</c:v>
                </c:pt>
                <c:pt idx="1">
                  <c:v>121.20405460600621</c:v>
                </c:pt>
                <c:pt idx="2">
                  <c:v>145.69999999999999</c:v>
                </c:pt>
                <c:pt idx="3">
                  <c:v>170.7</c:v>
                </c:pt>
                <c:pt idx="4">
                  <c:v>195.7</c:v>
                </c:pt>
                <c:pt idx="5">
                  <c:v>220.7</c:v>
                </c:pt>
                <c:pt idx="6">
                  <c:v>245.7</c:v>
                </c:pt>
                <c:pt idx="7">
                  <c:v>270.7</c:v>
                </c:pt>
                <c:pt idx="8">
                  <c:v>295.7</c:v>
                </c:pt>
                <c:pt idx="9">
                  <c:v>320.7</c:v>
                </c:pt>
                <c:pt idx="10">
                  <c:v>345.7</c:v>
                </c:pt>
                <c:pt idx="11">
                  <c:v>370.7</c:v>
                </c:pt>
                <c:pt idx="12">
                  <c:v>395.7</c:v>
                </c:pt>
                <c:pt idx="13">
                  <c:v>420.7</c:v>
                </c:pt>
                <c:pt idx="14">
                  <c:v>441</c:v>
                </c:pt>
                <c:pt idx="15">
                  <c:v>466</c:v>
                </c:pt>
                <c:pt idx="16">
                  <c:v>491</c:v>
                </c:pt>
                <c:pt idx="17">
                  <c:v>516</c:v>
                </c:pt>
                <c:pt idx="18">
                  <c:v>551.25</c:v>
                </c:pt>
              </c:numCache>
            </c:numRef>
          </c:xVal>
          <c:yVal>
            <c:numRef>
              <c:f>'Level Turn'!$D$10:$D$28</c:f>
              <c:numCache>
                <c:formatCode>0.00</c:formatCode>
                <c:ptCount val="19"/>
                <c:pt idx="0">
                  <c:v>54.899554992729918</c:v>
                </c:pt>
                <c:pt idx="1">
                  <c:v>59.945508291913434</c:v>
                </c:pt>
                <c:pt idx="2">
                  <c:v>69.721904584788376</c:v>
                </c:pt>
                <c:pt idx="3">
                  <c:v>75.374828366349305</c:v>
                </c:pt>
                <c:pt idx="4">
                  <c:v>78.924380939552222</c:v>
                </c:pt>
                <c:pt idx="5">
                  <c:v>81.312350007830304</c:v>
                </c:pt>
                <c:pt idx="6">
                  <c:v>82.999770972221455</c:v>
                </c:pt>
                <c:pt idx="7">
                  <c:v>84.237679486708885</c:v>
                </c:pt>
                <c:pt idx="8">
                  <c:v>85.173273306707131</c:v>
                </c:pt>
                <c:pt idx="9">
                  <c:v>85.897819785445748</c:v>
                </c:pt>
                <c:pt idx="10">
                  <c:v>86.470464876829183</c:v>
                </c:pt>
                <c:pt idx="11">
                  <c:v>86.930949155094126</c:v>
                </c:pt>
                <c:pt idx="12">
                  <c:v>87.306795105694661</c:v>
                </c:pt>
                <c:pt idx="13">
                  <c:v>87.617561556711124</c:v>
                </c:pt>
                <c:pt idx="14">
                  <c:v>87.83195635790949</c:v>
                </c:pt>
                <c:pt idx="15">
                  <c:v>88.058430940623836</c:v>
                </c:pt>
                <c:pt idx="16">
                  <c:v>88.251176393368851</c:v>
                </c:pt>
                <c:pt idx="17">
                  <c:v>88.416575227909533</c:v>
                </c:pt>
                <c:pt idx="18">
                  <c:v>88.612647600856988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F2-4E6F-9DE4-C0139B565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626559"/>
        <c:axId val="609625119"/>
      </c:scatterChart>
      <c:valAx>
        <c:axId val="60962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  <a:r>
                  <a:rPr lang="en-US" baseline="0"/>
                  <a:t> (KEAS)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9625119"/>
        <c:crosses val="autoZero"/>
        <c:crossBetween val="midCat"/>
      </c:valAx>
      <c:valAx>
        <c:axId val="60962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φ (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962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10964</xdr:colOff>
      <xdr:row>31</xdr:row>
      <xdr:rowOff>47723</xdr:rowOff>
    </xdr:from>
    <xdr:to>
      <xdr:col>17</xdr:col>
      <xdr:colOff>361950</xdr:colOff>
      <xdr:row>55</xdr:row>
      <xdr:rowOff>5531</xdr:rowOff>
    </xdr:to>
    <xdr:graphicFrame macro="">
      <xdr:nvGraphicFramePr>
        <xdr:cNvPr id="7" name="Gráfico 2">
          <a:extLst>
            <a:ext uri="{FF2B5EF4-FFF2-40B4-BE49-F238E27FC236}">
              <a16:creationId xmlns:a16="http://schemas.microsoft.com/office/drawing/2014/main" id="{254323EF-2859-4618-B5B1-C2CBB1E98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9602</xdr:colOff>
      <xdr:row>35</xdr:row>
      <xdr:rowOff>230047</xdr:rowOff>
    </xdr:from>
    <xdr:to>
      <xdr:col>17</xdr:col>
      <xdr:colOff>666226</xdr:colOff>
      <xdr:row>36</xdr:row>
      <xdr:rowOff>191466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7B0D7B-5D3D-15D0-6354-5DEF15DE2826}"/>
            </a:ext>
          </a:extLst>
        </xdr:cNvPr>
        <xdr:cNvSpPr txBox="1"/>
      </xdr:nvSpPr>
      <xdr:spPr>
        <a:xfrm>
          <a:off x="19101166" y="8986120"/>
          <a:ext cx="1446333" cy="196946"/>
        </a:xfrm>
        <a:prstGeom prst="rect">
          <a:avLst/>
        </a:prstGeom>
        <a:solidFill>
          <a:srgbClr val="FF6565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Congenial Black" panose="020F0502020204030204" pitchFamily="2" charset="0"/>
            </a:rPr>
            <a:t>Ultimate</a:t>
          </a:r>
          <a:r>
            <a:rPr lang="en-US" sz="1100" baseline="0">
              <a:latin typeface="Congenial Black" panose="020F0502020204030204" pitchFamily="2" charset="0"/>
            </a:rPr>
            <a:t> load</a:t>
          </a:r>
          <a:endParaRPr lang="en-US" sz="1100">
            <a:latin typeface="Congenial Black" panose="020F0502020204030204" pitchFamily="2" charset="0"/>
          </a:endParaRPr>
        </a:p>
      </xdr:txBody>
    </xdr:sp>
    <xdr:clientData/>
  </xdr:twoCellAnchor>
  <xdr:twoCellAnchor>
    <xdr:from>
      <xdr:col>16</xdr:col>
      <xdr:colOff>9542</xdr:colOff>
      <xdr:row>37</xdr:row>
      <xdr:rowOff>202631</xdr:rowOff>
    </xdr:from>
    <xdr:to>
      <xdr:col>17</xdr:col>
      <xdr:colOff>666166</xdr:colOff>
      <xdr:row>38</xdr:row>
      <xdr:rowOff>164048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6366E3-8695-4BBA-8F4A-2843206F2BED}"/>
            </a:ext>
          </a:extLst>
        </xdr:cNvPr>
        <xdr:cNvSpPr txBox="1"/>
      </xdr:nvSpPr>
      <xdr:spPr>
        <a:xfrm>
          <a:off x="19101106" y="9429758"/>
          <a:ext cx="1446333" cy="196945"/>
        </a:xfrm>
        <a:prstGeom prst="rect">
          <a:avLst/>
        </a:prstGeom>
        <a:solidFill>
          <a:srgbClr val="FCBD8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Congenial Black" panose="020F0502020204030204" pitchFamily="2" charset="0"/>
            </a:rPr>
            <a:t>Proof</a:t>
          </a:r>
          <a:r>
            <a:rPr lang="en-US" sz="1100" baseline="0">
              <a:latin typeface="Congenial Black" panose="020F0502020204030204" pitchFamily="2" charset="0"/>
            </a:rPr>
            <a:t> load</a:t>
          </a:r>
          <a:endParaRPr lang="en-US" sz="1100">
            <a:latin typeface="Congenial Black" panose="020F0502020204030204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10964</xdr:colOff>
      <xdr:row>31</xdr:row>
      <xdr:rowOff>47723</xdr:rowOff>
    </xdr:from>
    <xdr:to>
      <xdr:col>17</xdr:col>
      <xdr:colOff>127000</xdr:colOff>
      <xdr:row>55</xdr:row>
      <xdr:rowOff>5531</xdr:rowOff>
    </xdr:to>
    <xdr:graphicFrame macro="">
      <xdr:nvGraphicFramePr>
        <xdr:cNvPr id="51" name="Gráfico 2">
          <a:extLst>
            <a:ext uri="{FF2B5EF4-FFF2-40B4-BE49-F238E27FC236}">
              <a16:creationId xmlns:a16="http://schemas.microsoft.com/office/drawing/2014/main" id="{3BD9053A-B99C-489A-AE7B-7D5A3A8BD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609600</xdr:colOff>
      <xdr:row>34</xdr:row>
      <xdr:rowOff>139700</xdr:rowOff>
    </xdr:from>
    <xdr:to>
      <xdr:col>17</xdr:col>
      <xdr:colOff>477615</xdr:colOff>
      <xdr:row>35</xdr:row>
      <xdr:rowOff>102327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23C0EE9-F46C-4FF9-BC8F-D67353422041}"/>
            </a:ext>
          </a:extLst>
        </xdr:cNvPr>
        <xdr:cNvSpPr txBox="1"/>
      </xdr:nvSpPr>
      <xdr:spPr>
        <a:xfrm>
          <a:off x="18948400" y="8470900"/>
          <a:ext cx="1442815" cy="191227"/>
        </a:xfrm>
        <a:prstGeom prst="rect">
          <a:avLst/>
        </a:prstGeom>
        <a:solidFill>
          <a:srgbClr val="FF6565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Congenial Black" panose="020F0502020204030204" pitchFamily="2" charset="0"/>
            </a:rPr>
            <a:t>Ultimate</a:t>
          </a:r>
          <a:r>
            <a:rPr lang="en-US" sz="1100" baseline="0">
              <a:latin typeface="Congenial Black" panose="020F0502020204030204" pitchFamily="2" charset="0"/>
            </a:rPr>
            <a:t> load</a:t>
          </a:r>
          <a:endParaRPr lang="en-US" sz="1100">
            <a:latin typeface="Congenial Black" panose="020F0502020204030204" pitchFamily="2" charset="0"/>
          </a:endParaRPr>
        </a:p>
      </xdr:txBody>
    </xdr:sp>
    <xdr:clientData/>
  </xdr:twoCellAnchor>
  <xdr:twoCellAnchor>
    <xdr:from>
      <xdr:col>15</xdr:col>
      <xdr:colOff>685800</xdr:colOff>
      <xdr:row>37</xdr:row>
      <xdr:rowOff>25400</xdr:rowOff>
    </xdr:from>
    <xdr:to>
      <xdr:col>17</xdr:col>
      <xdr:colOff>553815</xdr:colOff>
      <xdr:row>37</xdr:row>
      <xdr:rowOff>216627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D3D785-A1AF-40BA-AF61-FF42CAD6E44A}"/>
            </a:ext>
          </a:extLst>
        </xdr:cNvPr>
        <xdr:cNvSpPr txBox="1"/>
      </xdr:nvSpPr>
      <xdr:spPr>
        <a:xfrm>
          <a:off x="19024600" y="9042400"/>
          <a:ext cx="1442815" cy="191227"/>
        </a:xfrm>
        <a:prstGeom prst="rect">
          <a:avLst/>
        </a:prstGeom>
        <a:solidFill>
          <a:srgbClr val="FCBD8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Congenial Black" panose="020F0502020204030204" pitchFamily="2" charset="0"/>
            </a:rPr>
            <a:t>Proof</a:t>
          </a:r>
          <a:r>
            <a:rPr lang="en-US" sz="1100" baseline="0">
              <a:latin typeface="Congenial Black" panose="020F0502020204030204" pitchFamily="2" charset="0"/>
            </a:rPr>
            <a:t> load</a:t>
          </a:r>
          <a:endParaRPr lang="en-US" sz="1100">
            <a:latin typeface="Congenial Black" panose="020F0502020204030204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260</xdr:colOff>
      <xdr:row>9</xdr:row>
      <xdr:rowOff>16705</xdr:rowOff>
    </xdr:from>
    <xdr:to>
      <xdr:col>20</xdr:col>
      <xdr:colOff>98534</xdr:colOff>
      <xdr:row>24</xdr:row>
      <xdr:rowOff>0</xdr:rowOff>
    </xdr:to>
    <xdr:graphicFrame macro="">
      <xdr:nvGraphicFramePr>
        <xdr:cNvPr id="191" name="Gráfico 12">
          <a:extLst>
            <a:ext uri="{FF2B5EF4-FFF2-40B4-BE49-F238E27FC236}">
              <a16:creationId xmlns:a16="http://schemas.microsoft.com/office/drawing/2014/main" id="{A6BD4D5D-795E-63F5-5849-BFA8FFECB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757971</xdr:colOff>
      <xdr:row>9</xdr:row>
      <xdr:rowOff>4337</xdr:rowOff>
    </xdr:from>
    <xdr:to>
      <xdr:col>13</xdr:col>
      <xdr:colOff>356125</xdr:colOff>
      <xdr:row>24</xdr:row>
      <xdr:rowOff>4336</xdr:rowOff>
    </xdr:to>
    <xdr:graphicFrame macro="">
      <xdr:nvGraphicFramePr>
        <xdr:cNvPr id="189" name="Gráfico 43">
          <a:extLst>
            <a:ext uri="{FF2B5EF4-FFF2-40B4-BE49-F238E27FC236}">
              <a16:creationId xmlns:a16="http://schemas.microsoft.com/office/drawing/2014/main" id="{D17F1409-61D8-EF8B-F375-9CB2C3838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749147</xdr:colOff>
      <xdr:row>24</xdr:row>
      <xdr:rowOff>158573</xdr:rowOff>
    </xdr:from>
    <xdr:to>
      <xdr:col>13</xdr:col>
      <xdr:colOff>361292</xdr:colOff>
      <xdr:row>39</xdr:row>
      <xdr:rowOff>142328</xdr:rowOff>
    </xdr:to>
    <xdr:graphicFrame macro="">
      <xdr:nvGraphicFramePr>
        <xdr:cNvPr id="196" name="Chart 135">
          <a:extLst>
            <a:ext uri="{FF2B5EF4-FFF2-40B4-BE49-F238E27FC236}">
              <a16:creationId xmlns:a16="http://schemas.microsoft.com/office/drawing/2014/main" id="{190CCD95-94E8-BD93-216B-76C5AEE58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F253-A9E8-4A18-A701-469A9F36700D}">
  <dimension ref="A1:AB83"/>
  <sheetViews>
    <sheetView topLeftCell="A16" zoomScale="51" zoomScaleNormal="55" workbookViewId="0">
      <selection activeCell="AD16" sqref="AD16"/>
    </sheetView>
  </sheetViews>
  <sheetFormatPr baseColWidth="10" defaultColWidth="11.44140625" defaultRowHeight="14.4" x14ac:dyDescent="0.3"/>
  <cols>
    <col min="1" max="1" width="49.21875" customWidth="1"/>
    <col min="2" max="2" width="11.109375" customWidth="1"/>
    <col min="3" max="3" width="11.21875" customWidth="1"/>
    <col min="4" max="5" width="14.21875" customWidth="1"/>
    <col min="6" max="6" width="22.88671875" customWidth="1"/>
    <col min="7" max="7" width="16.44140625" customWidth="1"/>
    <col min="8" max="8" width="22.5546875" customWidth="1"/>
    <col min="9" max="9" width="12" customWidth="1"/>
    <col min="10" max="10" width="14.5546875" bestFit="1" customWidth="1"/>
    <col min="11" max="11" width="16.6640625" customWidth="1"/>
    <col min="12" max="12" width="16.44140625" style="2" customWidth="1"/>
    <col min="13" max="13" width="14.109375" style="4" customWidth="1"/>
    <col min="14" max="14" width="18.88671875" style="1" customWidth="1"/>
    <col min="15" max="15" width="12.33203125" customWidth="1"/>
    <col min="18" max="18" width="22.6640625" customWidth="1"/>
    <col min="19" max="19" width="21.6640625" customWidth="1"/>
    <col min="20" max="21" width="22.33203125" customWidth="1"/>
    <col min="22" max="22" width="22" customWidth="1"/>
    <col min="23" max="23" width="22.5546875" customWidth="1"/>
  </cols>
  <sheetData>
    <row r="1" spans="1:28" x14ac:dyDescent="0.3">
      <c r="A1" s="127" t="s">
        <v>64</v>
      </c>
      <c r="B1" s="127" t="s">
        <v>63</v>
      </c>
      <c r="C1" s="127"/>
      <c r="Q1" s="73" t="s">
        <v>86</v>
      </c>
      <c r="R1" s="32">
        <v>56</v>
      </c>
      <c r="S1" s="68" t="s">
        <v>87</v>
      </c>
      <c r="T1" s="32">
        <v>56</v>
      </c>
      <c r="U1" s="74" t="s">
        <v>88</v>
      </c>
      <c r="V1" s="32">
        <f>T1*0.5</f>
        <v>28</v>
      </c>
    </row>
    <row r="2" spans="1:28" x14ac:dyDescent="0.3">
      <c r="A2" s="127"/>
      <c r="B2" s="127"/>
      <c r="C2" s="127"/>
      <c r="D2" s="25" t="s">
        <v>79</v>
      </c>
      <c r="E2" s="25"/>
      <c r="F2" s="25">
        <f>B8/22</f>
        <v>25.056818181818183</v>
      </c>
    </row>
    <row r="3" spans="1:28" x14ac:dyDescent="0.3">
      <c r="A3" s="127"/>
      <c r="B3" s="127"/>
      <c r="C3" s="127"/>
    </row>
    <row r="4" spans="1:28" ht="18" x14ac:dyDescent="0.35">
      <c r="B4" s="128"/>
      <c r="C4" s="129"/>
      <c r="D4" s="126" t="s">
        <v>47</v>
      </c>
      <c r="E4" s="126"/>
      <c r="F4" s="126"/>
      <c r="G4" s="126"/>
      <c r="H4" s="126"/>
      <c r="I4" s="126"/>
      <c r="J4" s="126"/>
      <c r="K4" s="126"/>
      <c r="L4" s="126"/>
      <c r="M4" s="126"/>
      <c r="N4" s="126" t="s">
        <v>48</v>
      </c>
      <c r="O4" s="126"/>
      <c r="P4" s="126"/>
      <c r="Q4" s="126"/>
      <c r="R4" s="126"/>
      <c r="S4" s="126"/>
      <c r="T4" s="126"/>
      <c r="U4" s="126"/>
      <c r="V4" s="126"/>
      <c r="W4" s="126"/>
      <c r="Y4" s="152"/>
      <c r="Z4" s="152"/>
      <c r="AA4" s="152"/>
    </row>
    <row r="5" spans="1:28" ht="54" x14ac:dyDescent="0.35">
      <c r="A5" s="37" t="s">
        <v>77</v>
      </c>
      <c r="B5" s="118">
        <v>20200</v>
      </c>
      <c r="C5" s="118"/>
      <c r="D5" s="94" t="s">
        <v>54</v>
      </c>
      <c r="E5" s="95" t="s">
        <v>0</v>
      </c>
      <c r="F5" s="96" t="s">
        <v>1</v>
      </c>
      <c r="G5" s="94" t="s">
        <v>2</v>
      </c>
      <c r="H5" s="94" t="s">
        <v>3</v>
      </c>
      <c r="I5" s="96" t="s">
        <v>4</v>
      </c>
      <c r="J5" s="96" t="s">
        <v>5</v>
      </c>
      <c r="K5" s="94" t="s">
        <v>85</v>
      </c>
      <c r="L5" s="97" t="s">
        <v>6</v>
      </c>
      <c r="M5" s="98" t="s">
        <v>7</v>
      </c>
      <c r="N5" s="44" t="s">
        <v>8</v>
      </c>
      <c r="O5" s="44" t="s">
        <v>9</v>
      </c>
      <c r="P5" s="45" t="s">
        <v>53</v>
      </c>
      <c r="Q5" s="46" t="s">
        <v>10</v>
      </c>
      <c r="R5" s="44" t="s">
        <v>62</v>
      </c>
      <c r="S5" s="44" t="s">
        <v>57</v>
      </c>
      <c r="T5" s="44" t="s">
        <v>58</v>
      </c>
      <c r="U5" s="44" t="s">
        <v>59</v>
      </c>
      <c r="V5" s="44" t="s">
        <v>60</v>
      </c>
      <c r="W5" s="44" t="s">
        <v>61</v>
      </c>
      <c r="X5" s="10"/>
      <c r="Y5" s="10"/>
      <c r="Z5" s="3"/>
      <c r="AA5" s="10"/>
      <c r="AB5" s="3"/>
    </row>
    <row r="6" spans="1:28" ht="18" x14ac:dyDescent="0.35">
      <c r="A6" s="37" t="s">
        <v>11</v>
      </c>
      <c r="B6" s="118" t="s">
        <v>78</v>
      </c>
      <c r="C6" s="118"/>
      <c r="D6" s="31">
        <f>E6*0.514</f>
        <v>0</v>
      </c>
      <c r="E6" s="11">
        <v>0</v>
      </c>
      <c r="F6" s="11">
        <f>E6/$B$9</f>
        <v>0</v>
      </c>
      <c r="G6" s="11">
        <f t="shared" ref="G6:G28" si="0">0.5*$B$26*((E6*1.6878)^2)</f>
        <v>0</v>
      </c>
      <c r="H6" s="20">
        <v>1</v>
      </c>
      <c r="I6" s="11">
        <f t="shared" ref="I6:I28" si="1">$B$10</f>
        <v>2.2000000000000002</v>
      </c>
      <c r="J6" s="11">
        <f t="shared" ref="J6:J28" si="2">$B$28</f>
        <v>-1.1000000000000001</v>
      </c>
      <c r="K6" s="11">
        <f t="shared" ref="K6:K28" si="3">(I6*G6*1.15)/$B$14</f>
        <v>0</v>
      </c>
      <c r="L6" s="11">
        <f>(I6*G6)/$B$14</f>
        <v>0</v>
      </c>
      <c r="M6" s="11">
        <f>(J6*G6)/$B$14</f>
        <v>0</v>
      </c>
      <c r="N6" s="20">
        <v>1</v>
      </c>
      <c r="O6" s="11">
        <f>$B$25*N6</f>
        <v>5.2658946668647593</v>
      </c>
      <c r="P6" s="11">
        <f t="shared" ref="P6:P28" si="4">(2*$B$5)/($B$26*$B$27*$B$13*O6*32.174)</f>
        <v>39.715249856350773</v>
      </c>
      <c r="Q6" s="20">
        <f>(0.88*P6)/(5.3+P6)</f>
        <v>0.77639066727645856</v>
      </c>
      <c r="R6" s="11">
        <f>1+(Q6*$R$1*E6*O6)/(498*$B$14)</f>
        <v>1</v>
      </c>
      <c r="S6" s="11">
        <f t="shared" ref="S6:S27" si="5">1-(Q6*$R$1*E6*O6)/(498*$B$14)</f>
        <v>1</v>
      </c>
      <c r="T6" s="11">
        <f>1+(Q6*$T$1*E6*O6)/(498*$B$14)</f>
        <v>1</v>
      </c>
      <c r="U6" s="11">
        <f>1-(Q6*$T$1*E6*O6)/(498*$B$14)</f>
        <v>1</v>
      </c>
      <c r="V6" s="11">
        <f t="shared" ref="V6:V28" si="6">1+(Q6*$V$1*E6*O6)/(498*$B$14)</f>
        <v>1</v>
      </c>
      <c r="W6" s="11">
        <f t="shared" ref="W6:W28" si="7">1-(Q6*$V$1*E6*O6)/(498*$B$14)</f>
        <v>1</v>
      </c>
      <c r="X6" s="3"/>
      <c r="Y6" s="3"/>
      <c r="Z6" s="3"/>
      <c r="AA6" s="3"/>
      <c r="AB6" s="3"/>
    </row>
    <row r="7" spans="1:28" ht="18" x14ac:dyDescent="0.35">
      <c r="A7" s="37" t="s">
        <v>12</v>
      </c>
      <c r="B7" s="118">
        <v>441</v>
      </c>
      <c r="C7" s="118"/>
      <c r="D7" s="31">
        <f t="shared" ref="D7:D28" si="8">E7*0.514</f>
        <v>12.85</v>
      </c>
      <c r="E7" s="11">
        <f>25</f>
        <v>25</v>
      </c>
      <c r="F7" s="11">
        <f t="shared" ref="F7:F28" si="9">E7/$B$9</f>
        <v>3.779403761262623E-2</v>
      </c>
      <c r="G7" s="11">
        <f t="shared" si="0"/>
        <v>2.1097953596250001</v>
      </c>
      <c r="H7" s="20">
        <v>1</v>
      </c>
      <c r="I7" s="11">
        <f t="shared" si="1"/>
        <v>2.2000000000000002</v>
      </c>
      <c r="J7" s="11">
        <f t="shared" si="2"/>
        <v>-1.1000000000000001</v>
      </c>
      <c r="K7" s="11">
        <f t="shared" si="3"/>
        <v>9.7691985221138977E-2</v>
      </c>
      <c r="L7" s="11">
        <f t="shared" ref="L7:L28" si="10">(I7*G7)/$B$14</f>
        <v>8.4949552366207812E-2</v>
      </c>
      <c r="M7" s="11">
        <f t="shared" ref="M7:M28" si="11">(J7*G7)/$B$14</f>
        <v>-4.2474776183103906E-2</v>
      </c>
      <c r="N7" s="20">
        <v>1</v>
      </c>
      <c r="O7" s="11">
        <f t="shared" ref="O7:O28" si="12">$B$25*N7</f>
        <v>5.2658946668647593</v>
      </c>
      <c r="P7" s="11">
        <f t="shared" si="4"/>
        <v>39.715249856350773</v>
      </c>
      <c r="Q7" s="20">
        <f t="shared" ref="Q7:Q28" si="13">(0.88*P7)/(5.3+P7)</f>
        <v>0.77639066727645856</v>
      </c>
      <c r="R7" s="11">
        <f>1+(Q7*$R$1*E7*O7)/(498*$B$14)</f>
        <v>1.2103532604898835</v>
      </c>
      <c r="S7" s="11">
        <f t="shared" si="5"/>
        <v>0.78964673951011655</v>
      </c>
      <c r="T7" s="11">
        <f t="shared" ref="T7:T28" si="14">1+(Q7*$T$1*E7*O7)/(498*$B$14)</f>
        <v>1.2103532604898835</v>
      </c>
      <c r="U7" s="11">
        <f t="shared" ref="U7:U28" si="15">1-(Q7*$T$1*E7*O7)/(498*$B$14)</f>
        <v>0.78964673951011655</v>
      </c>
      <c r="V7" s="11">
        <f t="shared" si="6"/>
        <v>1.1051766302449417</v>
      </c>
      <c r="W7" s="11">
        <f t="shared" si="7"/>
        <v>0.89482336975505827</v>
      </c>
      <c r="X7" s="3"/>
      <c r="Y7" s="3"/>
      <c r="Z7" s="3"/>
      <c r="AA7" s="3"/>
      <c r="AB7" s="3"/>
    </row>
    <row r="8" spans="1:28" ht="18" x14ac:dyDescent="0.35">
      <c r="A8" s="37" t="s">
        <v>13</v>
      </c>
      <c r="B8" s="118">
        <f>1.25*B7</f>
        <v>551.25</v>
      </c>
      <c r="C8" s="118"/>
      <c r="D8" s="31">
        <f t="shared" si="8"/>
        <v>25.7</v>
      </c>
      <c r="E8" s="11">
        <f>25+E7</f>
        <v>50</v>
      </c>
      <c r="F8" s="11">
        <f t="shared" si="9"/>
        <v>7.558807522525246E-2</v>
      </c>
      <c r="G8" s="11">
        <f t="shared" si="0"/>
        <v>8.4391814385000004</v>
      </c>
      <c r="H8" s="20">
        <v>1</v>
      </c>
      <c r="I8" s="11">
        <f t="shared" si="1"/>
        <v>2.2000000000000002</v>
      </c>
      <c r="J8" s="11">
        <f t="shared" si="2"/>
        <v>-1.1000000000000001</v>
      </c>
      <c r="K8" s="11">
        <f t="shared" si="3"/>
        <v>0.39076794088455591</v>
      </c>
      <c r="L8" s="11">
        <f t="shared" si="10"/>
        <v>0.33979820946483125</v>
      </c>
      <c r="M8" s="11">
        <f t="shared" si="11"/>
        <v>-0.16989910473241562</v>
      </c>
      <c r="N8" s="20">
        <v>1</v>
      </c>
      <c r="O8" s="11">
        <f t="shared" si="12"/>
        <v>5.2658946668647593</v>
      </c>
      <c r="P8" s="11">
        <f t="shared" si="4"/>
        <v>39.715249856350773</v>
      </c>
      <c r="Q8" s="20">
        <f t="shared" si="13"/>
        <v>0.77639066727645856</v>
      </c>
      <c r="R8" s="11">
        <f t="shared" ref="R8:R28" si="16">1+(Q8*$R$1*E8*O8)/(498*$B$14)</f>
        <v>1.4207065209797669</v>
      </c>
      <c r="S8" s="11">
        <f t="shared" si="5"/>
        <v>0.5792934790202332</v>
      </c>
      <c r="T8" s="11">
        <f t="shared" si="14"/>
        <v>1.4207065209797669</v>
      </c>
      <c r="U8" s="11">
        <f t="shared" si="15"/>
        <v>0.5792934790202332</v>
      </c>
      <c r="V8" s="11">
        <f t="shared" si="6"/>
        <v>1.2103532604898835</v>
      </c>
      <c r="W8" s="11">
        <f t="shared" si="7"/>
        <v>0.78964673951011655</v>
      </c>
      <c r="X8" s="3"/>
      <c r="Y8" s="3"/>
      <c r="Z8" s="3"/>
      <c r="AA8" s="3"/>
      <c r="AB8" s="3"/>
    </row>
    <row r="9" spans="1:28" ht="18" x14ac:dyDescent="0.35">
      <c r="A9" s="37" t="s">
        <v>49</v>
      </c>
      <c r="B9" s="118">
        <v>661.48</v>
      </c>
      <c r="C9" s="118"/>
      <c r="D9" s="31">
        <f t="shared" si="8"/>
        <v>44.08700053349088</v>
      </c>
      <c r="E9" s="11">
        <v>85.772374578776024</v>
      </c>
      <c r="F9" s="11">
        <f t="shared" si="9"/>
        <v>0.12966737403818107</v>
      </c>
      <c r="G9" s="11">
        <f t="shared" si="0"/>
        <v>24.834486383098557</v>
      </c>
      <c r="H9" s="20">
        <v>1</v>
      </c>
      <c r="I9" s="11">
        <f t="shared" si="1"/>
        <v>2.2000000000000002</v>
      </c>
      <c r="J9" s="11">
        <f t="shared" si="2"/>
        <v>-1.1000000000000001</v>
      </c>
      <c r="K9" s="11">
        <f t="shared" si="3"/>
        <v>1.1499363033689995</v>
      </c>
      <c r="L9" s="11">
        <f t="shared" si="10"/>
        <v>0.99994461162521697</v>
      </c>
      <c r="M9" s="11">
        <f t="shared" si="11"/>
        <v>-0.49997230581260849</v>
      </c>
      <c r="N9" s="20">
        <v>1</v>
      </c>
      <c r="O9" s="11">
        <f t="shared" si="12"/>
        <v>5.2658946668647593</v>
      </c>
      <c r="P9" s="11">
        <f t="shared" si="4"/>
        <v>39.715249856350773</v>
      </c>
      <c r="Q9" s="20">
        <f t="shared" si="13"/>
        <v>0.77639066727645856</v>
      </c>
      <c r="R9" s="11">
        <f t="shared" si="16"/>
        <v>1.7216999461042053</v>
      </c>
      <c r="S9" s="11">
        <f t="shared" si="5"/>
        <v>0.27830005389579482</v>
      </c>
      <c r="T9" s="11">
        <f t="shared" si="14"/>
        <v>1.7216999461042053</v>
      </c>
      <c r="U9" s="11">
        <f t="shared" si="15"/>
        <v>0.27830005389579482</v>
      </c>
      <c r="V9" s="11">
        <f t="shared" si="6"/>
        <v>1.3608499730521026</v>
      </c>
      <c r="W9" s="11">
        <f t="shared" si="7"/>
        <v>0.63915002694789735</v>
      </c>
      <c r="X9" s="3"/>
      <c r="Y9" s="3"/>
      <c r="Z9" s="3"/>
      <c r="AA9" s="3"/>
      <c r="AB9" s="3"/>
    </row>
    <row r="10" spans="1:28" ht="18" x14ac:dyDescent="0.35">
      <c r="A10" s="37" t="s">
        <v>14</v>
      </c>
      <c r="B10" s="118">
        <v>2.2000000000000002</v>
      </c>
      <c r="C10" s="118"/>
      <c r="D10" s="47">
        <f t="shared" si="8"/>
        <v>58.141237985572516</v>
      </c>
      <c r="E10" s="48">
        <v>113.11524899916832</v>
      </c>
      <c r="F10" s="48">
        <f t="shared" si="9"/>
        <v>0.17100327900944595</v>
      </c>
      <c r="G10" s="48">
        <f t="shared" si="0"/>
        <v>43.191931644284487</v>
      </c>
      <c r="H10" s="49">
        <v>1</v>
      </c>
      <c r="I10" s="48">
        <f t="shared" si="1"/>
        <v>2.2000000000000002</v>
      </c>
      <c r="J10" s="48">
        <f t="shared" si="2"/>
        <v>-1.1000000000000001</v>
      </c>
      <c r="K10" s="76">
        <f t="shared" si="3"/>
        <v>1.9999596304998364</v>
      </c>
      <c r="L10" s="48">
        <f>(I10*G10)/$B$14</f>
        <v>1.7390953308694233</v>
      </c>
      <c r="M10" s="48">
        <f t="shared" si="11"/>
        <v>-0.86954766543471163</v>
      </c>
      <c r="N10" s="20">
        <v>1</v>
      </c>
      <c r="O10" s="11">
        <f t="shared" si="12"/>
        <v>5.2658946668647593</v>
      </c>
      <c r="P10" s="11">
        <f t="shared" si="4"/>
        <v>39.715249856350773</v>
      </c>
      <c r="Q10" s="20">
        <f t="shared" si="13"/>
        <v>0.77639066727645856</v>
      </c>
      <c r="R10" s="11">
        <f t="shared" si="16"/>
        <v>1.9517664575240032</v>
      </c>
      <c r="S10" s="11">
        <f t="shared" si="5"/>
        <v>4.823354247599676E-2</v>
      </c>
      <c r="T10" s="11">
        <f t="shared" si="14"/>
        <v>1.9517664575240032</v>
      </c>
      <c r="U10" s="11">
        <f t="shared" si="15"/>
        <v>4.823354247599676E-2</v>
      </c>
      <c r="V10" s="11">
        <f>1+(Q10*$V$1*E10*O10)/(498*$B$14)</f>
        <v>1.4758832287620016</v>
      </c>
      <c r="W10" s="11">
        <f t="shared" si="7"/>
        <v>0.52411677123799838</v>
      </c>
      <c r="X10" s="3"/>
      <c r="Y10" s="3"/>
      <c r="Z10" s="3"/>
      <c r="AA10" s="3"/>
      <c r="AB10" s="3"/>
    </row>
    <row r="11" spans="1:28" ht="18" x14ac:dyDescent="0.35">
      <c r="A11" s="37" t="s">
        <v>83</v>
      </c>
      <c r="B11" s="118">
        <v>32.173999999999999</v>
      </c>
      <c r="C11" s="118"/>
      <c r="D11" s="50">
        <f t="shared" si="8"/>
        <v>62.298884067487194</v>
      </c>
      <c r="E11" s="51">
        <f>D33</f>
        <v>121.20405460600621</v>
      </c>
      <c r="F11" s="51">
        <f t="shared" si="9"/>
        <v>0.1832316239432881</v>
      </c>
      <c r="G11" s="51">
        <f t="shared" si="0"/>
        <v>49.590057545684594</v>
      </c>
      <c r="H11" s="52">
        <v>1</v>
      </c>
      <c r="I11" s="51">
        <f t="shared" si="1"/>
        <v>2.2000000000000002</v>
      </c>
      <c r="J11" s="51">
        <f t="shared" si="2"/>
        <v>-1.1000000000000001</v>
      </c>
      <c r="K11" s="51">
        <f t="shared" si="3"/>
        <v>2.2962185155860482</v>
      </c>
      <c r="L11" s="51">
        <f t="shared" si="10"/>
        <v>1.9967117526835203</v>
      </c>
      <c r="M11" s="53">
        <f t="shared" si="11"/>
        <v>-0.99835587634176015</v>
      </c>
      <c r="N11" s="20">
        <v>1</v>
      </c>
      <c r="O11" s="11">
        <f t="shared" si="12"/>
        <v>5.2658946668647593</v>
      </c>
      <c r="P11" s="11">
        <f t="shared" si="4"/>
        <v>39.715249856350773</v>
      </c>
      <c r="Q11" s="20">
        <f t="shared" si="13"/>
        <v>0.77639066727645856</v>
      </c>
      <c r="R11" s="11">
        <f t="shared" si="16"/>
        <v>2.0198267228386912</v>
      </c>
      <c r="S11" s="11">
        <f t="shared" si="5"/>
        <v>-1.9826722838691246E-2</v>
      </c>
      <c r="T11" s="11">
        <f t="shared" si="14"/>
        <v>2.0198267228386912</v>
      </c>
      <c r="U11" s="11">
        <f t="shared" si="15"/>
        <v>-1.9826722838691246E-2</v>
      </c>
      <c r="V11" s="11">
        <f t="shared" si="6"/>
        <v>1.5099133614193456</v>
      </c>
      <c r="W11" s="11">
        <f t="shared" si="7"/>
        <v>0.49008663858065438</v>
      </c>
      <c r="X11" s="3"/>
      <c r="Y11" s="3"/>
      <c r="Z11" s="3"/>
      <c r="AA11" s="3"/>
      <c r="AB11" s="3"/>
    </row>
    <row r="12" spans="1:28" ht="18" x14ac:dyDescent="0.35">
      <c r="A12" s="37" t="s">
        <v>80</v>
      </c>
      <c r="B12" s="118">
        <v>55.68</v>
      </c>
      <c r="C12" s="118"/>
      <c r="D12" s="54">
        <f t="shared" si="8"/>
        <v>74.889799999999994</v>
      </c>
      <c r="E12" s="55">
        <v>145.69999999999999</v>
      </c>
      <c r="F12" s="55">
        <f t="shared" si="9"/>
        <v>0.22026365120638566</v>
      </c>
      <c r="G12" s="55">
        <f t="shared" si="0"/>
        <v>71.660431510153145</v>
      </c>
      <c r="H12" s="56">
        <v>1</v>
      </c>
      <c r="I12" s="55">
        <f t="shared" si="1"/>
        <v>2.2000000000000002</v>
      </c>
      <c r="J12" s="55">
        <f t="shared" si="2"/>
        <v>-1.1000000000000001</v>
      </c>
      <c r="K12" s="55">
        <f t="shared" si="3"/>
        <v>3.3181653301553538</v>
      </c>
      <c r="L12" s="57">
        <f>(I12*G12)/$B$14</f>
        <v>2.8853611566568298</v>
      </c>
      <c r="M12" s="55">
        <f t="shared" si="11"/>
        <v>-1.4426805783284149</v>
      </c>
      <c r="N12" s="20">
        <v>1</v>
      </c>
      <c r="O12" s="11">
        <f t="shared" si="12"/>
        <v>5.2658946668647593</v>
      </c>
      <c r="P12" s="11">
        <f t="shared" si="4"/>
        <v>39.715249856350773</v>
      </c>
      <c r="Q12" s="20">
        <f t="shared" si="13"/>
        <v>0.77639066727645856</v>
      </c>
      <c r="R12" s="11">
        <f t="shared" si="16"/>
        <v>2.2259388021350408</v>
      </c>
      <c r="S12" s="11">
        <f t="shared" si="5"/>
        <v>-0.22593880213504081</v>
      </c>
      <c r="T12" s="11">
        <f t="shared" si="14"/>
        <v>2.2259388021350408</v>
      </c>
      <c r="U12" s="11">
        <f t="shared" si="15"/>
        <v>-0.22593880213504081</v>
      </c>
      <c r="V12" s="11">
        <f t="shared" si="6"/>
        <v>1.6129694010675204</v>
      </c>
      <c r="W12" s="11">
        <f t="shared" si="7"/>
        <v>0.3870305989324796</v>
      </c>
      <c r="X12" s="3"/>
      <c r="Y12" s="3"/>
      <c r="Z12" s="3"/>
      <c r="AA12" s="3"/>
      <c r="AB12" s="3"/>
    </row>
    <row r="13" spans="1:28" ht="18" x14ac:dyDescent="0.35">
      <c r="A13" s="37" t="s">
        <v>81</v>
      </c>
      <c r="B13" s="118">
        <v>369.7</v>
      </c>
      <c r="C13" s="118"/>
      <c r="D13" s="31">
        <f t="shared" si="8"/>
        <v>87.739800000000002</v>
      </c>
      <c r="E13" s="11">
        <f t="shared" ref="E13:E27" si="17">25+E12</f>
        <v>170.7</v>
      </c>
      <c r="F13" s="11">
        <f t="shared" si="9"/>
        <v>0.25805768881901187</v>
      </c>
      <c r="G13" s="11">
        <f t="shared" si="0"/>
        <v>98.362001581567156</v>
      </c>
      <c r="H13" s="20">
        <v>1</v>
      </c>
      <c r="I13" s="11">
        <f t="shared" si="1"/>
        <v>2.2000000000000002</v>
      </c>
      <c r="J13" s="11">
        <f t="shared" si="2"/>
        <v>-1.1000000000000001</v>
      </c>
      <c r="K13" s="11">
        <f t="shared" si="3"/>
        <v>4.5545550951140896</v>
      </c>
      <c r="L13" s="11">
        <f t="shared" si="10"/>
        <v>3.9604826914035565</v>
      </c>
      <c r="M13" s="11">
        <f t="shared" si="11"/>
        <v>-1.9802413457017782</v>
      </c>
      <c r="N13" s="20">
        <v>1</v>
      </c>
      <c r="O13" s="11">
        <f t="shared" si="12"/>
        <v>5.2658946668647593</v>
      </c>
      <c r="P13" s="11">
        <f t="shared" si="4"/>
        <v>39.715249856350773</v>
      </c>
      <c r="Q13" s="20">
        <f t="shared" si="13"/>
        <v>0.77639066727645856</v>
      </c>
      <c r="R13" s="11">
        <f t="shared" si="16"/>
        <v>2.4362920626249238</v>
      </c>
      <c r="S13" s="11">
        <f t="shared" si="5"/>
        <v>-0.43629206262492404</v>
      </c>
      <c r="T13" s="11">
        <f t="shared" si="14"/>
        <v>2.4362920626249238</v>
      </c>
      <c r="U13" s="11">
        <f t="shared" si="15"/>
        <v>-0.43629206262492404</v>
      </c>
      <c r="V13" s="11">
        <f t="shared" si="6"/>
        <v>1.7181460313124619</v>
      </c>
      <c r="W13" s="11">
        <f t="shared" si="7"/>
        <v>0.28185396868753798</v>
      </c>
      <c r="X13" s="3"/>
      <c r="Y13" s="3"/>
      <c r="Z13" s="3"/>
      <c r="AA13" s="3"/>
      <c r="AB13" s="3"/>
    </row>
    <row r="14" spans="1:28" ht="18" x14ac:dyDescent="0.35">
      <c r="A14" s="37" t="s">
        <v>82</v>
      </c>
      <c r="B14" s="119">
        <f>B5/B13</f>
        <v>54.638896402488506</v>
      </c>
      <c r="C14" s="120"/>
      <c r="D14" s="31">
        <f t="shared" si="8"/>
        <v>100.5898</v>
      </c>
      <c r="E14" s="11">
        <f t="shared" si="17"/>
        <v>195.7</v>
      </c>
      <c r="F14" s="11">
        <f t="shared" si="9"/>
        <v>0.2958517264316381</v>
      </c>
      <c r="G14" s="11">
        <f t="shared" si="0"/>
        <v>129.28316237223115</v>
      </c>
      <c r="H14" s="20">
        <v>1</v>
      </c>
      <c r="I14" s="11">
        <f t="shared" si="1"/>
        <v>2.2000000000000002</v>
      </c>
      <c r="J14" s="11">
        <f t="shared" si="2"/>
        <v>-1.1000000000000001</v>
      </c>
      <c r="K14" s="11">
        <f t="shared" si="3"/>
        <v>5.9863288305151015</v>
      </c>
      <c r="L14" s="11">
        <f t="shared" si="10"/>
        <v>5.2055033308826975</v>
      </c>
      <c r="M14" s="11">
        <f t="shared" si="11"/>
        <v>-2.6027516654413487</v>
      </c>
      <c r="N14" s="20">
        <v>1</v>
      </c>
      <c r="O14" s="11">
        <f t="shared" si="12"/>
        <v>5.2658946668647593</v>
      </c>
      <c r="P14" s="11">
        <f t="shared" si="4"/>
        <v>39.715249856350773</v>
      </c>
      <c r="Q14" s="20">
        <f t="shared" si="13"/>
        <v>0.77639066727645856</v>
      </c>
      <c r="R14" s="11">
        <f t="shared" si="16"/>
        <v>2.6466453231148073</v>
      </c>
      <c r="S14" s="11">
        <f t="shared" si="5"/>
        <v>-0.64664532311480727</v>
      </c>
      <c r="T14" s="11">
        <f t="shared" si="14"/>
        <v>2.6466453231148073</v>
      </c>
      <c r="U14" s="11">
        <f t="shared" si="15"/>
        <v>-0.64664532311480727</v>
      </c>
      <c r="V14" s="11">
        <f t="shared" si="6"/>
        <v>1.8233226615574036</v>
      </c>
      <c r="W14" s="11">
        <f t="shared" si="7"/>
        <v>0.17667733844259637</v>
      </c>
      <c r="X14" s="3"/>
      <c r="Y14" s="3"/>
      <c r="Z14" s="3"/>
      <c r="AA14" s="3"/>
      <c r="AB14" s="3"/>
    </row>
    <row r="15" spans="1:28" ht="18" x14ac:dyDescent="0.35">
      <c r="A15" s="37" t="s">
        <v>15</v>
      </c>
      <c r="B15" s="121">
        <v>2.89</v>
      </c>
      <c r="C15" s="122"/>
      <c r="D15" s="31">
        <f t="shared" si="8"/>
        <v>113.43979999999999</v>
      </c>
      <c r="E15" s="11">
        <f t="shared" si="17"/>
        <v>220.7</v>
      </c>
      <c r="F15" s="11">
        <f t="shared" si="9"/>
        <v>0.33364576404426433</v>
      </c>
      <c r="G15" s="11">
        <f t="shared" si="0"/>
        <v>164.42391388214514</v>
      </c>
      <c r="H15" s="20">
        <v>1</v>
      </c>
      <c r="I15" s="11">
        <f t="shared" si="1"/>
        <v>2.2000000000000002</v>
      </c>
      <c r="J15" s="11">
        <f t="shared" si="2"/>
        <v>-1.1000000000000001</v>
      </c>
      <c r="K15" s="11">
        <f t="shared" si="3"/>
        <v>7.6134865363583923</v>
      </c>
      <c r="L15" s="11">
        <f t="shared" si="10"/>
        <v>6.6204230750942541</v>
      </c>
      <c r="M15" s="11">
        <f t="shared" si="11"/>
        <v>-3.310211537547127</v>
      </c>
      <c r="N15" s="20">
        <v>1</v>
      </c>
      <c r="O15" s="11">
        <f t="shared" si="12"/>
        <v>5.2658946668647593</v>
      </c>
      <c r="P15" s="11">
        <f t="shared" si="4"/>
        <v>39.715249856350773</v>
      </c>
      <c r="Q15" s="20">
        <f t="shared" si="13"/>
        <v>0.77639066727645856</v>
      </c>
      <c r="R15" s="11">
        <f t="shared" si="16"/>
        <v>2.8569985836046907</v>
      </c>
      <c r="S15" s="11">
        <f t="shared" si="5"/>
        <v>-0.85699858360469094</v>
      </c>
      <c r="T15" s="11">
        <f t="shared" si="14"/>
        <v>2.8569985836046907</v>
      </c>
      <c r="U15" s="11">
        <f t="shared" si="15"/>
        <v>-0.85699858360469094</v>
      </c>
      <c r="V15" s="11">
        <f t="shared" si="6"/>
        <v>1.9284992918023454</v>
      </c>
      <c r="W15" s="11">
        <f t="shared" si="7"/>
        <v>7.1500708197654528E-2</v>
      </c>
      <c r="X15" s="3"/>
      <c r="Y15" s="3"/>
      <c r="Z15" s="3"/>
      <c r="AA15" s="3"/>
      <c r="AB15" s="3"/>
    </row>
    <row r="16" spans="1:28" ht="18" x14ac:dyDescent="0.35">
      <c r="A16" s="37" t="s">
        <v>16</v>
      </c>
      <c r="B16" s="121">
        <v>-1</v>
      </c>
      <c r="C16" s="122"/>
      <c r="D16" s="31">
        <f t="shared" si="8"/>
        <v>126.2898</v>
      </c>
      <c r="E16" s="11">
        <f t="shared" si="17"/>
        <v>245.7</v>
      </c>
      <c r="F16" s="11">
        <f t="shared" si="9"/>
        <v>0.37143980165689056</v>
      </c>
      <c r="G16" s="11">
        <f t="shared" si="0"/>
        <v>203.78425611130913</v>
      </c>
      <c r="H16" s="20">
        <v>1</v>
      </c>
      <c r="I16" s="11">
        <f t="shared" si="1"/>
        <v>2.2000000000000002</v>
      </c>
      <c r="J16" s="11">
        <f t="shared" si="2"/>
        <v>-1.1000000000000001</v>
      </c>
      <c r="K16" s="11">
        <f t="shared" si="3"/>
        <v>9.4360282126439579</v>
      </c>
      <c r="L16" s="11">
        <f t="shared" si="10"/>
        <v>8.2052419240382264</v>
      </c>
      <c r="M16" s="11">
        <f t="shared" si="11"/>
        <v>-4.1026209620191132</v>
      </c>
      <c r="N16" s="20">
        <v>1</v>
      </c>
      <c r="O16" s="11">
        <f t="shared" si="12"/>
        <v>5.2658946668647593</v>
      </c>
      <c r="P16" s="11">
        <f t="shared" si="4"/>
        <v>39.715249856350773</v>
      </c>
      <c r="Q16" s="20">
        <f t="shared" si="13"/>
        <v>0.77639066727645856</v>
      </c>
      <c r="R16" s="11">
        <f t="shared" si="16"/>
        <v>3.0673518440945742</v>
      </c>
      <c r="S16" s="11">
        <f t="shared" si="5"/>
        <v>-1.0673518440945742</v>
      </c>
      <c r="T16" s="11">
        <f t="shared" si="14"/>
        <v>3.0673518440945742</v>
      </c>
      <c r="U16" s="11">
        <f t="shared" si="15"/>
        <v>-1.0673518440945742</v>
      </c>
      <c r="V16" s="11">
        <f t="shared" si="6"/>
        <v>2.0336759220472871</v>
      </c>
      <c r="W16" s="11">
        <f t="shared" si="7"/>
        <v>-3.3675922047287088E-2</v>
      </c>
      <c r="X16" s="3"/>
      <c r="Y16" s="3"/>
      <c r="Z16" s="3"/>
      <c r="AA16" s="3"/>
      <c r="AB16" s="3"/>
    </row>
    <row r="17" spans="1:28" ht="18" x14ac:dyDescent="0.35">
      <c r="A17" s="37" t="s">
        <v>17</v>
      </c>
      <c r="B17" s="118">
        <v>8.4</v>
      </c>
      <c r="C17" s="118"/>
      <c r="D17" s="31">
        <f t="shared" si="8"/>
        <v>139.13980000000001</v>
      </c>
      <c r="E17" s="11">
        <f t="shared" si="17"/>
        <v>270.7</v>
      </c>
      <c r="F17" s="11">
        <f t="shared" si="9"/>
        <v>0.40923383926951679</v>
      </c>
      <c r="G17" s="11">
        <f t="shared" si="0"/>
        <v>247.36418905972312</v>
      </c>
      <c r="H17" s="20">
        <v>1</v>
      </c>
      <c r="I17" s="11">
        <f t="shared" si="1"/>
        <v>2.2000000000000002</v>
      </c>
      <c r="J17" s="11">
        <f t="shared" si="2"/>
        <v>-1.1000000000000001</v>
      </c>
      <c r="K17" s="11">
        <f t="shared" si="3"/>
        <v>11.453953859371806</v>
      </c>
      <c r="L17" s="11">
        <f t="shared" si="10"/>
        <v>9.9599598777146152</v>
      </c>
      <c r="M17" s="11">
        <f t="shared" si="11"/>
        <v>-4.9799799388573076</v>
      </c>
      <c r="N17" s="20">
        <v>1</v>
      </c>
      <c r="O17" s="11">
        <f t="shared" si="12"/>
        <v>5.2658946668647593</v>
      </c>
      <c r="P17" s="11">
        <f t="shared" si="4"/>
        <v>39.715249856350773</v>
      </c>
      <c r="Q17" s="20">
        <f t="shared" si="13"/>
        <v>0.77639066727645856</v>
      </c>
      <c r="R17" s="11">
        <f>1+(Q17*$R$1*E17*O17)/(498*$B$14)</f>
        <v>3.2777051045844576</v>
      </c>
      <c r="S17" s="11">
        <f t="shared" si="5"/>
        <v>-1.2777051045844576</v>
      </c>
      <c r="T17" s="11">
        <f t="shared" si="14"/>
        <v>3.2777051045844576</v>
      </c>
      <c r="U17" s="11">
        <f t="shared" si="15"/>
        <v>-1.2777051045844576</v>
      </c>
      <c r="V17" s="11">
        <f t="shared" si="6"/>
        <v>2.1388525522922288</v>
      </c>
      <c r="W17" s="11">
        <f t="shared" si="7"/>
        <v>-0.13885255229222881</v>
      </c>
      <c r="X17" s="3"/>
      <c r="Y17" s="3"/>
      <c r="Z17" s="3"/>
      <c r="AA17" s="3"/>
      <c r="AB17" s="3"/>
    </row>
    <row r="18" spans="1:28" ht="18" x14ac:dyDescent="0.35">
      <c r="A18" s="37" t="s">
        <v>18</v>
      </c>
      <c r="B18" s="119">
        <v>0.2</v>
      </c>
      <c r="C18" s="120"/>
      <c r="D18" s="31">
        <f t="shared" si="8"/>
        <v>151.9898</v>
      </c>
      <c r="E18" s="11">
        <f t="shared" si="17"/>
        <v>295.7</v>
      </c>
      <c r="F18" s="11">
        <f t="shared" si="9"/>
        <v>0.44702787688214302</v>
      </c>
      <c r="G18" s="11">
        <f t="shared" si="0"/>
        <v>295.16371272738712</v>
      </c>
      <c r="H18" s="20">
        <v>1</v>
      </c>
      <c r="I18" s="11">
        <f t="shared" si="1"/>
        <v>2.2000000000000002</v>
      </c>
      <c r="J18" s="11">
        <f t="shared" si="2"/>
        <v>-1.1000000000000001</v>
      </c>
      <c r="K18" s="11">
        <f t="shared" si="3"/>
        <v>13.667263476541931</v>
      </c>
      <c r="L18" s="11">
        <f t="shared" si="10"/>
        <v>11.88457693612342</v>
      </c>
      <c r="M18" s="11">
        <f t="shared" si="11"/>
        <v>-5.9422884680617098</v>
      </c>
      <c r="N18" s="20">
        <v>1</v>
      </c>
      <c r="O18" s="11">
        <f t="shared" si="12"/>
        <v>5.2658946668647593</v>
      </c>
      <c r="P18" s="11">
        <f t="shared" si="4"/>
        <v>39.715249856350773</v>
      </c>
      <c r="Q18" s="20">
        <f t="shared" si="13"/>
        <v>0.77639066727645856</v>
      </c>
      <c r="R18" s="11">
        <f t="shared" si="16"/>
        <v>3.4880583650743411</v>
      </c>
      <c r="S18" s="11">
        <f t="shared" si="5"/>
        <v>-1.4880583650743411</v>
      </c>
      <c r="T18" s="11">
        <f t="shared" si="14"/>
        <v>3.4880583650743411</v>
      </c>
      <c r="U18" s="11">
        <f t="shared" si="15"/>
        <v>-1.4880583650743411</v>
      </c>
      <c r="V18" s="11">
        <f t="shared" si="6"/>
        <v>2.2440291825371705</v>
      </c>
      <c r="W18" s="11">
        <f t="shared" si="7"/>
        <v>-0.24402918253717054</v>
      </c>
      <c r="X18" s="3"/>
      <c r="Y18" s="3"/>
      <c r="Z18" s="3"/>
      <c r="AA18" s="3"/>
      <c r="AB18" s="3"/>
    </row>
    <row r="19" spans="1:28" ht="18" x14ac:dyDescent="0.35">
      <c r="A19" s="37" t="s">
        <v>19</v>
      </c>
      <c r="B19" s="118">
        <v>0</v>
      </c>
      <c r="C19" s="118"/>
      <c r="D19" s="31">
        <f t="shared" si="8"/>
        <v>164.8398</v>
      </c>
      <c r="E19" s="11">
        <f t="shared" si="17"/>
        <v>320.7</v>
      </c>
      <c r="F19" s="11">
        <f t="shared" si="9"/>
        <v>0.4848219144947693</v>
      </c>
      <c r="G19" s="11">
        <f t="shared" si="0"/>
        <v>347.18282711430123</v>
      </c>
      <c r="H19" s="20">
        <v>1</v>
      </c>
      <c r="I19" s="11">
        <f t="shared" si="1"/>
        <v>2.2000000000000002</v>
      </c>
      <c r="J19" s="11">
        <f t="shared" si="2"/>
        <v>-1.1000000000000001</v>
      </c>
      <c r="K19" s="11">
        <f t="shared" si="3"/>
        <v>16.075957064154338</v>
      </c>
      <c r="L19" s="11">
        <f t="shared" si="10"/>
        <v>13.979093099264643</v>
      </c>
      <c r="M19" s="11">
        <f t="shared" si="11"/>
        <v>-6.9895465496323217</v>
      </c>
      <c r="N19" s="20">
        <v>1</v>
      </c>
      <c r="O19" s="11">
        <f t="shared" si="12"/>
        <v>5.2658946668647593</v>
      </c>
      <c r="P19" s="11">
        <f t="shared" si="4"/>
        <v>39.715249856350773</v>
      </c>
      <c r="Q19" s="20">
        <f t="shared" si="13"/>
        <v>0.77639066727645856</v>
      </c>
      <c r="R19" s="11">
        <f t="shared" si="16"/>
        <v>3.698411625564225</v>
      </c>
      <c r="S19" s="11">
        <f t="shared" si="5"/>
        <v>-1.698411625564225</v>
      </c>
      <c r="T19" s="11">
        <f t="shared" si="14"/>
        <v>3.698411625564225</v>
      </c>
      <c r="U19" s="11">
        <f t="shared" si="15"/>
        <v>-1.698411625564225</v>
      </c>
      <c r="V19" s="11">
        <f t="shared" si="6"/>
        <v>2.3492058127821123</v>
      </c>
      <c r="W19" s="11">
        <f t="shared" si="7"/>
        <v>-0.34920581278211249</v>
      </c>
      <c r="X19" s="5"/>
      <c r="Y19" s="3"/>
      <c r="Z19" s="3"/>
      <c r="AA19" s="3"/>
      <c r="AB19" s="3"/>
    </row>
    <row r="20" spans="1:28" ht="18" x14ac:dyDescent="0.35">
      <c r="A20" s="37" t="s">
        <v>20</v>
      </c>
      <c r="B20" s="118">
        <v>1</v>
      </c>
      <c r="C20" s="118"/>
      <c r="D20" s="31">
        <f t="shared" si="8"/>
        <v>177.68979999999999</v>
      </c>
      <c r="E20" s="11">
        <f t="shared" si="17"/>
        <v>345.7</v>
      </c>
      <c r="F20" s="11">
        <f t="shared" si="9"/>
        <v>0.52261595210739553</v>
      </c>
      <c r="G20" s="11">
        <f t="shared" si="0"/>
        <v>403.42153222046511</v>
      </c>
      <c r="H20" s="20">
        <v>1</v>
      </c>
      <c r="I20" s="11">
        <f t="shared" si="1"/>
        <v>2.2000000000000002</v>
      </c>
      <c r="J20" s="11">
        <f t="shared" si="2"/>
        <v>-1.1000000000000001</v>
      </c>
      <c r="K20" s="11">
        <f t="shared" si="3"/>
        <v>18.680034622209011</v>
      </c>
      <c r="L20" s="11">
        <f t="shared" si="10"/>
        <v>16.243508367138272</v>
      </c>
      <c r="M20" s="11">
        <f t="shared" si="11"/>
        <v>-8.121754183569136</v>
      </c>
      <c r="N20" s="20">
        <v>1</v>
      </c>
      <c r="O20" s="11">
        <f t="shared" si="12"/>
        <v>5.2658946668647593</v>
      </c>
      <c r="P20" s="11">
        <f t="shared" si="4"/>
        <v>39.715249856350773</v>
      </c>
      <c r="Q20" s="20">
        <f t="shared" si="13"/>
        <v>0.77639066727645856</v>
      </c>
      <c r="R20" s="11">
        <f t="shared" si="16"/>
        <v>3.908764886054108</v>
      </c>
      <c r="S20" s="11">
        <f t="shared" si="5"/>
        <v>-1.908764886054108</v>
      </c>
      <c r="T20" s="11">
        <f t="shared" si="14"/>
        <v>3.908764886054108</v>
      </c>
      <c r="U20" s="11">
        <f t="shared" si="15"/>
        <v>-1.908764886054108</v>
      </c>
      <c r="V20" s="11">
        <f t="shared" si="6"/>
        <v>2.454382443027054</v>
      </c>
      <c r="W20" s="11">
        <f t="shared" si="7"/>
        <v>-0.45438244302705399</v>
      </c>
      <c r="X20" s="5"/>
      <c r="Y20" s="3"/>
      <c r="Z20" s="3"/>
      <c r="AA20" s="3"/>
      <c r="AB20" s="3"/>
    </row>
    <row r="21" spans="1:28" ht="18" customHeight="1" x14ac:dyDescent="0.35">
      <c r="A21" s="37" t="s">
        <v>21</v>
      </c>
      <c r="B21" s="118">
        <f>ATAN(TAN(RADIANS(B19))/B20)* (180/PI())</f>
        <v>0</v>
      </c>
      <c r="C21" s="118"/>
      <c r="D21" s="31">
        <f t="shared" si="8"/>
        <v>190.53979999999999</v>
      </c>
      <c r="E21" s="11">
        <f t="shared" si="17"/>
        <v>370.7</v>
      </c>
      <c r="F21" s="11">
        <f t="shared" si="9"/>
        <v>0.56040998972002176</v>
      </c>
      <c r="G21" s="11">
        <f t="shared" si="0"/>
        <v>463.87982804587921</v>
      </c>
      <c r="H21" s="20">
        <v>1</v>
      </c>
      <c r="I21" s="11">
        <f t="shared" si="1"/>
        <v>2.2000000000000002</v>
      </c>
      <c r="J21" s="11">
        <f t="shared" si="2"/>
        <v>-1.1000000000000001</v>
      </c>
      <c r="K21" s="11">
        <f t="shared" si="3"/>
        <v>21.479496150705977</v>
      </c>
      <c r="L21" s="11">
        <f t="shared" si="10"/>
        <v>18.677822739744329</v>
      </c>
      <c r="M21" s="11">
        <f t="shared" si="11"/>
        <v>-9.3389113698721644</v>
      </c>
      <c r="N21" s="20">
        <v>1</v>
      </c>
      <c r="O21" s="11">
        <f t="shared" si="12"/>
        <v>5.2658946668647593</v>
      </c>
      <c r="P21" s="11">
        <f t="shared" si="4"/>
        <v>39.715249856350773</v>
      </c>
      <c r="Q21" s="20">
        <f t="shared" si="13"/>
        <v>0.77639066727645856</v>
      </c>
      <c r="R21" s="11">
        <f t="shared" si="16"/>
        <v>4.1191181465439914</v>
      </c>
      <c r="S21" s="11">
        <f t="shared" si="5"/>
        <v>-2.1191181465439914</v>
      </c>
      <c r="T21" s="11">
        <f t="shared" si="14"/>
        <v>4.1191181465439914</v>
      </c>
      <c r="U21" s="11">
        <f t="shared" si="15"/>
        <v>-2.1191181465439914</v>
      </c>
      <c r="V21" s="11">
        <f t="shared" si="6"/>
        <v>2.5595590732719957</v>
      </c>
      <c r="W21" s="11">
        <f t="shared" si="7"/>
        <v>-0.55955907327199572</v>
      </c>
      <c r="X21" s="5"/>
      <c r="Y21" s="3"/>
      <c r="Z21" s="3"/>
      <c r="AA21" s="3"/>
      <c r="AB21" s="3"/>
    </row>
    <row r="22" spans="1:28" ht="18" x14ac:dyDescent="0.35">
      <c r="A22" s="37" t="s">
        <v>22</v>
      </c>
      <c r="B22" s="118">
        <v>1</v>
      </c>
      <c r="C22" s="118"/>
      <c r="D22" s="31">
        <f t="shared" si="8"/>
        <v>203.38980000000001</v>
      </c>
      <c r="E22" s="11">
        <f t="shared" si="17"/>
        <v>395.7</v>
      </c>
      <c r="F22" s="11">
        <f t="shared" si="9"/>
        <v>0.59820402733264799</v>
      </c>
      <c r="G22" s="11">
        <f t="shared" si="0"/>
        <v>528.55771459054301</v>
      </c>
      <c r="H22" s="20">
        <v>1</v>
      </c>
      <c r="I22" s="11">
        <f t="shared" si="1"/>
        <v>2.2000000000000002</v>
      </c>
      <c r="J22" s="11">
        <f t="shared" si="2"/>
        <v>-1.1000000000000001</v>
      </c>
      <c r="K22" s="11">
        <f t="shared" si="3"/>
        <v>24.474341649645201</v>
      </c>
      <c r="L22" s="11">
        <f t="shared" si="10"/>
        <v>21.282036217082787</v>
      </c>
      <c r="M22" s="11">
        <f t="shared" si="11"/>
        <v>-10.641018108541394</v>
      </c>
      <c r="N22" s="20">
        <v>1</v>
      </c>
      <c r="O22" s="11">
        <f t="shared" si="12"/>
        <v>5.2658946668647593</v>
      </c>
      <c r="P22" s="11">
        <f t="shared" si="4"/>
        <v>39.715249856350773</v>
      </c>
      <c r="Q22" s="20">
        <f t="shared" si="13"/>
        <v>0.77639066727645856</v>
      </c>
      <c r="R22" s="11">
        <f t="shared" si="16"/>
        <v>4.3294714070338749</v>
      </c>
      <c r="S22" s="11">
        <f t="shared" si="5"/>
        <v>-2.3294714070338753</v>
      </c>
      <c r="T22" s="11">
        <f t="shared" si="14"/>
        <v>4.3294714070338749</v>
      </c>
      <c r="U22" s="11">
        <f t="shared" si="15"/>
        <v>-2.3294714070338753</v>
      </c>
      <c r="V22" s="11">
        <f t="shared" si="6"/>
        <v>2.6647357035169374</v>
      </c>
      <c r="W22" s="11">
        <f t="shared" si="7"/>
        <v>-0.66473570351693767</v>
      </c>
      <c r="X22" s="5"/>
      <c r="Y22" s="3"/>
      <c r="Z22" s="3"/>
      <c r="AA22" s="3"/>
      <c r="AB22" s="3"/>
    </row>
    <row r="23" spans="1:28" ht="18" x14ac:dyDescent="0.35">
      <c r="A23" s="37" t="s">
        <v>23</v>
      </c>
      <c r="B23" s="118">
        <f>B17</f>
        <v>8.4</v>
      </c>
      <c r="C23" s="118"/>
      <c r="D23" s="31">
        <f t="shared" si="8"/>
        <v>216.2398</v>
      </c>
      <c r="E23" s="11">
        <f t="shared" si="17"/>
        <v>420.7</v>
      </c>
      <c r="F23" s="11">
        <f t="shared" si="9"/>
        <v>0.63599806494527422</v>
      </c>
      <c r="G23" s="11">
        <f t="shared" si="0"/>
        <v>597.4551918544571</v>
      </c>
      <c r="H23" s="20">
        <v>1</v>
      </c>
      <c r="I23" s="11">
        <f t="shared" si="1"/>
        <v>2.2000000000000002</v>
      </c>
      <c r="J23" s="11">
        <f t="shared" si="2"/>
        <v>-1.1000000000000001</v>
      </c>
      <c r="K23" s="11">
        <f t="shared" si="3"/>
        <v>27.664571119026721</v>
      </c>
      <c r="L23" s="11">
        <f t="shared" si="10"/>
        <v>24.056148799153672</v>
      </c>
      <c r="M23" s="11">
        <f t="shared" si="11"/>
        <v>-12.028074399576836</v>
      </c>
      <c r="N23" s="20">
        <v>1</v>
      </c>
      <c r="O23" s="11">
        <f t="shared" si="12"/>
        <v>5.2658946668647593</v>
      </c>
      <c r="P23" s="11">
        <f t="shared" si="4"/>
        <v>39.715249856350773</v>
      </c>
      <c r="Q23" s="20">
        <f t="shared" si="13"/>
        <v>0.77639066727645856</v>
      </c>
      <c r="R23" s="11">
        <f t="shared" si="16"/>
        <v>4.5398246675237584</v>
      </c>
      <c r="S23" s="11">
        <f t="shared" si="5"/>
        <v>-2.5398246675237584</v>
      </c>
      <c r="T23" s="11">
        <f t="shared" si="14"/>
        <v>4.5398246675237584</v>
      </c>
      <c r="U23" s="11">
        <f t="shared" si="15"/>
        <v>-2.5398246675237584</v>
      </c>
      <c r="V23" s="11">
        <f t="shared" si="6"/>
        <v>2.7699123337618792</v>
      </c>
      <c r="W23" s="11">
        <f t="shared" si="7"/>
        <v>-0.76991233376187918</v>
      </c>
      <c r="X23" s="5"/>
      <c r="Y23" s="3"/>
      <c r="Z23" s="3"/>
      <c r="AA23" s="3"/>
      <c r="AB23" s="3"/>
    </row>
    <row r="24" spans="1:28" ht="18" x14ac:dyDescent="0.35">
      <c r="A24" s="37" t="s">
        <v>24</v>
      </c>
      <c r="B24" s="118">
        <f>0.083552*(180/PI())</f>
        <v>4.7871769698770539</v>
      </c>
      <c r="C24" s="118"/>
      <c r="D24" s="31">
        <f t="shared" si="8"/>
        <v>226.67400000000001</v>
      </c>
      <c r="E24" s="11">
        <v>441</v>
      </c>
      <c r="F24" s="11">
        <f t="shared" si="9"/>
        <v>0.6666868234867267</v>
      </c>
      <c r="G24" s="11">
        <f t="shared" si="0"/>
        <v>656.50417813636739</v>
      </c>
      <c r="H24" s="20">
        <v>1</v>
      </c>
      <c r="I24" s="11">
        <f t="shared" si="1"/>
        <v>2.2000000000000002</v>
      </c>
      <c r="J24" s="11">
        <f t="shared" si="2"/>
        <v>-1.1000000000000001</v>
      </c>
      <c r="K24" s="11">
        <f t="shared" si="3"/>
        <v>30.39877596446772</v>
      </c>
      <c r="L24" s="11">
        <f t="shared" si="10"/>
        <v>26.433718229971934</v>
      </c>
      <c r="M24" s="11">
        <f t="shared" si="11"/>
        <v>-13.216859114985967</v>
      </c>
      <c r="N24" s="20">
        <v>1</v>
      </c>
      <c r="O24" s="11">
        <f t="shared" si="12"/>
        <v>5.2658946668647593</v>
      </c>
      <c r="P24" s="11">
        <f t="shared" si="4"/>
        <v>39.715249856350773</v>
      </c>
      <c r="Q24" s="20">
        <f t="shared" si="13"/>
        <v>0.77639066727645856</v>
      </c>
      <c r="R24" s="11">
        <f t="shared" si="16"/>
        <v>4.7106315150415448</v>
      </c>
      <c r="S24" s="11">
        <f t="shared" si="5"/>
        <v>-2.7106315150415443</v>
      </c>
      <c r="T24" s="11">
        <f t="shared" si="14"/>
        <v>4.7106315150415448</v>
      </c>
      <c r="U24" s="11">
        <f t="shared" si="15"/>
        <v>-2.7106315150415443</v>
      </c>
      <c r="V24" s="11">
        <f t="shared" si="6"/>
        <v>2.8553157575207724</v>
      </c>
      <c r="W24" s="11">
        <f t="shared" si="7"/>
        <v>-0.85531575752077216</v>
      </c>
      <c r="X24" s="5"/>
      <c r="Y24" s="3"/>
      <c r="Z24" s="3"/>
      <c r="AA24" s="3"/>
      <c r="AB24" s="3"/>
    </row>
    <row r="25" spans="1:28" ht="18" x14ac:dyDescent="0.35">
      <c r="A25" s="37" t="s">
        <v>55</v>
      </c>
      <c r="B25" s="118">
        <f>1.1*B24</f>
        <v>5.2658946668647593</v>
      </c>
      <c r="C25" s="118"/>
      <c r="D25" s="31">
        <f t="shared" si="8"/>
        <v>239.524</v>
      </c>
      <c r="E25" s="11">
        <f t="shared" si="17"/>
        <v>466</v>
      </c>
      <c r="F25" s="11">
        <f t="shared" si="9"/>
        <v>0.70448086109935293</v>
      </c>
      <c r="G25" s="11">
        <f t="shared" si="0"/>
        <v>733.04755378356242</v>
      </c>
      <c r="H25" s="20">
        <v>1</v>
      </c>
      <c r="I25" s="11">
        <f t="shared" si="1"/>
        <v>2.2000000000000002</v>
      </c>
      <c r="J25" s="11">
        <f t="shared" si="2"/>
        <v>-1.1000000000000001</v>
      </c>
      <c r="K25" s="11">
        <f t="shared" si="3"/>
        <v>33.94304118829065</v>
      </c>
      <c r="L25" s="11">
        <f t="shared" si="10"/>
        <v>29.515687989817955</v>
      </c>
      <c r="M25" s="11">
        <f t="shared" si="11"/>
        <v>-14.757843994908978</v>
      </c>
      <c r="N25" s="20">
        <v>1</v>
      </c>
      <c r="O25" s="11">
        <f t="shared" si="12"/>
        <v>5.2658946668647593</v>
      </c>
      <c r="P25" s="11">
        <f t="shared" si="4"/>
        <v>39.715249856350773</v>
      </c>
      <c r="Q25" s="20">
        <f t="shared" si="13"/>
        <v>0.77639066727645856</v>
      </c>
      <c r="R25" s="11">
        <f t="shared" si="16"/>
        <v>4.9209847755314264</v>
      </c>
      <c r="S25" s="11">
        <f t="shared" si="5"/>
        <v>-2.9209847755314269</v>
      </c>
      <c r="T25" s="11">
        <f t="shared" si="14"/>
        <v>4.9209847755314264</v>
      </c>
      <c r="U25" s="11">
        <f t="shared" si="15"/>
        <v>-2.9209847755314269</v>
      </c>
      <c r="V25" s="11">
        <f t="shared" si="6"/>
        <v>2.9604923877657132</v>
      </c>
      <c r="W25" s="11">
        <f t="shared" si="7"/>
        <v>-0.96049238776571344</v>
      </c>
      <c r="X25" s="5"/>
      <c r="Y25" s="3"/>
      <c r="Z25" s="3"/>
      <c r="AA25" s="3"/>
      <c r="AB25" s="3"/>
    </row>
    <row r="26" spans="1:28" ht="18" x14ac:dyDescent="0.35">
      <c r="A26" s="37" t="s">
        <v>84</v>
      </c>
      <c r="B26" s="124">
        <v>2.3700000000000001E-3</v>
      </c>
      <c r="C26" s="124"/>
      <c r="D26" s="31">
        <f t="shared" si="8"/>
        <v>252.374</v>
      </c>
      <c r="E26" s="11">
        <f t="shared" si="17"/>
        <v>491</v>
      </c>
      <c r="F26" s="11">
        <f t="shared" si="9"/>
        <v>0.74227489871197916</v>
      </c>
      <c r="G26" s="11">
        <f t="shared" si="0"/>
        <v>813.81052015000739</v>
      </c>
      <c r="H26" s="20">
        <v>1</v>
      </c>
      <c r="I26" s="11">
        <f t="shared" si="1"/>
        <v>2.2000000000000002</v>
      </c>
      <c r="J26" s="11">
        <f t="shared" si="2"/>
        <v>-1.1000000000000001</v>
      </c>
      <c r="K26" s="11">
        <f t="shared" si="3"/>
        <v>37.682690382555847</v>
      </c>
      <c r="L26" s="11">
        <f t="shared" si="10"/>
        <v>32.767556854396389</v>
      </c>
      <c r="M26" s="11">
        <f t="shared" si="11"/>
        <v>-16.383778427198195</v>
      </c>
      <c r="N26" s="20">
        <v>1</v>
      </c>
      <c r="O26" s="11">
        <f t="shared" si="12"/>
        <v>5.2658946668647593</v>
      </c>
      <c r="P26" s="11">
        <f t="shared" si="4"/>
        <v>39.715249856350773</v>
      </c>
      <c r="Q26" s="20">
        <f t="shared" si="13"/>
        <v>0.77639066727645856</v>
      </c>
      <c r="R26" s="11">
        <f t="shared" si="16"/>
        <v>5.1313380360213108</v>
      </c>
      <c r="S26" s="11">
        <f t="shared" si="5"/>
        <v>-3.1313380360213108</v>
      </c>
      <c r="T26" s="11">
        <f t="shared" si="14"/>
        <v>5.1313380360213108</v>
      </c>
      <c r="U26" s="11">
        <f t="shared" si="15"/>
        <v>-3.1313380360213108</v>
      </c>
      <c r="V26" s="11">
        <f t="shared" si="6"/>
        <v>3.0656690180106554</v>
      </c>
      <c r="W26" s="11">
        <f t="shared" si="7"/>
        <v>-1.0656690180106554</v>
      </c>
      <c r="X26" s="5"/>
      <c r="Y26" s="3"/>
      <c r="Z26" s="3"/>
      <c r="AA26" s="3"/>
      <c r="AB26" s="3"/>
    </row>
    <row r="27" spans="1:28" ht="23.4" x14ac:dyDescent="0.45">
      <c r="A27" s="37" t="s">
        <v>97</v>
      </c>
      <c r="B27" s="118">
        <f>82.23/12</f>
        <v>6.8525</v>
      </c>
      <c r="C27" s="118"/>
      <c r="D27" s="31">
        <f t="shared" si="8"/>
        <v>265.22399999999999</v>
      </c>
      <c r="E27" s="11">
        <f t="shared" si="17"/>
        <v>516</v>
      </c>
      <c r="F27" s="11">
        <f t="shared" si="9"/>
        <v>0.78006893632460539</v>
      </c>
      <c r="G27" s="11">
        <f t="shared" si="0"/>
        <v>898.79307723570253</v>
      </c>
      <c r="H27" s="20">
        <v>1</v>
      </c>
      <c r="I27" s="11">
        <f t="shared" si="1"/>
        <v>2.2000000000000002</v>
      </c>
      <c r="J27" s="11">
        <f t="shared" si="2"/>
        <v>-1.1000000000000001</v>
      </c>
      <c r="K27" s="11">
        <f t="shared" si="3"/>
        <v>41.617723547263331</v>
      </c>
      <c r="L27" s="11">
        <f t="shared" si="10"/>
        <v>36.189324823707246</v>
      </c>
      <c r="M27" s="11">
        <f t="shared" si="11"/>
        <v>-18.094662411853623</v>
      </c>
      <c r="N27" s="20">
        <v>1</v>
      </c>
      <c r="O27" s="11">
        <f t="shared" si="12"/>
        <v>5.2658946668647593</v>
      </c>
      <c r="P27" s="11">
        <f t="shared" si="4"/>
        <v>39.715249856350773</v>
      </c>
      <c r="Q27" s="20">
        <f t="shared" si="13"/>
        <v>0.77639066727645856</v>
      </c>
      <c r="R27" s="11">
        <f t="shared" si="16"/>
        <v>5.3416912965111942</v>
      </c>
      <c r="S27" s="11">
        <f t="shared" si="5"/>
        <v>-3.3416912965111942</v>
      </c>
      <c r="T27" s="11">
        <f t="shared" si="14"/>
        <v>5.3416912965111942</v>
      </c>
      <c r="U27" s="11">
        <f t="shared" si="15"/>
        <v>-3.3416912965111942</v>
      </c>
      <c r="V27" s="11">
        <f t="shared" si="6"/>
        <v>3.1708456482555971</v>
      </c>
      <c r="W27" s="11">
        <f t="shared" si="7"/>
        <v>-1.1708456482555971</v>
      </c>
      <c r="X27" s="23"/>
      <c r="Y27" s="3"/>
      <c r="Z27" s="3"/>
      <c r="AA27" s="3"/>
      <c r="AB27" s="3"/>
    </row>
    <row r="28" spans="1:28" ht="18" x14ac:dyDescent="0.35">
      <c r="A28" s="37" t="s">
        <v>25</v>
      </c>
      <c r="B28" s="118">
        <f>-0.5*B10</f>
        <v>-1.1000000000000001</v>
      </c>
      <c r="C28" s="118"/>
      <c r="D28" s="31">
        <f t="shared" si="8"/>
        <v>283.34250000000003</v>
      </c>
      <c r="E28" s="11">
        <v>551.25</v>
      </c>
      <c r="F28" s="11">
        <f t="shared" si="9"/>
        <v>0.83335852935840837</v>
      </c>
      <c r="G28" s="11">
        <f t="shared" si="0"/>
        <v>1025.7877783380738</v>
      </c>
      <c r="H28" s="20">
        <v>1</v>
      </c>
      <c r="I28" s="11">
        <f t="shared" si="1"/>
        <v>2.2000000000000002</v>
      </c>
      <c r="J28" s="11">
        <f t="shared" si="2"/>
        <v>-1.1000000000000001</v>
      </c>
      <c r="K28" s="11">
        <f t="shared" si="3"/>
        <v>47.498087444480802</v>
      </c>
      <c r="L28" s="11">
        <f t="shared" si="10"/>
        <v>41.302684734331137</v>
      </c>
      <c r="M28" s="11">
        <f t="shared" si="11"/>
        <v>-20.651342367165569</v>
      </c>
      <c r="N28" s="20">
        <v>1</v>
      </c>
      <c r="O28" s="11">
        <f t="shared" si="12"/>
        <v>5.2658946668647593</v>
      </c>
      <c r="P28" s="11">
        <f t="shared" si="4"/>
        <v>39.715249856350773</v>
      </c>
      <c r="Q28" s="20">
        <f t="shared" si="13"/>
        <v>0.77639066727645856</v>
      </c>
      <c r="R28" s="11">
        <f t="shared" si="16"/>
        <v>5.6382893938019301</v>
      </c>
      <c r="S28" s="11">
        <f>1-(Q28*$R$1*D28*O28)/(498*$B$14)</f>
        <v>-1.3840807484141919</v>
      </c>
      <c r="T28" s="11">
        <f t="shared" si="14"/>
        <v>5.6382893938019301</v>
      </c>
      <c r="U28" s="11">
        <f t="shared" si="15"/>
        <v>-3.6382893938019301</v>
      </c>
      <c r="V28" s="11">
        <f t="shared" si="6"/>
        <v>3.319144696900965</v>
      </c>
      <c r="W28" s="11">
        <f t="shared" si="7"/>
        <v>-1.319144696900965</v>
      </c>
      <c r="X28" s="3"/>
      <c r="Y28" s="3"/>
      <c r="Z28" s="3"/>
      <c r="AA28" s="3"/>
      <c r="AB28" s="3"/>
    </row>
    <row r="29" spans="1:28" ht="18" x14ac:dyDescent="0.35">
      <c r="A29" s="6"/>
      <c r="B29" s="7"/>
      <c r="C29" s="7"/>
      <c r="D29" s="11"/>
      <c r="E29" s="11"/>
      <c r="F29" s="11"/>
      <c r="G29" s="11"/>
      <c r="H29" s="11"/>
      <c r="I29" s="11"/>
      <c r="J29" s="11"/>
      <c r="K29" s="11"/>
      <c r="L29" s="11"/>
      <c r="M29" s="18"/>
      <c r="N29" s="11"/>
      <c r="O29" s="11"/>
      <c r="P29" s="11"/>
      <c r="Q29" s="11"/>
      <c r="R29" s="11"/>
      <c r="T29" s="5"/>
      <c r="U29" s="11"/>
      <c r="V29" s="11"/>
      <c r="W29" s="11"/>
      <c r="X29" s="3"/>
      <c r="Y29" s="3"/>
      <c r="Z29" s="3"/>
      <c r="AA29" s="3"/>
      <c r="AB29" s="3"/>
    </row>
    <row r="30" spans="1:28" ht="23.4" x14ac:dyDescent="0.45">
      <c r="A30" s="26" t="s">
        <v>26</v>
      </c>
      <c r="B30" s="125" t="s">
        <v>50</v>
      </c>
      <c r="C30" s="125"/>
      <c r="D30" s="27" t="s">
        <v>51</v>
      </c>
      <c r="E30" s="11"/>
      <c r="F30" s="11"/>
      <c r="G30" s="11"/>
      <c r="H30" s="11"/>
      <c r="I30" s="11"/>
      <c r="J30" s="11"/>
      <c r="K30" s="11"/>
      <c r="L30" s="11"/>
      <c r="M30" s="18"/>
      <c r="N30" s="11"/>
      <c r="O30" s="11"/>
      <c r="P30" s="11"/>
      <c r="Q30" s="11"/>
      <c r="R30" s="11"/>
      <c r="S30" s="21"/>
      <c r="T30" s="24"/>
      <c r="U30" s="11"/>
      <c r="V30" s="11"/>
      <c r="W30" s="11"/>
      <c r="X30" s="3"/>
      <c r="Y30" s="3"/>
      <c r="Z30" s="3"/>
      <c r="AA30" s="3"/>
      <c r="AB30" s="3"/>
    </row>
    <row r="31" spans="1:28" ht="18" x14ac:dyDescent="0.35">
      <c r="A31" s="58" t="s">
        <v>27</v>
      </c>
      <c r="B31" s="123">
        <f>SQRT((2*B5)/(B26*B13*B10))*0.592</f>
        <v>85.704208919211595</v>
      </c>
      <c r="C31" s="123"/>
      <c r="D31" s="60">
        <f>SQRT((2*B5)/(B26*B13*-B28))*0.592</f>
        <v>121.20405460600621</v>
      </c>
      <c r="E31" s="19"/>
      <c r="F31" s="19"/>
      <c r="G31" s="11"/>
      <c r="H31" s="11"/>
      <c r="I31" s="11"/>
      <c r="J31" s="11"/>
      <c r="K31" s="11"/>
      <c r="L31" s="11"/>
      <c r="M31" s="18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3"/>
      <c r="Y31" s="3"/>
      <c r="Z31" s="3"/>
      <c r="AA31" s="3"/>
      <c r="AB31" s="3"/>
    </row>
    <row r="32" spans="1:28" ht="23.4" x14ac:dyDescent="0.45">
      <c r="A32" s="59" t="s">
        <v>28</v>
      </c>
      <c r="B32" s="123">
        <f>1.15*B31</f>
        <v>98.559840257093327</v>
      </c>
      <c r="C32" s="123"/>
      <c r="D32" s="11"/>
      <c r="E32" s="11"/>
      <c r="F32" s="11"/>
      <c r="G32" s="11"/>
      <c r="H32" s="11"/>
      <c r="I32" s="11"/>
      <c r="J32" s="11"/>
      <c r="K32" s="11"/>
      <c r="L32" s="11"/>
      <c r="M32" s="18"/>
      <c r="N32" s="11"/>
      <c r="O32" s="11"/>
      <c r="P32" s="11"/>
      <c r="Q32" s="11"/>
      <c r="R32" s="11"/>
      <c r="S32" s="22"/>
      <c r="T32" s="12"/>
      <c r="U32" s="11"/>
      <c r="V32" s="11"/>
      <c r="W32" s="11"/>
      <c r="X32" s="3"/>
      <c r="Y32" s="3"/>
      <c r="Z32" s="3"/>
      <c r="AA32" s="3"/>
      <c r="AB32" s="3"/>
    </row>
    <row r="33" spans="1:28" ht="18" x14ac:dyDescent="0.35">
      <c r="A33" s="59" t="s">
        <v>75</v>
      </c>
      <c r="B33" s="123">
        <f>B31*SQRT(B15)</f>
        <v>145.6971551626597</v>
      </c>
      <c r="C33" s="123"/>
      <c r="D33" s="60">
        <f>D31*SQRT(B16*-1)</f>
        <v>121.20405460600621</v>
      </c>
      <c r="E33" s="11"/>
      <c r="F33" s="11"/>
      <c r="G33" s="11"/>
      <c r="H33" s="11"/>
      <c r="I33" s="11"/>
      <c r="J33" s="11"/>
      <c r="K33" s="11"/>
      <c r="L33" s="11"/>
      <c r="M33" s="18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3"/>
      <c r="Y33" s="3"/>
      <c r="Z33" s="3"/>
      <c r="AA33" s="3"/>
      <c r="AB33" s="3"/>
    </row>
    <row r="34" spans="1:28" ht="23.4" x14ac:dyDescent="0.45">
      <c r="A34" s="59" t="s">
        <v>29</v>
      </c>
      <c r="B34" s="123">
        <f>B7</f>
        <v>441</v>
      </c>
      <c r="C34" s="123"/>
      <c r="D34" s="11"/>
      <c r="E34" s="11"/>
      <c r="F34" s="11"/>
      <c r="G34" s="11"/>
      <c r="H34" s="11"/>
      <c r="I34" s="11"/>
      <c r="J34" s="11"/>
      <c r="K34" s="11"/>
      <c r="L34" s="11"/>
      <c r="M34" s="18"/>
      <c r="N34" s="11"/>
      <c r="O34" s="11"/>
      <c r="P34" s="11"/>
      <c r="Q34" s="11"/>
      <c r="R34" s="11"/>
      <c r="S34" s="22"/>
      <c r="T34" s="12"/>
      <c r="U34" s="11"/>
      <c r="V34" s="11"/>
      <c r="W34" s="11"/>
      <c r="X34" s="3"/>
      <c r="Y34" s="3"/>
      <c r="Z34" s="3"/>
      <c r="AA34" s="3"/>
      <c r="AB34" s="3"/>
    </row>
    <row r="35" spans="1:28" ht="18" x14ac:dyDescent="0.35">
      <c r="A35" s="59" t="s">
        <v>30</v>
      </c>
      <c r="B35" s="131">
        <f>0.9*B8</f>
        <v>496.125</v>
      </c>
      <c r="C35" s="131"/>
      <c r="D35" s="11"/>
      <c r="E35" s="11"/>
      <c r="F35" s="11"/>
      <c r="G35" s="11"/>
      <c r="H35" s="11"/>
      <c r="I35" s="11"/>
      <c r="J35" s="11"/>
      <c r="K35" s="11"/>
      <c r="L35" s="11"/>
      <c r="M35" s="18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3"/>
      <c r="Y35" s="3"/>
      <c r="Z35" s="3"/>
      <c r="AA35" s="3"/>
      <c r="AB35" s="3"/>
    </row>
    <row r="36" spans="1:28" ht="18" x14ac:dyDescent="0.35">
      <c r="A36" s="59" t="s">
        <v>31</v>
      </c>
      <c r="B36" s="123">
        <f>B8</f>
        <v>551.25</v>
      </c>
      <c r="C36" s="123"/>
      <c r="D36" s="11"/>
      <c r="E36" s="11"/>
      <c r="F36" s="11"/>
      <c r="G36" s="11"/>
      <c r="H36" s="11"/>
      <c r="I36" s="11"/>
      <c r="J36" s="11"/>
      <c r="K36" s="11"/>
      <c r="L36" s="11"/>
      <c r="M36" s="18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3"/>
      <c r="Y36" s="3"/>
      <c r="Z36" s="3"/>
      <c r="AA36" s="3"/>
      <c r="AB36" s="3"/>
    </row>
    <row r="37" spans="1:28" ht="18" x14ac:dyDescent="0.35">
      <c r="A37" s="59" t="s">
        <v>56</v>
      </c>
      <c r="B37" s="123"/>
      <c r="C37" s="123"/>
      <c r="D37" s="60"/>
      <c r="E37" s="11"/>
      <c r="F37" s="11"/>
      <c r="G37" s="11"/>
      <c r="H37" s="11"/>
      <c r="I37" s="11"/>
      <c r="J37" s="11"/>
      <c r="K37" s="11"/>
      <c r="L37" s="11"/>
      <c r="M37" s="18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3"/>
      <c r="Y37" s="3"/>
      <c r="Z37" s="3"/>
      <c r="AA37" s="3"/>
      <c r="AB37" s="3"/>
    </row>
    <row r="38" spans="1:28" ht="18" x14ac:dyDescent="0.35">
      <c r="A38" s="8"/>
      <c r="B38" s="9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8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3"/>
      <c r="Y38" s="3"/>
      <c r="Z38" s="3"/>
      <c r="AA38" s="3"/>
      <c r="AB38" s="3"/>
    </row>
    <row r="39" spans="1:28" ht="18" x14ac:dyDescent="0.35">
      <c r="A39" s="28" t="s">
        <v>32</v>
      </c>
      <c r="B39" s="132"/>
      <c r="C39" s="133"/>
      <c r="D39" s="11"/>
      <c r="E39" s="11"/>
      <c r="F39" s="11"/>
      <c r="G39" s="11"/>
      <c r="H39" s="11"/>
      <c r="I39" s="11"/>
      <c r="J39" s="11"/>
      <c r="K39" s="11"/>
      <c r="L39" s="11"/>
      <c r="M39" s="18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3"/>
      <c r="Y39" s="3"/>
      <c r="Z39" s="3"/>
      <c r="AA39" s="3"/>
      <c r="AB39" s="3"/>
    </row>
    <row r="40" spans="1:28" ht="18" x14ac:dyDescent="0.35">
      <c r="A40" s="44" t="s">
        <v>76</v>
      </c>
      <c r="B40" s="130">
        <f>0.75*B15</f>
        <v>2.1675</v>
      </c>
      <c r="C40" s="130"/>
      <c r="D40" s="11"/>
      <c r="E40" s="11"/>
      <c r="F40" s="11"/>
      <c r="G40" s="11"/>
      <c r="H40" s="11"/>
      <c r="I40" s="11"/>
      <c r="J40" s="11"/>
      <c r="K40" s="11"/>
      <c r="L40" s="11"/>
      <c r="M40" s="18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3"/>
      <c r="Y40" s="3"/>
      <c r="Z40" s="3"/>
      <c r="AA40" s="3"/>
      <c r="AB40" s="3"/>
    </row>
    <row r="41" spans="1:28" ht="18" x14ac:dyDescent="0.35">
      <c r="A41" s="80" t="s">
        <v>45</v>
      </c>
      <c r="B41" s="130">
        <f>1.25*B15</f>
        <v>3.6125000000000003</v>
      </c>
      <c r="C41" s="130"/>
      <c r="D41" s="11"/>
      <c r="E41" s="11"/>
      <c r="F41" s="11"/>
      <c r="G41" s="11"/>
      <c r="H41" s="11"/>
      <c r="I41" s="11"/>
      <c r="J41" s="11"/>
      <c r="K41" s="11"/>
      <c r="L41" s="11"/>
      <c r="M41" s="18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3"/>
      <c r="Y41" s="3"/>
      <c r="Z41" s="3"/>
      <c r="AA41" s="3"/>
      <c r="AB41" s="3"/>
    </row>
    <row r="42" spans="1:28" ht="18" x14ac:dyDescent="0.35">
      <c r="A42" s="80" t="s">
        <v>33</v>
      </c>
      <c r="B42" s="130">
        <f>1.5*B15</f>
        <v>4.335</v>
      </c>
      <c r="C42" s="130"/>
      <c r="D42" s="11"/>
      <c r="E42" s="11"/>
      <c r="F42" s="11"/>
      <c r="G42" s="11"/>
      <c r="H42" s="11"/>
      <c r="I42" s="11"/>
      <c r="J42" s="11"/>
      <c r="K42" s="11"/>
      <c r="L42" s="11"/>
      <c r="M42" s="18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3"/>
      <c r="Y42" s="3"/>
      <c r="Z42" s="3"/>
      <c r="AA42" s="3"/>
      <c r="AB42" s="3"/>
    </row>
    <row r="43" spans="1:28" ht="18" x14ac:dyDescent="0.35">
      <c r="A43" s="3"/>
      <c r="B43" s="3"/>
      <c r="C43" s="3"/>
      <c r="D43" s="11"/>
      <c r="E43" s="11"/>
      <c r="F43" s="11"/>
      <c r="G43" s="11"/>
      <c r="H43" s="11"/>
      <c r="I43" s="11"/>
      <c r="J43" s="11"/>
      <c r="K43" s="11"/>
      <c r="L43" s="11"/>
      <c r="M43" s="18"/>
      <c r="N43" s="11"/>
      <c r="O43" s="11"/>
      <c r="P43" s="11"/>
      <c r="Q43" s="11"/>
      <c r="R43" s="13"/>
      <c r="S43" s="11"/>
      <c r="T43" s="11"/>
      <c r="U43" s="11"/>
      <c r="V43" s="11"/>
      <c r="W43" s="11"/>
      <c r="X43" s="3"/>
      <c r="Y43" s="3"/>
      <c r="Z43" s="3"/>
      <c r="AA43" s="3"/>
      <c r="AB43" s="3"/>
    </row>
    <row r="44" spans="1:28" ht="18" x14ac:dyDescent="0.35">
      <c r="A44" s="3"/>
      <c r="B44" s="3"/>
      <c r="C44" s="3"/>
      <c r="D44" s="11"/>
      <c r="E44" s="11"/>
      <c r="F44" s="11"/>
      <c r="G44" s="11"/>
      <c r="H44" s="11"/>
      <c r="I44" s="11"/>
      <c r="J44" s="11"/>
      <c r="K44" s="11"/>
      <c r="L44" s="11"/>
      <c r="M44" s="18"/>
      <c r="N44" s="11"/>
      <c r="O44" s="11"/>
      <c r="P44" s="11"/>
      <c r="Q44" s="11"/>
      <c r="R44" s="14"/>
      <c r="S44" s="3"/>
      <c r="U44" s="3"/>
      <c r="V44" s="3"/>
      <c r="W44" s="3"/>
      <c r="X44" s="3"/>
      <c r="Y44" s="3"/>
      <c r="Z44" s="3"/>
      <c r="AA44" s="3"/>
      <c r="AB44" s="3"/>
    </row>
    <row r="45" spans="1:28" ht="18" x14ac:dyDescent="0.35">
      <c r="A45" s="15" t="s">
        <v>34</v>
      </c>
      <c r="B45" s="16" t="s">
        <v>35</v>
      </c>
      <c r="C45" s="16" t="s">
        <v>36</v>
      </c>
      <c r="D45" s="11"/>
      <c r="E45" s="11"/>
      <c r="F45" s="11"/>
      <c r="G45" s="11"/>
      <c r="H45" s="11"/>
      <c r="I45" s="11"/>
      <c r="J45" s="11"/>
      <c r="K45" s="11"/>
      <c r="L45" s="11"/>
      <c r="M45" s="18"/>
      <c r="N45" s="11"/>
      <c r="O45" s="11"/>
      <c r="P45" s="11"/>
      <c r="Q45" s="11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24" customHeight="1" x14ac:dyDescent="0.35">
      <c r="A46" s="107" t="s">
        <v>37</v>
      </c>
      <c r="B46" s="99">
        <f>B31</f>
        <v>85.704208919211595</v>
      </c>
      <c r="C46" s="100"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7"/>
      <c r="N46" s="11"/>
      <c r="O46" s="11"/>
      <c r="P46" s="11"/>
      <c r="Q46" s="11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8" x14ac:dyDescent="0.35">
      <c r="A47" s="108"/>
      <c r="B47" s="99">
        <f>B31</f>
        <v>85.704208919211595</v>
      </c>
      <c r="C47" s="101">
        <v>1</v>
      </c>
      <c r="D47" s="3"/>
      <c r="E47" s="3"/>
      <c r="F47" s="11"/>
      <c r="G47" s="11"/>
      <c r="H47" s="3"/>
      <c r="I47" s="11"/>
      <c r="J47" s="11"/>
      <c r="K47" s="11"/>
      <c r="L47" s="11"/>
      <c r="M47" s="17"/>
      <c r="N47" s="11"/>
      <c r="O47" s="3"/>
      <c r="P47" s="11"/>
      <c r="Q47" s="11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8" x14ac:dyDescent="0.35">
      <c r="A48" s="107" t="s">
        <v>52</v>
      </c>
      <c r="B48" s="99">
        <f>D31</f>
        <v>121.20405460600621</v>
      </c>
      <c r="C48" s="101">
        <v>0</v>
      </c>
      <c r="D48" s="3"/>
      <c r="E48" s="3"/>
      <c r="F48" s="11"/>
      <c r="G48" s="11"/>
      <c r="H48" s="3"/>
      <c r="I48" s="11"/>
      <c r="J48" s="11"/>
      <c r="K48" s="11"/>
      <c r="L48" s="11"/>
      <c r="M48" s="17"/>
      <c r="N48" s="11"/>
      <c r="O48" s="3"/>
      <c r="P48" s="11"/>
      <c r="Q48" s="11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8" x14ac:dyDescent="0.35">
      <c r="A49" s="108"/>
      <c r="B49" s="99">
        <f>D31</f>
        <v>121.20405460600621</v>
      </c>
      <c r="C49" s="101">
        <v>-1</v>
      </c>
      <c r="D49" s="3"/>
      <c r="E49" s="3"/>
      <c r="F49" s="11"/>
      <c r="G49" s="11"/>
      <c r="H49" s="3"/>
      <c r="I49" s="11"/>
      <c r="J49" s="11"/>
      <c r="K49" s="11"/>
      <c r="L49" s="11"/>
      <c r="M49" s="17"/>
      <c r="N49" s="11"/>
      <c r="O49" s="3"/>
      <c r="P49" s="11"/>
      <c r="Q49" s="11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30" customHeight="1" x14ac:dyDescent="0.35">
      <c r="A50" s="109" t="s">
        <v>38</v>
      </c>
      <c r="B50" s="102">
        <f>B33</f>
        <v>145.6971551626597</v>
      </c>
      <c r="C50" s="103">
        <f>B15</f>
        <v>2.89</v>
      </c>
      <c r="D50" s="3"/>
      <c r="E50" s="3"/>
      <c r="F50" s="11"/>
      <c r="G50" s="11"/>
      <c r="H50" s="3"/>
      <c r="I50" s="11"/>
      <c r="J50" s="11"/>
      <c r="K50" s="11"/>
      <c r="L50" s="11"/>
      <c r="M50" s="17"/>
      <c r="N50" s="11"/>
      <c r="O50" s="3"/>
      <c r="P50" s="11"/>
      <c r="Q50" s="11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8" x14ac:dyDescent="0.35">
      <c r="A51" s="110"/>
      <c r="B51" s="102">
        <f>B36</f>
        <v>551.25</v>
      </c>
      <c r="C51" s="103">
        <f>B15</f>
        <v>2.89</v>
      </c>
      <c r="D51" s="3"/>
      <c r="E51" s="3"/>
      <c r="F51" s="11"/>
      <c r="G51" s="11"/>
      <c r="H51" s="3"/>
      <c r="I51" s="11"/>
      <c r="J51" s="11"/>
      <c r="K51" s="11"/>
      <c r="L51" s="11"/>
      <c r="M51" s="17"/>
      <c r="N51" s="11"/>
      <c r="O51" s="3"/>
      <c r="P51" s="11"/>
      <c r="Q51" s="11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8" x14ac:dyDescent="0.35">
      <c r="A52" s="109" t="s">
        <v>89</v>
      </c>
      <c r="B52" s="102">
        <f>D31</f>
        <v>121.20405460600621</v>
      </c>
      <c r="C52" s="103">
        <f>B16</f>
        <v>-1</v>
      </c>
      <c r="D52" s="3"/>
      <c r="E52" s="3"/>
      <c r="F52" s="11"/>
      <c r="G52" s="11"/>
      <c r="H52" s="3"/>
      <c r="I52" s="11"/>
      <c r="J52" s="11"/>
      <c r="K52" s="11"/>
      <c r="L52" s="11"/>
      <c r="M52" s="17"/>
      <c r="N52" s="11"/>
      <c r="O52" s="3"/>
      <c r="P52" s="11"/>
      <c r="Q52" s="11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54" customHeight="1" x14ac:dyDescent="0.35">
      <c r="A53" s="111"/>
      <c r="B53" s="90">
        <f>B34</f>
        <v>441</v>
      </c>
      <c r="C53" s="103">
        <f>B16</f>
        <v>-1</v>
      </c>
      <c r="D53" s="3"/>
      <c r="E53" s="3"/>
      <c r="F53" s="11"/>
      <c r="G53" s="11"/>
      <c r="H53" s="3"/>
      <c r="I53" s="11"/>
      <c r="J53" s="11"/>
      <c r="K53" s="11"/>
      <c r="L53" s="11"/>
      <c r="M53" s="17"/>
      <c r="N53" s="11"/>
      <c r="O53" s="3"/>
      <c r="P53" s="11"/>
      <c r="Q53" s="11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8" x14ac:dyDescent="0.35">
      <c r="A54" s="112" t="s">
        <v>39</v>
      </c>
      <c r="B54" s="79">
        <v>0</v>
      </c>
      <c r="C54" s="83">
        <v>0</v>
      </c>
      <c r="D54" s="3"/>
      <c r="E54" s="3"/>
      <c r="F54" s="11"/>
      <c r="G54" s="11"/>
      <c r="H54" s="3"/>
      <c r="I54" s="11"/>
      <c r="J54" s="11"/>
      <c r="K54" s="11"/>
      <c r="L54" s="11"/>
      <c r="M54" s="17"/>
      <c r="N54" s="11"/>
      <c r="O54" s="3"/>
      <c r="P54" s="11"/>
      <c r="Q54" s="11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8" x14ac:dyDescent="0.35">
      <c r="A55" s="113"/>
      <c r="B55" s="79">
        <f>B32</f>
        <v>98.559840257093327</v>
      </c>
      <c r="C55" s="84">
        <v>2</v>
      </c>
      <c r="D55" s="3"/>
      <c r="E55" s="3"/>
      <c r="F55" s="11"/>
      <c r="G55" s="11"/>
      <c r="H55" s="3"/>
      <c r="I55" s="11"/>
      <c r="J55" s="11"/>
      <c r="K55" s="11"/>
      <c r="L55" s="11"/>
      <c r="M55" s="17"/>
      <c r="N55" s="11"/>
      <c r="O55" s="3"/>
      <c r="P55" s="11"/>
      <c r="Q55" s="11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8" x14ac:dyDescent="0.35">
      <c r="A56" s="114" t="s">
        <v>40</v>
      </c>
      <c r="B56" s="85">
        <f>B33</f>
        <v>145.6971551626597</v>
      </c>
      <c r="C56" s="79">
        <v>0</v>
      </c>
      <c r="D56" s="5"/>
      <c r="E56" s="5"/>
      <c r="F56" s="11"/>
      <c r="G56" s="11"/>
      <c r="H56" s="3"/>
      <c r="I56" s="11"/>
      <c r="J56" s="11"/>
      <c r="K56" s="11"/>
      <c r="L56" s="11"/>
      <c r="M56" s="17"/>
      <c r="N56" s="11"/>
      <c r="O56" s="3"/>
      <c r="P56" s="11"/>
      <c r="Q56" s="11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8" x14ac:dyDescent="0.35">
      <c r="A57" s="114"/>
      <c r="B57" s="85">
        <f>B33</f>
        <v>145.6971551626597</v>
      </c>
      <c r="C57" s="86">
        <f>B15</f>
        <v>2.89</v>
      </c>
      <c r="D57" s="5"/>
      <c r="E57" s="5"/>
      <c r="F57" s="11"/>
      <c r="G57" s="11"/>
      <c r="H57" s="3"/>
      <c r="I57" s="11"/>
      <c r="J57" s="11"/>
      <c r="K57" s="11"/>
      <c r="L57" s="11"/>
      <c r="M57" s="17"/>
      <c r="N57" s="11"/>
      <c r="O57" s="3"/>
      <c r="P57" s="11"/>
      <c r="Q57" s="11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8" x14ac:dyDescent="0.35">
      <c r="A58" s="112" t="s">
        <v>41</v>
      </c>
      <c r="B58" s="85">
        <f>B34</f>
        <v>441</v>
      </c>
      <c r="C58" s="79">
        <f>B16</f>
        <v>-1</v>
      </c>
      <c r="D58" s="5"/>
      <c r="E58" s="5"/>
      <c r="F58" s="11"/>
      <c r="G58" s="11"/>
      <c r="H58" s="3"/>
      <c r="I58" s="11"/>
      <c r="J58" s="11"/>
      <c r="K58" s="11"/>
      <c r="L58" s="11"/>
      <c r="M58" s="17"/>
      <c r="N58" s="11"/>
      <c r="O58" s="3"/>
      <c r="P58" s="11"/>
      <c r="Q58" s="11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8" x14ac:dyDescent="0.35">
      <c r="A59" s="114"/>
      <c r="B59" s="85">
        <f>B34</f>
        <v>441</v>
      </c>
      <c r="C59" s="86">
        <f>B15</f>
        <v>2.89</v>
      </c>
      <c r="D59" s="5"/>
      <c r="E59" s="5"/>
      <c r="F59" s="11"/>
      <c r="G59" s="11"/>
      <c r="H59" s="3"/>
      <c r="I59" s="11"/>
      <c r="J59" s="11"/>
      <c r="K59" s="11"/>
      <c r="L59" s="11"/>
      <c r="M59" s="17"/>
      <c r="N59" s="11"/>
      <c r="O59" s="3"/>
      <c r="P59" s="11"/>
      <c r="Q59" s="11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8" x14ac:dyDescent="0.35">
      <c r="A60" s="112" t="s">
        <v>42</v>
      </c>
      <c r="B60" s="79">
        <f>B35</f>
        <v>496.125</v>
      </c>
      <c r="C60" s="87">
        <v>0</v>
      </c>
      <c r="D60" s="3"/>
      <c r="E60" s="3"/>
      <c r="F60" s="11"/>
      <c r="G60" s="11"/>
      <c r="H60" s="3"/>
      <c r="I60" s="11"/>
      <c r="J60" s="11"/>
      <c r="K60" s="11"/>
      <c r="L60" s="11"/>
      <c r="M60" s="17"/>
      <c r="N60" s="11"/>
      <c r="O60" s="3"/>
      <c r="P60" s="11"/>
      <c r="Q60" s="11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8" x14ac:dyDescent="0.35">
      <c r="A61" s="113"/>
      <c r="B61" s="79">
        <f>B35</f>
        <v>496.125</v>
      </c>
      <c r="C61" s="86">
        <v>0</v>
      </c>
      <c r="D61" s="3"/>
      <c r="E61" s="3"/>
      <c r="F61" s="11"/>
      <c r="G61" s="11"/>
      <c r="H61" s="3"/>
      <c r="I61" s="11"/>
      <c r="J61" s="11"/>
      <c r="K61" s="11"/>
      <c r="L61" s="11"/>
      <c r="M61" s="17"/>
      <c r="N61" s="11"/>
      <c r="O61" s="3"/>
      <c r="P61" s="11"/>
      <c r="Q61" s="11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8" x14ac:dyDescent="0.35">
      <c r="A62" s="114" t="s">
        <v>43</v>
      </c>
      <c r="B62" s="79">
        <f>B36</f>
        <v>551.25</v>
      </c>
      <c r="C62" s="79">
        <v>0</v>
      </c>
      <c r="D62" s="3"/>
      <c r="E62" s="3"/>
      <c r="F62" s="11"/>
      <c r="G62" s="11"/>
      <c r="H62" s="3"/>
      <c r="I62" s="11"/>
      <c r="J62" s="11"/>
      <c r="K62" s="11"/>
      <c r="L62" s="11"/>
      <c r="M62" s="17"/>
      <c r="N62" s="11"/>
      <c r="O62" s="3"/>
      <c r="P62" s="11"/>
      <c r="Q62" s="11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8" x14ac:dyDescent="0.35">
      <c r="A63" s="113"/>
      <c r="B63" s="79">
        <f>B36</f>
        <v>551.25</v>
      </c>
      <c r="C63" s="86">
        <f>B15</f>
        <v>2.89</v>
      </c>
      <c r="D63" s="3"/>
      <c r="E63" s="3"/>
      <c r="F63" s="11"/>
      <c r="G63" s="11"/>
      <c r="H63" s="3"/>
      <c r="I63" s="11"/>
      <c r="J63" s="11"/>
      <c r="K63" s="11"/>
      <c r="L63" s="11"/>
      <c r="M63" s="17"/>
      <c r="N63" s="11"/>
      <c r="O63" s="3"/>
      <c r="P63" s="11"/>
      <c r="Q63" s="11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8" x14ac:dyDescent="0.35">
      <c r="A64" s="115" t="s">
        <v>44</v>
      </c>
      <c r="B64" s="38">
        <f>B58</f>
        <v>441</v>
      </c>
      <c r="C64" s="81">
        <f>C58</f>
        <v>-1</v>
      </c>
      <c r="D64" s="3"/>
      <c r="E64" s="3"/>
      <c r="F64" s="11"/>
      <c r="G64" s="11"/>
      <c r="H64" s="3"/>
      <c r="I64" s="11"/>
      <c r="J64" s="11"/>
      <c r="K64" s="11"/>
      <c r="L64" s="11"/>
      <c r="M64" s="17"/>
      <c r="N64" s="11"/>
      <c r="O64" s="3"/>
      <c r="P64" s="11"/>
      <c r="Q64" s="11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8" x14ac:dyDescent="0.35">
      <c r="A65" s="116"/>
      <c r="B65" s="38">
        <f>B62</f>
        <v>551.25</v>
      </c>
      <c r="C65" s="38">
        <v>0</v>
      </c>
      <c r="D65" s="3"/>
      <c r="E65" s="3"/>
      <c r="F65" s="11"/>
      <c r="G65" s="11"/>
      <c r="H65" s="3"/>
      <c r="I65" s="11"/>
      <c r="J65" s="11"/>
      <c r="K65" s="11"/>
      <c r="L65" s="11"/>
      <c r="M65" s="17"/>
      <c r="N65" s="11"/>
      <c r="O65" s="3"/>
      <c r="P65" s="11"/>
      <c r="Q65" s="11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8" x14ac:dyDescent="0.35">
      <c r="A66" s="117" t="s">
        <v>45</v>
      </c>
      <c r="B66" s="91">
        <v>0</v>
      </c>
      <c r="C66" s="82">
        <f>B41</f>
        <v>3.6125000000000003</v>
      </c>
      <c r="D66" s="3"/>
      <c r="E66" s="3"/>
      <c r="F66" s="11"/>
      <c r="G66" s="11"/>
      <c r="H66" s="3"/>
      <c r="I66" s="11"/>
      <c r="J66" s="11"/>
      <c r="K66" s="11"/>
      <c r="L66" s="11"/>
      <c r="M66" s="17"/>
      <c r="N66" s="11"/>
      <c r="O66" s="3"/>
      <c r="P66" s="11"/>
      <c r="Q66" s="11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8" x14ac:dyDescent="0.35">
      <c r="A67" s="106"/>
      <c r="B67" s="82">
        <f>B36</f>
        <v>551.25</v>
      </c>
      <c r="C67" s="82">
        <f>C66</f>
        <v>3.6125000000000003</v>
      </c>
      <c r="D67" s="3"/>
      <c r="E67" s="3"/>
      <c r="F67" s="11"/>
      <c r="G67" s="11"/>
      <c r="H67" s="3"/>
      <c r="I67" s="11"/>
      <c r="J67" s="11"/>
      <c r="K67" s="11"/>
      <c r="L67" s="11"/>
      <c r="M67" s="17"/>
      <c r="N67" s="11"/>
      <c r="O67" s="3"/>
      <c r="P67" s="11"/>
      <c r="Q67" s="11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8" x14ac:dyDescent="0.35">
      <c r="A68" s="105" t="s">
        <v>46</v>
      </c>
      <c r="B68" s="91">
        <v>0</v>
      </c>
      <c r="C68" s="82">
        <f>B42</f>
        <v>4.335</v>
      </c>
      <c r="D68" s="3"/>
      <c r="E68" s="3"/>
      <c r="F68" s="11"/>
      <c r="G68" s="11"/>
      <c r="H68" s="3"/>
      <c r="I68" s="11"/>
      <c r="J68" s="11"/>
      <c r="K68" s="11"/>
      <c r="L68" s="11"/>
      <c r="M68" s="17"/>
      <c r="N68" s="11"/>
      <c r="O68" s="3"/>
      <c r="P68" s="11"/>
      <c r="Q68" s="11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8" x14ac:dyDescent="0.35">
      <c r="A69" s="106"/>
      <c r="B69" s="82">
        <f>B67</f>
        <v>551.25</v>
      </c>
      <c r="C69" s="82">
        <f>C68</f>
        <v>4.335</v>
      </c>
      <c r="D69" s="3"/>
      <c r="E69" s="3"/>
      <c r="F69" s="11"/>
      <c r="G69" s="11"/>
      <c r="H69" s="3"/>
      <c r="I69" s="11"/>
      <c r="J69" s="11"/>
      <c r="K69" s="11"/>
      <c r="L69" s="11"/>
      <c r="M69" s="17"/>
      <c r="N69" s="11"/>
      <c r="O69" s="3"/>
      <c r="P69" s="11"/>
      <c r="Q69" s="11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8" x14ac:dyDescent="0.35">
      <c r="A70" s="104" t="s">
        <v>91</v>
      </c>
      <c r="B70" s="65">
        <f>B46</f>
        <v>85.704208919211595</v>
      </c>
      <c r="C70" s="66">
        <v>0</v>
      </c>
      <c r="D70" s="3"/>
      <c r="E70" s="3"/>
      <c r="F70" s="3"/>
      <c r="G70" s="3"/>
      <c r="H70" s="3"/>
      <c r="I70" s="3"/>
      <c r="J70" s="3"/>
      <c r="K70" s="3"/>
      <c r="L70" s="11"/>
      <c r="M70" s="17"/>
      <c r="N70" s="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8" x14ac:dyDescent="0.35">
      <c r="A71" s="104"/>
      <c r="B71" s="65">
        <f>B48</f>
        <v>121.20405460600621</v>
      </c>
      <c r="C71" s="66">
        <v>0</v>
      </c>
      <c r="D71" s="3"/>
      <c r="E71" s="3"/>
      <c r="F71" s="3"/>
      <c r="G71" s="3"/>
      <c r="H71" s="3"/>
      <c r="I71" s="3"/>
      <c r="J71" s="3"/>
      <c r="K71" s="3"/>
      <c r="L71" s="11"/>
      <c r="M71" s="17"/>
      <c r="N71" s="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8" x14ac:dyDescent="0.35">
      <c r="A72" s="29"/>
      <c r="B72" s="3"/>
      <c r="C72" s="3"/>
      <c r="D72" s="3"/>
      <c r="E72" s="3"/>
      <c r="F72" s="3"/>
      <c r="G72" s="3"/>
      <c r="H72" s="3"/>
      <c r="I72" s="3"/>
      <c r="J72" s="3"/>
      <c r="K72" s="3"/>
      <c r="L72" s="11"/>
      <c r="M72" s="17"/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8" x14ac:dyDescent="0.35">
      <c r="A73" s="29"/>
      <c r="B73" s="30"/>
      <c r="C73" s="30"/>
      <c r="D73" s="3"/>
      <c r="E73" s="3"/>
      <c r="F73" s="3"/>
      <c r="G73" s="3"/>
      <c r="H73" s="3"/>
      <c r="I73" s="3"/>
      <c r="J73" s="3"/>
      <c r="K73" s="3"/>
      <c r="L73" s="11"/>
      <c r="M73" s="17"/>
      <c r="N73" s="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8" x14ac:dyDescent="0.35">
      <c r="A74" s="3" t="s">
        <v>90</v>
      </c>
      <c r="B74" s="3">
        <v>0</v>
      </c>
      <c r="C74" s="3">
        <v>1</v>
      </c>
      <c r="D74" s="3"/>
      <c r="E74" s="3"/>
      <c r="F74" s="3"/>
      <c r="G74" s="3"/>
      <c r="H74" s="3"/>
      <c r="I74" s="3"/>
      <c r="J74" s="3"/>
      <c r="K74" s="3"/>
      <c r="L74" s="11"/>
      <c r="M74" s="17"/>
      <c r="N74" s="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8" x14ac:dyDescent="0.35">
      <c r="A75" s="3"/>
      <c r="B75" s="30">
        <f>B36</f>
        <v>551.25</v>
      </c>
      <c r="C75" s="3">
        <v>1</v>
      </c>
      <c r="D75" s="3"/>
      <c r="E75" s="3"/>
      <c r="F75" s="3"/>
      <c r="G75" s="3"/>
      <c r="H75" s="3"/>
      <c r="I75" s="3"/>
      <c r="J75" s="3"/>
      <c r="K75" s="3"/>
      <c r="L75" s="11"/>
      <c r="M75" s="17"/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8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11"/>
      <c r="M76" s="17"/>
      <c r="N76" s="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8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11"/>
      <c r="M77" s="17"/>
      <c r="N77" s="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8" x14ac:dyDescent="0.35">
      <c r="A78" s="29"/>
      <c r="B78" s="3"/>
      <c r="C78" s="3"/>
      <c r="D78" s="3"/>
      <c r="E78" s="3"/>
      <c r="F78" s="3"/>
      <c r="G78" s="3"/>
      <c r="H78" s="3"/>
      <c r="I78" s="3"/>
      <c r="J78" s="3"/>
      <c r="K78" s="3"/>
      <c r="L78" s="11"/>
      <c r="M78" s="17"/>
      <c r="N78" s="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8" x14ac:dyDescent="0.35">
      <c r="A79" s="29"/>
      <c r="B79" s="3"/>
      <c r="C79" s="3"/>
      <c r="D79" s="3"/>
      <c r="E79" s="3"/>
      <c r="F79" s="3"/>
      <c r="G79" s="3"/>
      <c r="H79" s="3"/>
      <c r="I79" s="3"/>
      <c r="J79" s="3"/>
      <c r="K79" s="3"/>
      <c r="L79" s="11"/>
      <c r="M79" s="17"/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8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11"/>
      <c r="M80" s="17"/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8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11"/>
      <c r="M81" s="17"/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8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11"/>
      <c r="M82" s="17"/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8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11"/>
      <c r="M83" s="17"/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</sheetData>
  <mergeCells count="55">
    <mergeCell ref="Y4:AA4"/>
    <mergeCell ref="B42:C42"/>
    <mergeCell ref="B35:C35"/>
    <mergeCell ref="B36:C36"/>
    <mergeCell ref="B37:C37"/>
    <mergeCell ref="B40:C40"/>
    <mergeCell ref="B41:C41"/>
    <mergeCell ref="B39:C39"/>
    <mergeCell ref="D4:M4"/>
    <mergeCell ref="N4:W4"/>
    <mergeCell ref="A1:A3"/>
    <mergeCell ref="B1:C3"/>
    <mergeCell ref="B4:C4"/>
    <mergeCell ref="B33:C33"/>
    <mergeCell ref="B34:C34"/>
    <mergeCell ref="B23:C23"/>
    <mergeCell ref="B24:C24"/>
    <mergeCell ref="B25:C25"/>
    <mergeCell ref="B26:C26"/>
    <mergeCell ref="B27:C27"/>
    <mergeCell ref="B30:C30"/>
    <mergeCell ref="B28:C28"/>
    <mergeCell ref="B31:C31"/>
    <mergeCell ref="B32:C32"/>
    <mergeCell ref="B19:C19"/>
    <mergeCell ref="B20:C20"/>
    <mergeCell ref="B21:C21"/>
    <mergeCell ref="B22:C22"/>
    <mergeCell ref="B10:C10"/>
    <mergeCell ref="B11:C11"/>
    <mergeCell ref="B12:C12"/>
    <mergeCell ref="B13:C13"/>
    <mergeCell ref="B17:C17"/>
    <mergeCell ref="B14:C14"/>
    <mergeCell ref="B15:C15"/>
    <mergeCell ref="B16:C16"/>
    <mergeCell ref="B18:C18"/>
    <mergeCell ref="B5:C5"/>
    <mergeCell ref="B6:C6"/>
    <mergeCell ref="B7:C7"/>
    <mergeCell ref="B8:C8"/>
    <mergeCell ref="B9:C9"/>
    <mergeCell ref="A70:A71"/>
    <mergeCell ref="A68:A69"/>
    <mergeCell ref="A46:A47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48:A4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FDC8-2057-4B9A-BFF3-733BB1AA8140}">
  <dimension ref="A1:AB83"/>
  <sheetViews>
    <sheetView tabSelected="1" topLeftCell="A5" zoomScale="57" zoomScaleNormal="60" workbookViewId="0">
      <selection activeCell="H28" sqref="H28"/>
    </sheetView>
  </sheetViews>
  <sheetFormatPr baseColWidth="10" defaultColWidth="11.44140625" defaultRowHeight="14.4" x14ac:dyDescent="0.3"/>
  <cols>
    <col min="1" max="1" width="49.21875" customWidth="1"/>
    <col min="2" max="2" width="11.109375" customWidth="1"/>
    <col min="3" max="3" width="11.21875" customWidth="1"/>
    <col min="4" max="5" width="14.21875" customWidth="1"/>
    <col min="6" max="6" width="22.88671875" customWidth="1"/>
    <col min="7" max="7" width="16.44140625" customWidth="1"/>
    <col min="8" max="8" width="22.5546875" customWidth="1"/>
    <col min="9" max="9" width="12" customWidth="1"/>
    <col min="10" max="10" width="14.5546875" bestFit="1" customWidth="1"/>
    <col min="11" max="11" width="16.6640625" customWidth="1"/>
    <col min="12" max="12" width="16.44140625" style="2" customWidth="1"/>
    <col min="13" max="13" width="14.109375" style="4" customWidth="1"/>
    <col min="14" max="14" width="18.88671875" style="1" customWidth="1"/>
    <col min="15" max="15" width="12.33203125" customWidth="1"/>
    <col min="18" max="18" width="22.6640625" customWidth="1"/>
    <col min="19" max="19" width="21.6640625" customWidth="1"/>
    <col min="20" max="21" width="22.33203125" customWidth="1"/>
    <col min="22" max="22" width="22" customWidth="1"/>
    <col min="23" max="23" width="22.5546875" customWidth="1"/>
  </cols>
  <sheetData>
    <row r="1" spans="1:28" x14ac:dyDescent="0.3">
      <c r="A1" s="151" t="s">
        <v>64</v>
      </c>
      <c r="B1" s="151" t="s">
        <v>63</v>
      </c>
      <c r="C1" s="151"/>
      <c r="Q1" s="72" t="s">
        <v>86</v>
      </c>
      <c r="R1" s="32">
        <v>35.772444440000001</v>
      </c>
      <c r="S1" s="73" t="s">
        <v>87</v>
      </c>
      <c r="T1" s="32">
        <v>35.772444440000001</v>
      </c>
      <c r="U1" s="74" t="s">
        <v>88</v>
      </c>
      <c r="V1" s="32">
        <f>T1*0.5</f>
        <v>17.886222220000001</v>
      </c>
    </row>
    <row r="2" spans="1:28" x14ac:dyDescent="0.3">
      <c r="A2" s="151"/>
      <c r="B2" s="151"/>
      <c r="C2" s="151"/>
      <c r="D2" s="25" t="s">
        <v>79</v>
      </c>
      <c r="E2" s="25"/>
      <c r="F2" s="25">
        <f>B8/22</f>
        <v>15.058145454545457</v>
      </c>
    </row>
    <row r="3" spans="1:28" x14ac:dyDescent="0.3">
      <c r="A3" s="151"/>
      <c r="B3" s="151"/>
      <c r="C3" s="151"/>
    </row>
    <row r="4" spans="1:28" ht="18" x14ac:dyDescent="0.35">
      <c r="B4" s="128"/>
      <c r="C4" s="129"/>
      <c r="D4" s="126" t="s">
        <v>47</v>
      </c>
      <c r="E4" s="126"/>
      <c r="F4" s="126"/>
      <c r="G4" s="126"/>
      <c r="H4" s="126"/>
      <c r="I4" s="126"/>
      <c r="J4" s="126"/>
      <c r="K4" s="126"/>
      <c r="L4" s="126"/>
      <c r="M4" s="126"/>
      <c r="N4" s="126" t="s">
        <v>48</v>
      </c>
      <c r="O4" s="126"/>
      <c r="P4" s="126"/>
      <c r="Q4" s="126"/>
      <c r="R4" s="126"/>
      <c r="S4" s="126"/>
      <c r="T4" s="126"/>
      <c r="U4" s="126"/>
      <c r="V4" s="126"/>
      <c r="W4" s="126"/>
    </row>
    <row r="5" spans="1:28" ht="54" x14ac:dyDescent="0.35">
      <c r="A5" s="71" t="s">
        <v>77</v>
      </c>
      <c r="B5" s="143">
        <v>20200</v>
      </c>
      <c r="C5" s="143"/>
      <c r="D5" s="39" t="s">
        <v>54</v>
      </c>
      <c r="E5" s="40" t="s">
        <v>0</v>
      </c>
      <c r="F5" s="41" t="s">
        <v>1</v>
      </c>
      <c r="G5" s="39" t="s">
        <v>2</v>
      </c>
      <c r="H5" s="39" t="s">
        <v>3</v>
      </c>
      <c r="I5" s="41" t="s">
        <v>4</v>
      </c>
      <c r="J5" s="41" t="s">
        <v>5</v>
      </c>
      <c r="K5" s="39" t="s">
        <v>85</v>
      </c>
      <c r="L5" s="42" t="s">
        <v>6</v>
      </c>
      <c r="M5" s="43" t="s">
        <v>7</v>
      </c>
      <c r="N5" s="44" t="s">
        <v>8</v>
      </c>
      <c r="O5" s="44" t="s">
        <v>9</v>
      </c>
      <c r="P5" s="75" t="s">
        <v>53</v>
      </c>
      <c r="Q5" s="46" t="s">
        <v>10</v>
      </c>
      <c r="R5" s="44" t="s">
        <v>62</v>
      </c>
      <c r="S5" s="44" t="s">
        <v>57</v>
      </c>
      <c r="T5" s="44" t="s">
        <v>58</v>
      </c>
      <c r="U5" s="44" t="s">
        <v>59</v>
      </c>
      <c r="V5" s="44" t="s">
        <v>60</v>
      </c>
      <c r="W5" s="44" t="s">
        <v>61</v>
      </c>
      <c r="X5" s="10"/>
      <c r="Y5" s="10"/>
      <c r="Z5" s="3"/>
      <c r="AA5" s="3"/>
      <c r="AB5" s="3"/>
    </row>
    <row r="6" spans="1:28" ht="18" x14ac:dyDescent="0.35">
      <c r="A6" s="71" t="s">
        <v>11</v>
      </c>
      <c r="B6" s="143">
        <v>31000</v>
      </c>
      <c r="C6" s="143"/>
      <c r="D6" s="31">
        <f>E6*0.514</f>
        <v>0</v>
      </c>
      <c r="E6" s="11">
        <v>0</v>
      </c>
      <c r="F6" s="11">
        <f t="shared" ref="F6:F20" si="0">E6/$B$9</f>
        <v>0</v>
      </c>
      <c r="G6" s="11">
        <f t="shared" ref="G6:G20" si="1">0.5*$B$26*((E6*1.6878)^2)</f>
        <v>0</v>
      </c>
      <c r="H6" s="20">
        <v>1</v>
      </c>
      <c r="I6" s="11">
        <f t="shared" ref="I6:I20" si="2">$B$10</f>
        <v>2.2000000000000002</v>
      </c>
      <c r="J6" s="11">
        <f t="shared" ref="J6:J20" si="3">$B$28</f>
        <v>-1.1000000000000001</v>
      </c>
      <c r="K6" s="11">
        <f t="shared" ref="K6:K20" si="4">(I6*G6*1.15)/$B$14</f>
        <v>0</v>
      </c>
      <c r="L6" s="11">
        <f t="shared" ref="L6:L20" si="5">(I6*G6)/$B$14</f>
        <v>0</v>
      </c>
      <c r="M6" s="11">
        <f t="shared" ref="M6:M20" si="6">(J6*G6)/$B$14</f>
        <v>0</v>
      </c>
      <c r="N6" s="20">
        <v>1</v>
      </c>
      <c r="O6" s="11">
        <f t="shared" ref="O6:O20" si="7">$B$25*N6</f>
        <v>5.265894666864761</v>
      </c>
      <c r="P6" s="11">
        <f t="shared" ref="P6:P20" si="8">(2*$B$5)/($B$26*$B$27*$B$13*O6*32.174)</f>
        <v>109.64979935084077</v>
      </c>
      <c r="Q6" s="20">
        <f>(0.88*P6)/(5.3+P6)</f>
        <v>0.83942576649686096</v>
      </c>
      <c r="R6" s="11">
        <f>1+(Q6*$R$1*E6*O6*$B$26*$B$13*1.688)/(2*$B$5)</f>
        <v>1</v>
      </c>
      <c r="S6" s="11">
        <f>1-(Q6*$R$1*E6*O6*$B$26*$B$13*1.688)/(2*$B$5)</f>
        <v>1</v>
      </c>
      <c r="T6" s="11">
        <f>1+(Q6*$T$1*E6*O6*$B$26*$B$13*1.688)/(2*$B$5)</f>
        <v>1</v>
      </c>
      <c r="U6" s="11">
        <f>1-(Q6*$T$1*E6*O6*$B$26*$B$13*1.688)/(2*$B$5)</f>
        <v>1</v>
      </c>
      <c r="V6" s="11">
        <f>1+(Q6*$V$1*E6*O6*$B$26*$B$13*1.688)/(2*$B$5)</f>
        <v>1</v>
      </c>
      <c r="W6" s="11">
        <f>1-(Q6*$V$1*E6*O6*$B$26*$B$13*1.688)/(2*$B$5)</f>
        <v>1</v>
      </c>
      <c r="X6" s="3"/>
      <c r="Y6" s="3"/>
      <c r="Z6" s="3"/>
      <c r="AA6" s="3"/>
      <c r="AB6" s="3"/>
    </row>
    <row r="7" spans="1:28" ht="18" x14ac:dyDescent="0.35">
      <c r="A7" s="71" t="s">
        <v>12</v>
      </c>
      <c r="B7" s="143">
        <f>441*0.60096</f>
        <v>265.02336000000003</v>
      </c>
      <c r="C7" s="143"/>
      <c r="D7" s="31">
        <f t="shared" ref="D7:D20" si="9">E7*0.514</f>
        <v>12.85</v>
      </c>
      <c r="E7" s="11">
        <f>25</f>
        <v>25</v>
      </c>
      <c r="F7" s="11">
        <f t="shared" si="0"/>
        <v>7.0883778956023699E-2</v>
      </c>
      <c r="G7" s="11">
        <f t="shared" si="1"/>
        <v>0.76416965967419992</v>
      </c>
      <c r="H7" s="20">
        <v>1</v>
      </c>
      <c r="I7" s="11">
        <f t="shared" si="2"/>
        <v>2.2000000000000002</v>
      </c>
      <c r="J7" s="11">
        <f t="shared" si="3"/>
        <v>-1.1000000000000001</v>
      </c>
      <c r="K7" s="11">
        <f t="shared" si="4"/>
        <v>3.538411948759039E-2</v>
      </c>
      <c r="L7" s="11">
        <f t="shared" si="5"/>
        <v>3.0768799554426428E-2</v>
      </c>
      <c r="M7" s="11">
        <f t="shared" si="6"/>
        <v>-1.5384399777213214E-2</v>
      </c>
      <c r="N7" s="20">
        <v>1</v>
      </c>
      <c r="O7" s="11">
        <f t="shared" si="7"/>
        <v>5.265894666864761</v>
      </c>
      <c r="P7" s="11">
        <f t="shared" si="8"/>
        <v>109.64979935084077</v>
      </c>
      <c r="Q7" s="20">
        <f t="shared" ref="Q7:Q20" si="10">(0.88*P7)/(5.3+P7)</f>
        <v>0.83942576649686096</v>
      </c>
      <c r="R7" s="11">
        <f t="shared" ref="R7:R20" si="11">1+(Q7*$R$1*E7*O7*$B$26*$B$13*1.688)/(2*$B$5)</f>
        <v>1.0524181177066492</v>
      </c>
      <c r="S7" s="11">
        <f t="shared" ref="S7:S20" si="12">1-(Q7*$R$1*E7*O7*$B$26*$B$13*1.688)/(2*$B$5)</f>
        <v>0.94758188229335094</v>
      </c>
      <c r="T7" s="11">
        <f t="shared" ref="T7:T20" si="13">1+(Q7*$T$1*E7*O7*$B$26*$B$13*1.688)/(2*$B$5)</f>
        <v>1.0524181177066492</v>
      </c>
      <c r="U7" s="11">
        <f t="shared" ref="U7:U20" si="14">1-(Q7*$T$1*E7*O7*$B$26*$B$13*1.688)/(2*$B$5)</f>
        <v>0.94758188229335094</v>
      </c>
      <c r="V7" s="11">
        <f t="shared" ref="V7:V20" si="15">1+(Q7*$V$1*E7*O7*$B$26*$B$13*1.688)/(2*$B$5)</f>
        <v>1.0262090588533246</v>
      </c>
      <c r="W7" s="11">
        <f t="shared" ref="W7:W20" si="16">1-(Q7*$V$1*E7*O7*$B$26*$B$13*1.688)/(2*$B$5)</f>
        <v>0.97379094114667542</v>
      </c>
      <c r="X7" s="3"/>
      <c r="Y7" s="3"/>
      <c r="Z7" s="3"/>
      <c r="AA7" s="3"/>
      <c r="AB7" s="3"/>
    </row>
    <row r="8" spans="1:28" ht="18" x14ac:dyDescent="0.35">
      <c r="A8" s="71" t="s">
        <v>13</v>
      </c>
      <c r="B8" s="143">
        <f>1.25*B7</f>
        <v>331.27920000000006</v>
      </c>
      <c r="C8" s="143"/>
      <c r="D8" s="31">
        <f t="shared" si="9"/>
        <v>25.7</v>
      </c>
      <c r="E8" s="11">
        <f>25+E7</f>
        <v>50</v>
      </c>
      <c r="F8" s="11">
        <f t="shared" si="0"/>
        <v>0.1417675579120474</v>
      </c>
      <c r="G8" s="11">
        <f t="shared" si="1"/>
        <v>3.0566786386967997</v>
      </c>
      <c r="H8" s="20">
        <v>1</v>
      </c>
      <c r="I8" s="11">
        <f t="shared" si="2"/>
        <v>2.2000000000000002</v>
      </c>
      <c r="J8" s="11">
        <f t="shared" si="3"/>
        <v>-1.1000000000000001</v>
      </c>
      <c r="K8" s="11">
        <f t="shared" si="4"/>
        <v>0.14153647795036156</v>
      </c>
      <c r="L8" s="11">
        <f t="shared" si="5"/>
        <v>0.12307519821770571</v>
      </c>
      <c r="M8" s="11">
        <f t="shared" si="6"/>
        <v>-6.1537599108852856E-2</v>
      </c>
      <c r="N8" s="20">
        <v>1</v>
      </c>
      <c r="O8" s="11">
        <f t="shared" si="7"/>
        <v>5.265894666864761</v>
      </c>
      <c r="P8" s="11">
        <f t="shared" si="8"/>
        <v>109.64979935084077</v>
      </c>
      <c r="Q8" s="20">
        <f t="shared" si="10"/>
        <v>0.83942576649686096</v>
      </c>
      <c r="R8" s="11">
        <f t="shared" si="11"/>
        <v>1.1048362354132981</v>
      </c>
      <c r="S8" s="11">
        <f t="shared" si="12"/>
        <v>0.89516376458670188</v>
      </c>
      <c r="T8" s="11">
        <f t="shared" si="13"/>
        <v>1.1048362354132981</v>
      </c>
      <c r="U8" s="11">
        <f t="shared" si="14"/>
        <v>0.89516376458670188</v>
      </c>
      <c r="V8" s="11">
        <f t="shared" si="15"/>
        <v>1.0524181177066492</v>
      </c>
      <c r="W8" s="11">
        <f t="shared" si="16"/>
        <v>0.94758188229335094</v>
      </c>
      <c r="X8" s="3"/>
      <c r="Y8" s="3"/>
      <c r="Z8" s="3"/>
      <c r="AA8" s="3"/>
      <c r="AB8" s="3"/>
    </row>
    <row r="9" spans="1:28" ht="18" x14ac:dyDescent="0.35">
      <c r="A9" s="71" t="s">
        <v>49</v>
      </c>
      <c r="B9" s="143">
        <v>352.69</v>
      </c>
      <c r="C9" s="143"/>
      <c r="D9" s="31">
        <f t="shared" si="9"/>
        <v>38.550000000000004</v>
      </c>
      <c r="E9" s="11">
        <f>25+E8</f>
        <v>75</v>
      </c>
      <c r="F9" s="11">
        <f t="shared" si="0"/>
        <v>0.21265133686807111</v>
      </c>
      <c r="G9" s="11">
        <f t="shared" si="1"/>
        <v>6.8775269370677989</v>
      </c>
      <c r="H9" s="20">
        <v>1</v>
      </c>
      <c r="I9" s="11">
        <f t="shared" si="2"/>
        <v>2.2000000000000002</v>
      </c>
      <c r="J9" s="11">
        <f t="shared" si="3"/>
        <v>-1.1000000000000001</v>
      </c>
      <c r="K9" s="11">
        <f t="shared" si="4"/>
        <v>0.31845707538831347</v>
      </c>
      <c r="L9" s="11">
        <f t="shared" si="5"/>
        <v>0.27691919598983783</v>
      </c>
      <c r="M9" s="11">
        <f t="shared" si="6"/>
        <v>-0.13845959799491891</v>
      </c>
      <c r="N9" s="20">
        <v>1</v>
      </c>
      <c r="O9" s="11">
        <f t="shared" si="7"/>
        <v>5.265894666864761</v>
      </c>
      <c r="P9" s="11">
        <f t="shared" si="8"/>
        <v>109.64979935084077</v>
      </c>
      <c r="Q9" s="20">
        <f t="shared" si="10"/>
        <v>0.83942576649686096</v>
      </c>
      <c r="R9" s="11">
        <f t="shared" si="11"/>
        <v>1.1572543531199473</v>
      </c>
      <c r="S9" s="11">
        <f t="shared" si="12"/>
        <v>0.84274564688005271</v>
      </c>
      <c r="T9" s="11">
        <f t="shared" si="13"/>
        <v>1.1572543531199473</v>
      </c>
      <c r="U9" s="11">
        <f t="shared" si="14"/>
        <v>0.84274564688005271</v>
      </c>
      <c r="V9" s="11">
        <f t="shared" si="15"/>
        <v>1.0786271765599735</v>
      </c>
      <c r="W9" s="11">
        <f t="shared" si="16"/>
        <v>0.92137282344002636</v>
      </c>
      <c r="X9" s="3"/>
      <c r="Y9" s="3"/>
      <c r="Z9" s="3"/>
      <c r="AA9" s="3"/>
      <c r="AB9" s="3"/>
    </row>
    <row r="10" spans="1:28" ht="18" x14ac:dyDescent="0.35">
      <c r="A10" s="71" t="s">
        <v>14</v>
      </c>
      <c r="B10" s="143">
        <v>2.2000000000000002</v>
      </c>
      <c r="C10" s="143"/>
      <c r="D10" s="31">
        <f t="shared" si="9"/>
        <v>51.4</v>
      </c>
      <c r="E10" s="11">
        <f>25+E9</f>
        <v>100</v>
      </c>
      <c r="F10" s="11">
        <f t="shared" si="0"/>
        <v>0.2835351158240948</v>
      </c>
      <c r="G10" s="11">
        <f t="shared" si="1"/>
        <v>12.226714554787199</v>
      </c>
      <c r="H10" s="20">
        <v>1</v>
      </c>
      <c r="I10" s="11">
        <f t="shared" si="2"/>
        <v>2.2000000000000002</v>
      </c>
      <c r="J10" s="11">
        <f t="shared" si="3"/>
        <v>-1.1000000000000001</v>
      </c>
      <c r="K10" s="11">
        <f t="shared" si="4"/>
        <v>0.56614591180144624</v>
      </c>
      <c r="L10" s="11">
        <f t="shared" si="5"/>
        <v>0.49230079287082285</v>
      </c>
      <c r="M10" s="11">
        <f t="shared" si="6"/>
        <v>-0.24615039643541142</v>
      </c>
      <c r="N10" s="20">
        <v>1</v>
      </c>
      <c r="O10" s="11">
        <f t="shared" si="7"/>
        <v>5.265894666864761</v>
      </c>
      <c r="P10" s="11">
        <f t="shared" si="8"/>
        <v>109.64979935084077</v>
      </c>
      <c r="Q10" s="20">
        <f t="shared" si="10"/>
        <v>0.83942576649686096</v>
      </c>
      <c r="R10" s="11">
        <f t="shared" si="11"/>
        <v>1.2096724708265962</v>
      </c>
      <c r="S10" s="11">
        <f t="shared" si="12"/>
        <v>0.79032752917340365</v>
      </c>
      <c r="T10" s="11">
        <f t="shared" si="13"/>
        <v>1.2096724708265962</v>
      </c>
      <c r="U10" s="11">
        <f t="shared" si="14"/>
        <v>0.79032752917340365</v>
      </c>
      <c r="V10" s="11">
        <f t="shared" si="15"/>
        <v>1.1048362354132981</v>
      </c>
      <c r="W10" s="11">
        <f t="shared" si="16"/>
        <v>0.89516376458670188</v>
      </c>
      <c r="X10" s="3"/>
      <c r="Y10" s="3"/>
      <c r="Z10" s="3"/>
      <c r="AA10" s="3"/>
      <c r="AB10" s="3"/>
    </row>
    <row r="11" spans="1:28" ht="18" x14ac:dyDescent="0.35">
      <c r="A11" s="71" t="s">
        <v>83</v>
      </c>
      <c r="B11" s="143">
        <v>32.173999999999999</v>
      </c>
      <c r="C11" s="143"/>
      <c r="D11" s="31">
        <f t="shared" si="9"/>
        <v>64.25</v>
      </c>
      <c r="E11" s="11">
        <f>25+E10</f>
        <v>125</v>
      </c>
      <c r="F11" s="11">
        <f t="shared" si="0"/>
        <v>0.35441889478011851</v>
      </c>
      <c r="G11" s="11">
        <f t="shared" si="1"/>
        <v>19.104241491854999</v>
      </c>
      <c r="H11" s="20">
        <v>1</v>
      </c>
      <c r="I11" s="11">
        <f t="shared" si="2"/>
        <v>2.2000000000000002</v>
      </c>
      <c r="J11" s="11">
        <f t="shared" si="3"/>
        <v>-1.1000000000000001</v>
      </c>
      <c r="K11" s="11">
        <f t="shared" si="4"/>
        <v>0.88460298718975972</v>
      </c>
      <c r="L11" s="11">
        <f t="shared" si="5"/>
        <v>0.76921998886066068</v>
      </c>
      <c r="M11" s="11">
        <f t="shared" si="6"/>
        <v>-0.38460999443033034</v>
      </c>
      <c r="N11" s="20">
        <v>1</v>
      </c>
      <c r="O11" s="11">
        <f t="shared" si="7"/>
        <v>5.265894666864761</v>
      </c>
      <c r="P11" s="11">
        <f t="shared" si="8"/>
        <v>109.64979935084077</v>
      </c>
      <c r="Q11" s="20">
        <f t="shared" si="10"/>
        <v>0.83942576649686096</v>
      </c>
      <c r="R11" s="11">
        <f t="shared" si="11"/>
        <v>1.2620905885332454</v>
      </c>
      <c r="S11" s="11">
        <f t="shared" si="12"/>
        <v>0.73790941146675459</v>
      </c>
      <c r="T11" s="11">
        <f t="shared" si="13"/>
        <v>1.2620905885332454</v>
      </c>
      <c r="U11" s="11">
        <f t="shared" si="14"/>
        <v>0.73790941146675459</v>
      </c>
      <c r="V11" s="11">
        <f t="shared" si="15"/>
        <v>1.1310452942666227</v>
      </c>
      <c r="W11" s="11">
        <f t="shared" si="16"/>
        <v>0.8689547057333773</v>
      </c>
      <c r="X11" s="3"/>
      <c r="Y11" s="3"/>
      <c r="Z11" s="3"/>
      <c r="AA11" s="3"/>
      <c r="AB11" s="3"/>
    </row>
    <row r="12" spans="1:28" ht="18" x14ac:dyDescent="0.35">
      <c r="A12" s="71" t="s">
        <v>80</v>
      </c>
      <c r="B12" s="143">
        <v>55.68</v>
      </c>
      <c r="C12" s="143"/>
      <c r="D12" s="31">
        <f t="shared" si="9"/>
        <v>73.196538012845551</v>
      </c>
      <c r="E12" s="11">
        <f>B31</f>
        <v>142.40571597829873</v>
      </c>
      <c r="F12" s="11">
        <f t="shared" si="0"/>
        <v>0.4037702117392008</v>
      </c>
      <c r="G12" s="11">
        <f t="shared" si="1"/>
        <v>24.795028772842294</v>
      </c>
      <c r="H12" s="20">
        <v>1</v>
      </c>
      <c r="I12" s="11">
        <f t="shared" si="2"/>
        <v>2.2000000000000002</v>
      </c>
      <c r="J12" s="11">
        <f t="shared" si="3"/>
        <v>-1.1000000000000001</v>
      </c>
      <c r="K12" s="11">
        <f t="shared" si="4"/>
        <v>1.1481092577930239</v>
      </c>
      <c r="L12" s="11">
        <f t="shared" si="5"/>
        <v>0.99835587634176004</v>
      </c>
      <c r="M12" s="11">
        <f t="shared" si="6"/>
        <v>-0.49917793817088002</v>
      </c>
      <c r="N12" s="20">
        <v>1</v>
      </c>
      <c r="O12" s="11">
        <f t="shared" si="7"/>
        <v>5.265894666864761</v>
      </c>
      <c r="P12" s="11">
        <f t="shared" si="8"/>
        <v>109.64979935084077</v>
      </c>
      <c r="Q12" s="20">
        <f t="shared" si="10"/>
        <v>0.83942576649686096</v>
      </c>
      <c r="R12" s="11">
        <f t="shared" si="11"/>
        <v>1.298585583290004</v>
      </c>
      <c r="S12" s="11">
        <f t="shared" si="12"/>
        <v>0.70141441670999605</v>
      </c>
      <c r="T12" s="11">
        <f t="shared" si="13"/>
        <v>1.298585583290004</v>
      </c>
      <c r="U12" s="11">
        <f t="shared" si="14"/>
        <v>0.70141441670999605</v>
      </c>
      <c r="V12" s="11">
        <f t="shared" si="15"/>
        <v>1.149292791645002</v>
      </c>
      <c r="W12" s="11">
        <f t="shared" si="16"/>
        <v>0.85070720835499802</v>
      </c>
      <c r="X12" s="3"/>
      <c r="Y12" s="3"/>
      <c r="Z12" s="3"/>
      <c r="AA12" s="3"/>
      <c r="AB12" s="3"/>
    </row>
    <row r="13" spans="1:28" ht="18" x14ac:dyDescent="0.35">
      <c r="A13" s="71" t="s">
        <v>81</v>
      </c>
      <c r="B13" s="143">
        <v>369.7</v>
      </c>
      <c r="C13" s="143"/>
      <c r="D13" s="47">
        <f t="shared" si="9"/>
        <v>96.601678887593749</v>
      </c>
      <c r="E13" s="48">
        <v>187.94100950893724</v>
      </c>
      <c r="F13" s="48">
        <f t="shared" si="0"/>
        <v>0.53287875899213821</v>
      </c>
      <c r="G13" s="48">
        <f t="shared" si="1"/>
        <v>43.186984805110178</v>
      </c>
      <c r="H13" s="49">
        <v>1</v>
      </c>
      <c r="I13" s="48">
        <f t="shared" si="2"/>
        <v>2.2000000000000002</v>
      </c>
      <c r="J13" s="48">
        <f t="shared" si="3"/>
        <v>-1.1000000000000001</v>
      </c>
      <c r="K13" s="76">
        <f t="shared" si="4"/>
        <v>1.9997305720097309</v>
      </c>
      <c r="L13" s="48">
        <f t="shared" si="5"/>
        <v>1.738896149573679</v>
      </c>
      <c r="M13" s="48">
        <f t="shared" si="6"/>
        <v>-0.8694480747868395</v>
      </c>
      <c r="N13" s="20">
        <v>1</v>
      </c>
      <c r="O13" s="11">
        <f t="shared" si="7"/>
        <v>5.265894666864761</v>
      </c>
      <c r="P13" s="11">
        <f t="shared" si="8"/>
        <v>109.64979935084077</v>
      </c>
      <c r="Q13" s="20">
        <f t="shared" si="10"/>
        <v>0.83942576649686096</v>
      </c>
      <c r="R13" s="11">
        <f t="shared" si="11"/>
        <v>1.394060558333837</v>
      </c>
      <c r="S13" s="11">
        <f t="shared" si="12"/>
        <v>0.60593944166616298</v>
      </c>
      <c r="T13" s="11">
        <f t="shared" si="13"/>
        <v>1.394060558333837</v>
      </c>
      <c r="U13" s="11">
        <f t="shared" si="14"/>
        <v>0.60593944166616298</v>
      </c>
      <c r="V13" s="11">
        <f t="shared" si="15"/>
        <v>1.1970302791669185</v>
      </c>
      <c r="W13" s="11">
        <f t="shared" si="16"/>
        <v>0.80296972083308149</v>
      </c>
      <c r="X13" s="3"/>
      <c r="Y13" s="3"/>
      <c r="Z13" s="3"/>
      <c r="AA13" s="3"/>
      <c r="AB13" s="3"/>
    </row>
    <row r="14" spans="1:28" ht="18" x14ac:dyDescent="0.35">
      <c r="A14" s="71" t="s">
        <v>82</v>
      </c>
      <c r="B14" s="146">
        <f>B5/B13</f>
        <v>54.638896402488506</v>
      </c>
      <c r="C14" s="147"/>
      <c r="D14" s="50">
        <f t="shared" si="9"/>
        <v>103.51446</v>
      </c>
      <c r="E14" s="51">
        <v>201.39</v>
      </c>
      <c r="F14" s="51">
        <f t="shared" si="0"/>
        <v>0.57101136975814448</v>
      </c>
      <c r="G14" s="51">
        <f t="shared" si="1"/>
        <v>49.589025871914082</v>
      </c>
      <c r="H14" s="52">
        <v>1</v>
      </c>
      <c r="I14" s="51">
        <f t="shared" si="2"/>
        <v>2.2000000000000002</v>
      </c>
      <c r="J14" s="51">
        <f t="shared" si="3"/>
        <v>-1.1000000000000001</v>
      </c>
      <c r="K14" s="51">
        <f t="shared" si="4"/>
        <v>2.2961707449535638</v>
      </c>
      <c r="L14" s="51">
        <f t="shared" si="5"/>
        <v>1.9966702130030991</v>
      </c>
      <c r="M14" s="53">
        <f t="shared" si="6"/>
        <v>-0.99833510650154955</v>
      </c>
      <c r="N14" s="20">
        <v>1</v>
      </c>
      <c r="O14" s="11">
        <f t="shared" si="7"/>
        <v>5.265894666864761</v>
      </c>
      <c r="P14" s="11">
        <f t="shared" si="8"/>
        <v>109.64979935084077</v>
      </c>
      <c r="Q14" s="20">
        <f t="shared" si="10"/>
        <v>0.83942576649686096</v>
      </c>
      <c r="R14" s="11">
        <f t="shared" si="11"/>
        <v>1.4222593889976824</v>
      </c>
      <c r="S14" s="11">
        <f t="shared" si="12"/>
        <v>0.57774061100231766</v>
      </c>
      <c r="T14" s="11">
        <f t="shared" si="13"/>
        <v>1.4222593889976824</v>
      </c>
      <c r="U14" s="11">
        <f t="shared" si="14"/>
        <v>0.57774061100231766</v>
      </c>
      <c r="V14" s="11">
        <f t="shared" si="15"/>
        <v>1.2111296944988412</v>
      </c>
      <c r="W14" s="11">
        <f t="shared" si="16"/>
        <v>0.78887030550115878</v>
      </c>
      <c r="X14" s="3"/>
      <c r="Y14" s="3"/>
      <c r="Z14" s="3"/>
      <c r="AA14" s="3"/>
      <c r="AB14" s="3"/>
    </row>
    <row r="15" spans="1:28" ht="18" x14ac:dyDescent="0.35">
      <c r="A15" s="71" t="s">
        <v>15</v>
      </c>
      <c r="B15" s="149">
        <v>2.89</v>
      </c>
      <c r="C15" s="150"/>
      <c r="D15" s="31">
        <f t="shared" si="9"/>
        <v>115.65</v>
      </c>
      <c r="E15" s="11">
        <v>225</v>
      </c>
      <c r="F15" s="11">
        <f t="shared" si="0"/>
        <v>0.63795401060421331</v>
      </c>
      <c r="G15" s="11">
        <f t="shared" si="1"/>
        <v>61.897742433610198</v>
      </c>
      <c r="H15" s="20">
        <v>1</v>
      </c>
      <c r="I15" s="11">
        <f t="shared" si="2"/>
        <v>2.2000000000000002</v>
      </c>
      <c r="J15" s="11">
        <f t="shared" si="3"/>
        <v>-1.1000000000000001</v>
      </c>
      <c r="K15" s="11">
        <f t="shared" si="4"/>
        <v>2.8661136784948211</v>
      </c>
      <c r="L15" s="11">
        <f t="shared" si="5"/>
        <v>2.4922727639085407</v>
      </c>
      <c r="M15" s="11">
        <f t="shared" si="6"/>
        <v>-1.2461363819542703</v>
      </c>
      <c r="N15" s="20">
        <v>1</v>
      </c>
      <c r="O15" s="11">
        <f t="shared" si="7"/>
        <v>5.265894666864761</v>
      </c>
      <c r="P15" s="11">
        <f t="shared" si="8"/>
        <v>109.64979935084077</v>
      </c>
      <c r="Q15" s="20">
        <f t="shared" si="10"/>
        <v>0.83942576649686096</v>
      </c>
      <c r="R15" s="11">
        <f t="shared" si="11"/>
        <v>1.4717630593598419</v>
      </c>
      <c r="S15" s="11">
        <f t="shared" si="12"/>
        <v>0.52823694064015814</v>
      </c>
      <c r="T15" s="11">
        <f t="shared" si="13"/>
        <v>1.4717630593598419</v>
      </c>
      <c r="U15" s="11">
        <f t="shared" si="14"/>
        <v>0.52823694064015814</v>
      </c>
      <c r="V15" s="11">
        <f t="shared" si="15"/>
        <v>1.2358815296799208</v>
      </c>
      <c r="W15" s="11">
        <f t="shared" si="16"/>
        <v>0.76411847032007907</v>
      </c>
      <c r="X15" s="3"/>
      <c r="Y15" s="3"/>
      <c r="Z15" s="3"/>
      <c r="AA15" s="3"/>
      <c r="AB15" s="3"/>
    </row>
    <row r="16" spans="1:28" ht="18" x14ac:dyDescent="0.35">
      <c r="A16" s="71" t="s">
        <v>16</v>
      </c>
      <c r="B16" s="149">
        <v>-1</v>
      </c>
      <c r="C16" s="150"/>
      <c r="D16" s="54">
        <f t="shared" si="9"/>
        <v>124.43411462183742</v>
      </c>
      <c r="E16" s="55">
        <f>B33</f>
        <v>242.08971716310782</v>
      </c>
      <c r="F16" s="55">
        <f t="shared" si="0"/>
        <v>0.68640935995664132</v>
      </c>
      <c r="G16" s="55">
        <f t="shared" si="1"/>
        <v>71.657633153514212</v>
      </c>
      <c r="H16" s="56">
        <v>1</v>
      </c>
      <c r="I16" s="55">
        <f t="shared" si="2"/>
        <v>2.2000000000000002</v>
      </c>
      <c r="J16" s="55">
        <f t="shared" si="3"/>
        <v>-1.1000000000000001</v>
      </c>
      <c r="K16" s="55">
        <f t="shared" si="4"/>
        <v>3.3180357550218385</v>
      </c>
      <c r="L16" s="57">
        <f t="shared" si="5"/>
        <v>2.8852484826276856</v>
      </c>
      <c r="M16" s="55">
        <f t="shared" si="6"/>
        <v>-1.4426242413138428</v>
      </c>
      <c r="N16" s="20">
        <v>1</v>
      </c>
      <c r="O16" s="11">
        <f t="shared" si="7"/>
        <v>5.265894666864761</v>
      </c>
      <c r="P16" s="11">
        <f t="shared" si="8"/>
        <v>109.64979935084077</v>
      </c>
      <c r="Q16" s="20">
        <f t="shared" si="10"/>
        <v>0.83942576649686096</v>
      </c>
      <c r="R16" s="11">
        <f t="shared" si="11"/>
        <v>1.507595491593007</v>
      </c>
      <c r="S16" s="11">
        <f t="shared" si="12"/>
        <v>0.49240450840699301</v>
      </c>
      <c r="T16" s="11">
        <f t="shared" si="13"/>
        <v>1.507595491593007</v>
      </c>
      <c r="U16" s="11">
        <f t="shared" si="14"/>
        <v>0.49240450840699301</v>
      </c>
      <c r="V16" s="11">
        <f t="shared" si="15"/>
        <v>1.2537977457965035</v>
      </c>
      <c r="W16" s="11">
        <f t="shared" si="16"/>
        <v>0.74620225420349651</v>
      </c>
      <c r="X16" s="3"/>
      <c r="Y16" s="3"/>
      <c r="Z16" s="3"/>
      <c r="AA16" s="3"/>
      <c r="AB16" s="3"/>
    </row>
    <row r="17" spans="1:28" ht="18" x14ac:dyDescent="0.35">
      <c r="A17" s="71" t="s">
        <v>17</v>
      </c>
      <c r="B17" s="143">
        <v>8.4</v>
      </c>
      <c r="C17" s="143"/>
      <c r="D17" s="31">
        <f t="shared" si="9"/>
        <v>136.22200704000002</v>
      </c>
      <c r="E17" s="11">
        <f>B34</f>
        <v>265.02336000000003</v>
      </c>
      <c r="F17" s="11">
        <f t="shared" si="0"/>
        <v>0.75143429073690782</v>
      </c>
      <c r="G17" s="11">
        <f t="shared" si="1"/>
        <v>85.877241278948205</v>
      </c>
      <c r="H17" s="20">
        <v>1</v>
      </c>
      <c r="I17" s="11">
        <f t="shared" si="2"/>
        <v>2.2000000000000002</v>
      </c>
      <c r="J17" s="11">
        <f t="shared" si="3"/>
        <v>-1.1000000000000001</v>
      </c>
      <c r="K17" s="11">
        <f t="shared" si="4"/>
        <v>3.9764606304501333</v>
      </c>
      <c r="L17" s="11">
        <f t="shared" si="5"/>
        <v>3.4577918525653337</v>
      </c>
      <c r="M17" s="11">
        <f t="shared" si="6"/>
        <v>-1.7288959262826669</v>
      </c>
      <c r="N17" s="20">
        <v>1</v>
      </c>
      <c r="O17" s="11">
        <f t="shared" si="7"/>
        <v>5.265894666864761</v>
      </c>
      <c r="P17" s="11">
        <f t="shared" si="8"/>
        <v>109.64979935084077</v>
      </c>
      <c r="Q17" s="20">
        <f t="shared" si="10"/>
        <v>0.83942576649686096</v>
      </c>
      <c r="R17" s="11">
        <f t="shared" si="11"/>
        <v>1.5556810271796655</v>
      </c>
      <c r="S17" s="11">
        <f t="shared" si="12"/>
        <v>0.4443189728203345</v>
      </c>
      <c r="T17" s="11">
        <f t="shared" si="13"/>
        <v>1.5556810271796655</v>
      </c>
      <c r="U17" s="11">
        <f t="shared" si="14"/>
        <v>0.4443189728203345</v>
      </c>
      <c r="V17" s="11">
        <f t="shared" si="15"/>
        <v>1.2778405135898327</v>
      </c>
      <c r="W17" s="11">
        <f t="shared" si="16"/>
        <v>0.72215948641016725</v>
      </c>
      <c r="X17" s="3"/>
      <c r="Y17" s="3"/>
      <c r="Z17" s="3"/>
      <c r="AA17" s="3"/>
      <c r="AB17" s="3"/>
    </row>
    <row r="18" spans="1:28" ht="18" x14ac:dyDescent="0.35">
      <c r="A18" s="71" t="s">
        <v>18</v>
      </c>
      <c r="B18" s="146">
        <v>0.2</v>
      </c>
      <c r="C18" s="147"/>
      <c r="D18" s="31">
        <f t="shared" si="9"/>
        <v>149.07200704000002</v>
      </c>
      <c r="E18" s="11">
        <f t="shared" ref="E18:E19" si="17">25+E17</f>
        <v>290.02336000000003</v>
      </c>
      <c r="F18" s="11">
        <f t="shared" si="0"/>
        <v>0.82231806969293153</v>
      </c>
      <c r="G18" s="11">
        <f t="shared" si="1"/>
        <v>102.84323580397545</v>
      </c>
      <c r="H18" s="20">
        <v>1</v>
      </c>
      <c r="I18" s="11">
        <f t="shared" si="2"/>
        <v>2.2000000000000002</v>
      </c>
      <c r="J18" s="11">
        <f t="shared" si="3"/>
        <v>-1.1000000000000001</v>
      </c>
      <c r="K18" s="11">
        <f t="shared" si="4"/>
        <v>4.7620542089171378</v>
      </c>
      <c r="L18" s="11">
        <f t="shared" si="5"/>
        <v>4.1409167034062078</v>
      </c>
      <c r="M18" s="11">
        <f t="shared" si="6"/>
        <v>-2.0704583517031039</v>
      </c>
      <c r="N18" s="20">
        <v>1</v>
      </c>
      <c r="O18" s="11">
        <f t="shared" si="7"/>
        <v>5.265894666864761</v>
      </c>
      <c r="P18" s="11">
        <f t="shared" si="8"/>
        <v>109.64979935084077</v>
      </c>
      <c r="Q18" s="20">
        <f t="shared" si="10"/>
        <v>0.83942576649686096</v>
      </c>
      <c r="R18" s="11">
        <f t="shared" si="11"/>
        <v>1.6080991448863147</v>
      </c>
      <c r="S18" s="11">
        <f t="shared" si="12"/>
        <v>0.39190085511368544</v>
      </c>
      <c r="T18" s="11">
        <f t="shared" si="13"/>
        <v>1.6080991448863147</v>
      </c>
      <c r="U18" s="11">
        <f t="shared" si="14"/>
        <v>0.39190085511368544</v>
      </c>
      <c r="V18" s="11">
        <f t="shared" si="15"/>
        <v>1.3040495724431573</v>
      </c>
      <c r="W18" s="11">
        <f t="shared" si="16"/>
        <v>0.69595042755684267</v>
      </c>
      <c r="X18" s="3"/>
      <c r="Y18" s="3"/>
      <c r="Z18" s="3"/>
      <c r="AA18" s="3"/>
      <c r="AB18" s="3"/>
    </row>
    <row r="19" spans="1:28" ht="18" x14ac:dyDescent="0.35">
      <c r="A19" s="71" t="s">
        <v>19</v>
      </c>
      <c r="B19" s="143">
        <v>0</v>
      </c>
      <c r="C19" s="143"/>
      <c r="D19" s="31">
        <f t="shared" si="9"/>
        <v>161.92200704000001</v>
      </c>
      <c r="E19" s="11">
        <f t="shared" si="17"/>
        <v>315.02336000000003</v>
      </c>
      <c r="F19" s="11">
        <f t="shared" si="0"/>
        <v>0.89320184864895524</v>
      </c>
      <c r="G19" s="11">
        <f t="shared" si="1"/>
        <v>121.33756964835106</v>
      </c>
      <c r="H19" s="20">
        <v>1</v>
      </c>
      <c r="I19" s="11">
        <f t="shared" si="2"/>
        <v>2.2000000000000002</v>
      </c>
      <c r="J19" s="11">
        <f t="shared" si="3"/>
        <v>-1.1000000000000001</v>
      </c>
      <c r="K19" s="11">
        <f t="shared" si="4"/>
        <v>5.6184160263593244</v>
      </c>
      <c r="L19" s="11">
        <f t="shared" si="5"/>
        <v>4.8855791533559341</v>
      </c>
      <c r="M19" s="11">
        <f t="shared" si="6"/>
        <v>-2.442789576677967</v>
      </c>
      <c r="N19" s="20">
        <v>1</v>
      </c>
      <c r="O19" s="11">
        <f t="shared" si="7"/>
        <v>5.265894666864761</v>
      </c>
      <c r="P19" s="11">
        <f t="shared" si="8"/>
        <v>109.64979935084077</v>
      </c>
      <c r="Q19" s="20">
        <f t="shared" si="10"/>
        <v>0.83942576649686096</v>
      </c>
      <c r="R19" s="11">
        <f t="shared" si="11"/>
        <v>1.6605172625929638</v>
      </c>
      <c r="S19" s="11">
        <f t="shared" si="12"/>
        <v>0.33948273740703627</v>
      </c>
      <c r="T19" s="11">
        <f t="shared" si="13"/>
        <v>1.6605172625929638</v>
      </c>
      <c r="U19" s="11">
        <f t="shared" si="14"/>
        <v>0.33948273740703627</v>
      </c>
      <c r="V19" s="11">
        <f t="shared" si="15"/>
        <v>1.3302586312964819</v>
      </c>
      <c r="W19" s="11">
        <f t="shared" si="16"/>
        <v>0.66974136870351808</v>
      </c>
      <c r="X19" s="5"/>
      <c r="Y19" s="5"/>
      <c r="Z19" s="3"/>
      <c r="AA19" s="3"/>
      <c r="AB19" s="3"/>
    </row>
    <row r="20" spans="1:28" ht="18" x14ac:dyDescent="0.35">
      <c r="A20" s="71" t="s">
        <v>20</v>
      </c>
      <c r="B20" s="143">
        <v>1</v>
      </c>
      <c r="C20" s="143"/>
      <c r="D20" s="31">
        <f t="shared" si="9"/>
        <v>170.27750880000002</v>
      </c>
      <c r="E20" s="11">
        <f>B8</f>
        <v>331.27920000000006</v>
      </c>
      <c r="F20" s="11">
        <f t="shared" si="0"/>
        <v>0.93929286342113494</v>
      </c>
      <c r="G20" s="11">
        <f t="shared" si="1"/>
        <v>134.1831894983566</v>
      </c>
      <c r="H20" s="20">
        <v>1</v>
      </c>
      <c r="I20" s="11">
        <f t="shared" si="2"/>
        <v>2.2000000000000002</v>
      </c>
      <c r="J20" s="11">
        <f t="shared" si="3"/>
        <v>-1.1000000000000001</v>
      </c>
      <c r="K20" s="11">
        <f t="shared" si="4"/>
        <v>6.2132197350783347</v>
      </c>
      <c r="L20" s="11">
        <f t="shared" si="5"/>
        <v>5.4027997696333347</v>
      </c>
      <c r="M20" s="11">
        <f t="shared" si="6"/>
        <v>-2.7013998848166674</v>
      </c>
      <c r="N20" s="20">
        <v>1</v>
      </c>
      <c r="O20" s="11">
        <f t="shared" si="7"/>
        <v>5.265894666864761</v>
      </c>
      <c r="P20" s="11">
        <f t="shared" si="8"/>
        <v>109.64979935084077</v>
      </c>
      <c r="Q20" s="20">
        <f t="shared" si="10"/>
        <v>0.83942576649686096</v>
      </c>
      <c r="R20" s="11">
        <f t="shared" si="11"/>
        <v>1.6946012839745819</v>
      </c>
      <c r="S20" s="11">
        <f t="shared" si="12"/>
        <v>0.30539871602541813</v>
      </c>
      <c r="T20" s="11">
        <f t="shared" si="13"/>
        <v>1.6946012839745819</v>
      </c>
      <c r="U20" s="11">
        <f t="shared" si="14"/>
        <v>0.30539871602541813</v>
      </c>
      <c r="V20" s="11">
        <f t="shared" si="15"/>
        <v>1.347300641987291</v>
      </c>
      <c r="W20" s="11">
        <f t="shared" si="16"/>
        <v>0.65269935801270906</v>
      </c>
      <c r="X20" s="5"/>
      <c r="Y20" s="5"/>
      <c r="Z20" s="3"/>
      <c r="AA20" s="3"/>
      <c r="AB20" s="3"/>
    </row>
    <row r="21" spans="1:28" ht="18" customHeight="1" x14ac:dyDescent="0.35">
      <c r="A21" s="71" t="s">
        <v>21</v>
      </c>
      <c r="B21" s="143">
        <f>ATAN(TAN(RADIANS(B19))/B20)* (180/PI())</f>
        <v>0</v>
      </c>
      <c r="C21" s="143"/>
      <c r="D21" s="31"/>
      <c r="E21" s="11"/>
      <c r="F21" s="11"/>
      <c r="G21" s="11"/>
      <c r="H21" s="20"/>
      <c r="I21" s="11"/>
      <c r="J21" s="11"/>
      <c r="K21" s="11"/>
      <c r="L21" s="11"/>
      <c r="M21" s="11"/>
      <c r="N21" s="20"/>
      <c r="O21" s="11"/>
      <c r="P21" s="11"/>
      <c r="Q21" s="20"/>
      <c r="R21" s="11"/>
      <c r="S21" s="11"/>
      <c r="T21" s="11"/>
      <c r="U21" s="11"/>
      <c r="V21" s="11"/>
      <c r="W21" s="11"/>
      <c r="X21" s="5"/>
      <c r="Y21" s="5"/>
      <c r="Z21" s="3"/>
      <c r="AA21" s="3"/>
      <c r="AB21" s="3"/>
    </row>
    <row r="22" spans="1:28" ht="18" x14ac:dyDescent="0.35">
      <c r="A22" s="71" t="s">
        <v>22</v>
      </c>
      <c r="B22" s="143">
        <v>1</v>
      </c>
      <c r="C22" s="143"/>
      <c r="D22" s="31"/>
      <c r="E22" s="11"/>
      <c r="F22" s="11"/>
      <c r="G22" s="11"/>
      <c r="H22" s="20"/>
      <c r="I22" s="11"/>
      <c r="J22" s="11"/>
      <c r="K22" s="11"/>
      <c r="L22" s="11"/>
      <c r="M22" s="11"/>
      <c r="N22" s="20"/>
      <c r="O22" s="11"/>
      <c r="P22" s="11"/>
      <c r="Q22" s="20"/>
      <c r="R22" s="11"/>
      <c r="S22" s="11"/>
      <c r="T22" s="11"/>
      <c r="U22" s="11"/>
      <c r="V22" s="11"/>
      <c r="W22" s="11"/>
      <c r="X22" s="5"/>
      <c r="Y22" s="5"/>
      <c r="Z22" s="3"/>
      <c r="AA22" s="3"/>
      <c r="AB22" s="3"/>
    </row>
    <row r="23" spans="1:28" ht="18" x14ac:dyDescent="0.35">
      <c r="A23" s="71" t="s">
        <v>23</v>
      </c>
      <c r="B23" s="143">
        <f>B17</f>
        <v>8.4</v>
      </c>
      <c r="C23" s="143"/>
      <c r="D23" s="31"/>
      <c r="E23" s="11"/>
      <c r="F23" s="11"/>
      <c r="G23" s="11"/>
      <c r="H23" s="20"/>
      <c r="I23" s="11"/>
      <c r="J23" s="11"/>
      <c r="K23" s="11"/>
      <c r="L23" s="11"/>
      <c r="M23" s="11"/>
      <c r="N23" s="20"/>
      <c r="O23" s="11"/>
      <c r="P23" s="11"/>
      <c r="Q23" s="20"/>
      <c r="R23" s="11"/>
      <c r="S23" s="11"/>
      <c r="T23" s="11"/>
      <c r="U23" s="11"/>
      <c r="V23" s="11"/>
      <c r="W23" s="11"/>
      <c r="X23" s="5"/>
      <c r="Y23" s="5"/>
      <c r="Z23" s="3"/>
      <c r="AA23" s="3"/>
      <c r="AB23" s="3"/>
    </row>
    <row r="24" spans="1:28" ht="18" x14ac:dyDescent="0.35">
      <c r="A24" s="71" t="s">
        <v>24</v>
      </c>
      <c r="B24" s="143">
        <f>0.083552*180/PI()</f>
        <v>4.7871769698770548</v>
      </c>
      <c r="C24" s="143"/>
      <c r="D24" s="31"/>
      <c r="E24" s="11"/>
      <c r="F24" s="11"/>
      <c r="G24" s="11"/>
      <c r="H24" s="20"/>
      <c r="I24" s="11"/>
      <c r="J24" s="11"/>
      <c r="K24" s="11"/>
      <c r="L24" s="11"/>
      <c r="M24" s="11"/>
      <c r="N24" s="20"/>
      <c r="O24" s="11"/>
      <c r="P24" s="11"/>
      <c r="Q24" s="20"/>
      <c r="R24" s="11"/>
      <c r="S24" s="11"/>
      <c r="T24" s="11"/>
      <c r="U24" s="11"/>
      <c r="V24" s="11"/>
      <c r="W24" s="11"/>
      <c r="X24" s="5"/>
      <c r="Y24" s="5"/>
      <c r="Z24" s="3"/>
      <c r="AA24" s="3"/>
      <c r="AB24" s="3"/>
    </row>
    <row r="25" spans="1:28" ht="18" x14ac:dyDescent="0.35">
      <c r="A25" s="71" t="s">
        <v>55</v>
      </c>
      <c r="B25" s="143">
        <f>1.1*B24</f>
        <v>5.265894666864761</v>
      </c>
      <c r="C25" s="143"/>
      <c r="D25" s="31"/>
      <c r="E25" s="11"/>
      <c r="F25" s="11"/>
      <c r="G25" s="11"/>
      <c r="H25" s="20"/>
      <c r="I25" s="11"/>
      <c r="J25" s="11"/>
      <c r="K25" s="11"/>
      <c r="L25" s="11"/>
      <c r="M25" s="11"/>
      <c r="N25" s="20"/>
      <c r="O25" s="11"/>
      <c r="P25" s="11"/>
      <c r="Q25" s="20"/>
      <c r="R25" s="11"/>
      <c r="S25" s="11"/>
      <c r="T25" s="11"/>
      <c r="U25" s="11"/>
      <c r="V25" s="11"/>
      <c r="W25" s="11"/>
      <c r="X25" s="5"/>
      <c r="Y25" s="5"/>
      <c r="Z25" s="3"/>
      <c r="AA25" s="3"/>
      <c r="AB25" s="3"/>
    </row>
    <row r="26" spans="1:28" ht="18" x14ac:dyDescent="0.35">
      <c r="A26" s="71" t="s">
        <v>84</v>
      </c>
      <c r="B26" s="148">
        <v>8.5841599999999998E-4</v>
      </c>
      <c r="C26" s="148"/>
      <c r="D26" s="31"/>
      <c r="E26" s="11"/>
      <c r="F26" s="11"/>
      <c r="G26" s="11"/>
      <c r="H26" s="20"/>
      <c r="I26" s="11"/>
      <c r="J26" s="11"/>
      <c r="K26" s="11"/>
      <c r="L26" s="11"/>
      <c r="M26" s="11"/>
      <c r="N26" s="20"/>
      <c r="O26" s="11"/>
      <c r="P26" s="11"/>
      <c r="Q26" s="20"/>
      <c r="R26" s="11"/>
      <c r="S26" s="11"/>
      <c r="T26" s="11"/>
      <c r="U26" s="11"/>
      <c r="V26" s="11"/>
      <c r="W26" s="11"/>
      <c r="X26" s="5"/>
      <c r="Y26" s="5"/>
      <c r="Z26" s="3"/>
      <c r="AA26" s="3"/>
      <c r="AB26" s="3"/>
    </row>
    <row r="27" spans="1:28" ht="23.4" x14ac:dyDescent="0.45">
      <c r="A27" s="71" t="s">
        <v>97</v>
      </c>
      <c r="B27" s="143">
        <f>82.23/12</f>
        <v>6.8525</v>
      </c>
      <c r="C27" s="143"/>
      <c r="D27" s="31"/>
      <c r="E27" s="11"/>
      <c r="F27" s="11"/>
      <c r="G27" s="11"/>
      <c r="H27" s="20"/>
      <c r="I27" s="11"/>
      <c r="J27" s="11"/>
      <c r="K27" s="11"/>
      <c r="L27" s="11"/>
      <c r="M27" s="11"/>
      <c r="N27" s="20"/>
      <c r="O27" s="11"/>
      <c r="P27" s="11"/>
      <c r="Q27" s="20"/>
      <c r="R27" s="11"/>
      <c r="S27" s="11"/>
      <c r="T27" s="11"/>
      <c r="U27" s="11"/>
      <c r="V27" s="11"/>
      <c r="W27" s="11"/>
      <c r="X27" s="23"/>
      <c r="Y27" s="23"/>
      <c r="Z27" s="3"/>
      <c r="AA27" s="3"/>
      <c r="AB27" s="3"/>
    </row>
    <row r="28" spans="1:28" ht="18" x14ac:dyDescent="0.35">
      <c r="A28" s="71" t="s">
        <v>25</v>
      </c>
      <c r="B28" s="143">
        <f>-0.5*B10</f>
        <v>-1.1000000000000001</v>
      </c>
      <c r="C28" s="143"/>
      <c r="D28" s="31"/>
      <c r="E28" s="11"/>
      <c r="F28" s="11"/>
      <c r="G28" s="11"/>
      <c r="H28" s="20"/>
      <c r="I28" s="11"/>
      <c r="J28" s="11"/>
      <c r="K28" s="11"/>
      <c r="L28" s="11"/>
      <c r="M28" s="11"/>
      <c r="N28" s="20"/>
      <c r="O28" s="11"/>
      <c r="P28" s="11"/>
      <c r="Q28" s="20"/>
      <c r="R28" s="11"/>
      <c r="S28" s="11"/>
      <c r="T28" s="11"/>
      <c r="U28" s="11"/>
      <c r="V28" s="11"/>
      <c r="W28" s="11"/>
      <c r="X28" s="3"/>
      <c r="Y28" s="3"/>
      <c r="Z28" s="3"/>
      <c r="AA28" s="3"/>
      <c r="AB28" s="3"/>
    </row>
    <row r="29" spans="1:28" ht="18" x14ac:dyDescent="0.35">
      <c r="A29" s="6"/>
      <c r="B29" s="7"/>
      <c r="C29" s="7"/>
      <c r="D29" s="11"/>
      <c r="E29" s="11"/>
      <c r="F29" s="11"/>
      <c r="G29" s="11"/>
      <c r="H29" s="11"/>
      <c r="I29" s="11"/>
      <c r="J29" s="11"/>
      <c r="K29" s="11"/>
      <c r="L29" s="11"/>
      <c r="M29" s="18"/>
      <c r="N29" s="11"/>
      <c r="O29" s="11"/>
      <c r="P29" s="11"/>
      <c r="Q29" s="11"/>
      <c r="R29" s="11"/>
      <c r="T29" s="5"/>
      <c r="U29" s="11"/>
      <c r="V29" s="11"/>
      <c r="W29" s="11"/>
      <c r="X29" s="3"/>
      <c r="Y29" s="3"/>
      <c r="Z29" s="3"/>
      <c r="AA29" s="3"/>
      <c r="AB29" s="3"/>
    </row>
    <row r="30" spans="1:28" ht="23.4" x14ac:dyDescent="0.45">
      <c r="A30" s="26" t="s">
        <v>26</v>
      </c>
      <c r="B30" s="125" t="s">
        <v>50</v>
      </c>
      <c r="C30" s="125"/>
      <c r="D30" s="27" t="s">
        <v>51</v>
      </c>
      <c r="E30" s="11"/>
      <c r="F30" s="11"/>
      <c r="G30" s="11"/>
      <c r="H30" s="11"/>
      <c r="I30" s="11"/>
      <c r="J30" s="11"/>
      <c r="K30" s="11"/>
      <c r="L30" s="11"/>
      <c r="M30" s="18"/>
      <c r="N30" s="11"/>
      <c r="O30" s="11"/>
      <c r="P30" s="11"/>
      <c r="Q30" s="11"/>
      <c r="R30" s="11"/>
      <c r="S30" s="33"/>
      <c r="T30" s="24"/>
      <c r="U30" s="11"/>
      <c r="V30" s="11"/>
      <c r="W30" s="11"/>
      <c r="X30" s="3"/>
      <c r="Y30" s="3"/>
      <c r="Z30" s="3"/>
      <c r="AA30" s="3"/>
      <c r="AB30" s="3"/>
    </row>
    <row r="31" spans="1:28" ht="18" x14ac:dyDescent="0.35">
      <c r="A31" s="77" t="s">
        <v>27</v>
      </c>
      <c r="B31" s="144">
        <f>SQRT((2*B5)/(B26*B13*B10))*0.592</f>
        <v>142.40571597829873</v>
      </c>
      <c r="C31" s="144"/>
      <c r="D31" s="78">
        <f>SQRT((2*B5)/(B26*B13*-B28))*0.592</f>
        <v>201.39209489596104</v>
      </c>
      <c r="E31" s="19"/>
      <c r="F31" s="19"/>
      <c r="G31" s="11"/>
      <c r="H31" s="11"/>
      <c r="I31" s="11"/>
      <c r="J31" s="11"/>
      <c r="K31" s="11"/>
      <c r="L31" s="11"/>
      <c r="M31" s="18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3"/>
      <c r="Y31" s="3"/>
      <c r="Z31" s="3"/>
      <c r="AA31" s="3"/>
      <c r="AB31" s="3"/>
    </row>
    <row r="32" spans="1:28" ht="23.4" x14ac:dyDescent="0.45">
      <c r="A32" s="39" t="s">
        <v>28</v>
      </c>
      <c r="B32" s="144">
        <f>1.15*B31</f>
        <v>163.76657337504352</v>
      </c>
      <c r="C32" s="144"/>
      <c r="D32" s="11"/>
      <c r="E32" s="11"/>
      <c r="F32" s="11"/>
      <c r="G32" s="11"/>
      <c r="H32" s="11"/>
      <c r="I32" s="11"/>
      <c r="J32" s="11"/>
      <c r="K32" s="11"/>
      <c r="L32" s="11"/>
      <c r="M32" s="18"/>
      <c r="N32" s="11"/>
      <c r="O32" s="11"/>
      <c r="P32" s="11"/>
      <c r="Q32" s="11"/>
      <c r="R32" s="11"/>
      <c r="S32" s="22"/>
      <c r="T32" s="12"/>
      <c r="U32" s="11"/>
      <c r="V32" s="11"/>
      <c r="W32" s="11"/>
      <c r="X32" s="3"/>
      <c r="Y32" s="3"/>
      <c r="Z32" s="3"/>
      <c r="AA32" s="3"/>
      <c r="AB32" s="3"/>
    </row>
    <row r="33" spans="1:28" ht="18" x14ac:dyDescent="0.35">
      <c r="A33" s="39" t="s">
        <v>75</v>
      </c>
      <c r="B33" s="144">
        <f>B31*SQRT(B15)</f>
        <v>242.08971716310782</v>
      </c>
      <c r="C33" s="144"/>
      <c r="D33" s="78">
        <f>D31*SQRT(B16*-1)</f>
        <v>201.39209489596104</v>
      </c>
      <c r="E33" s="11"/>
      <c r="F33" s="11"/>
      <c r="G33" s="11"/>
      <c r="H33" s="11"/>
      <c r="I33" s="11"/>
      <c r="J33" s="11"/>
      <c r="K33" s="11"/>
      <c r="L33" s="11"/>
      <c r="M33" s="18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3"/>
      <c r="Y33" s="3"/>
      <c r="Z33" s="3"/>
      <c r="AA33" s="3"/>
      <c r="AB33" s="3"/>
    </row>
    <row r="34" spans="1:28" ht="23.4" x14ac:dyDescent="0.45">
      <c r="A34" s="39" t="s">
        <v>29</v>
      </c>
      <c r="B34" s="144">
        <f>B7</f>
        <v>265.02336000000003</v>
      </c>
      <c r="C34" s="144"/>
      <c r="D34" s="11"/>
      <c r="E34" s="11"/>
      <c r="F34" s="11"/>
      <c r="G34" s="11"/>
      <c r="H34" s="11"/>
      <c r="I34" s="11"/>
      <c r="J34" s="11"/>
      <c r="K34" s="11"/>
      <c r="L34" s="11"/>
      <c r="M34" s="18"/>
      <c r="N34" s="11"/>
      <c r="O34" s="11"/>
      <c r="P34" s="11"/>
      <c r="Q34" s="11"/>
      <c r="R34" s="11"/>
      <c r="S34" s="22"/>
      <c r="T34" s="12"/>
      <c r="U34" s="11"/>
      <c r="V34" s="11"/>
      <c r="W34" s="11"/>
      <c r="X34" s="3"/>
      <c r="Y34" s="3"/>
      <c r="Z34" s="3"/>
      <c r="AA34" s="3"/>
      <c r="AB34" s="3"/>
    </row>
    <row r="35" spans="1:28" ht="18" x14ac:dyDescent="0.35">
      <c r="A35" s="39" t="s">
        <v>30</v>
      </c>
      <c r="B35" s="145">
        <f>0.9*B8</f>
        <v>298.15128000000004</v>
      </c>
      <c r="C35" s="145"/>
      <c r="D35" s="11"/>
      <c r="E35" s="11"/>
      <c r="F35" s="11"/>
      <c r="G35" s="11"/>
      <c r="H35" s="11"/>
      <c r="I35" s="11"/>
      <c r="J35" s="11"/>
      <c r="K35" s="11"/>
      <c r="L35" s="11"/>
      <c r="M35" s="18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3"/>
      <c r="Y35" s="3"/>
      <c r="Z35" s="3"/>
      <c r="AA35" s="3"/>
      <c r="AB35" s="3"/>
    </row>
    <row r="36" spans="1:28" ht="18" x14ac:dyDescent="0.35">
      <c r="A36" s="39" t="s">
        <v>31</v>
      </c>
      <c r="B36" s="144">
        <f>B8</f>
        <v>331.27920000000006</v>
      </c>
      <c r="C36" s="144"/>
      <c r="D36" s="11"/>
      <c r="E36" s="11"/>
      <c r="F36" s="11"/>
      <c r="G36" s="11"/>
      <c r="H36" s="11"/>
      <c r="I36" s="11"/>
      <c r="J36" s="11"/>
      <c r="K36" s="11"/>
      <c r="L36" s="11"/>
      <c r="M36" s="18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3"/>
      <c r="Y36" s="3"/>
      <c r="Z36" s="3"/>
      <c r="AA36" s="3"/>
      <c r="AB36" s="3"/>
    </row>
    <row r="37" spans="1:28" ht="18" x14ac:dyDescent="0.35">
      <c r="A37" s="39" t="s">
        <v>56</v>
      </c>
      <c r="B37" s="144"/>
      <c r="C37" s="144"/>
      <c r="D37" s="78"/>
      <c r="E37" s="11"/>
      <c r="F37" s="11"/>
      <c r="G37" s="11"/>
      <c r="H37" s="11"/>
      <c r="I37" s="11"/>
      <c r="J37" s="11"/>
      <c r="K37" s="11"/>
      <c r="L37" s="11"/>
      <c r="M37" s="18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3"/>
      <c r="Y37" s="3"/>
      <c r="Z37" s="3"/>
      <c r="AA37" s="3"/>
      <c r="AB37" s="3"/>
    </row>
    <row r="38" spans="1:28" ht="18" x14ac:dyDescent="0.35">
      <c r="A38" s="8"/>
      <c r="B38" s="9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8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3"/>
      <c r="Y38" s="3"/>
      <c r="Z38" s="3"/>
      <c r="AA38" s="3"/>
      <c r="AB38" s="3"/>
    </row>
    <row r="39" spans="1:28" ht="18" x14ac:dyDescent="0.35">
      <c r="A39" s="28" t="s">
        <v>32</v>
      </c>
      <c r="B39" s="132"/>
      <c r="C39" s="133"/>
      <c r="D39" s="11"/>
      <c r="E39" s="11"/>
      <c r="F39" s="11"/>
      <c r="G39" s="11"/>
      <c r="H39" s="11"/>
      <c r="I39" s="11"/>
      <c r="J39" s="11"/>
      <c r="K39" s="11"/>
      <c r="L39" s="11"/>
      <c r="M39" s="18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3"/>
      <c r="Y39" s="3"/>
      <c r="Z39" s="3"/>
      <c r="AA39" s="3"/>
      <c r="AB39" s="3"/>
    </row>
    <row r="40" spans="1:28" ht="18" x14ac:dyDescent="0.35">
      <c r="A40" s="44" t="s">
        <v>76</v>
      </c>
      <c r="B40" s="130">
        <f>0.75*B15</f>
        <v>2.1675</v>
      </c>
      <c r="C40" s="130"/>
      <c r="D40" s="11"/>
      <c r="E40" s="11"/>
      <c r="F40" s="11"/>
      <c r="G40" s="11"/>
      <c r="H40" s="11"/>
      <c r="I40" s="11"/>
      <c r="J40" s="11"/>
      <c r="K40" s="11"/>
      <c r="L40" s="11"/>
      <c r="M40" s="18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3"/>
      <c r="Y40" s="3"/>
      <c r="Z40" s="3"/>
      <c r="AA40" s="3"/>
      <c r="AB40" s="3"/>
    </row>
    <row r="41" spans="1:28" ht="18" x14ac:dyDescent="0.35">
      <c r="A41" s="80" t="s">
        <v>45</v>
      </c>
      <c r="B41" s="130">
        <f>1.25*B15</f>
        <v>3.6125000000000003</v>
      </c>
      <c r="C41" s="130"/>
      <c r="D41" s="11"/>
      <c r="E41" s="11"/>
      <c r="F41" s="11"/>
      <c r="G41" s="11"/>
      <c r="H41" s="11"/>
      <c r="I41" s="11"/>
      <c r="J41" s="11"/>
      <c r="K41" s="11"/>
      <c r="L41" s="11"/>
      <c r="M41" s="18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3"/>
      <c r="Y41" s="3"/>
      <c r="Z41" s="3"/>
      <c r="AA41" s="3"/>
      <c r="AB41" s="3"/>
    </row>
    <row r="42" spans="1:28" ht="18" x14ac:dyDescent="0.35">
      <c r="A42" s="80" t="s">
        <v>33</v>
      </c>
      <c r="B42" s="130">
        <f>1.5*B15</f>
        <v>4.335</v>
      </c>
      <c r="C42" s="130"/>
      <c r="D42" s="11"/>
      <c r="E42" s="11"/>
      <c r="F42" s="11"/>
      <c r="G42" s="11"/>
      <c r="H42" s="11"/>
      <c r="I42" s="11"/>
      <c r="J42" s="11"/>
      <c r="K42" s="11"/>
      <c r="L42" s="11"/>
      <c r="M42" s="18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3"/>
      <c r="Y42" s="3"/>
      <c r="Z42" s="3"/>
      <c r="AA42" s="3"/>
      <c r="AB42" s="3"/>
    </row>
    <row r="43" spans="1:28" ht="18" x14ac:dyDescent="0.35">
      <c r="A43" s="3"/>
      <c r="B43" s="3"/>
      <c r="C43" s="3"/>
      <c r="D43" s="11"/>
      <c r="E43" s="11"/>
      <c r="F43" s="11"/>
      <c r="G43" s="11"/>
      <c r="H43" s="11"/>
      <c r="I43" s="11"/>
      <c r="J43" s="11"/>
      <c r="K43" s="11"/>
      <c r="L43" s="11"/>
      <c r="M43" s="18"/>
      <c r="N43" s="11"/>
      <c r="O43" s="11"/>
      <c r="P43" s="11"/>
      <c r="Q43" s="11"/>
      <c r="R43" s="13"/>
      <c r="S43" s="11"/>
      <c r="T43" s="11"/>
      <c r="U43" s="11"/>
      <c r="V43" s="11"/>
      <c r="W43" s="11"/>
      <c r="X43" s="3"/>
      <c r="Y43" s="3"/>
      <c r="Z43" s="3"/>
      <c r="AA43" s="3"/>
      <c r="AB43" s="3"/>
    </row>
    <row r="44" spans="1:28" ht="18" x14ac:dyDescent="0.35">
      <c r="A44" s="3"/>
      <c r="B44" s="3"/>
      <c r="C44" s="3"/>
      <c r="D44" s="11"/>
      <c r="E44" s="11"/>
      <c r="F44" s="11"/>
      <c r="G44" s="11"/>
      <c r="H44" s="11"/>
      <c r="I44" s="11"/>
      <c r="J44" s="11"/>
      <c r="K44" s="11"/>
      <c r="L44" s="11"/>
      <c r="M44" s="18"/>
      <c r="N44" s="11"/>
      <c r="O44" s="11"/>
      <c r="P44" s="11"/>
      <c r="Q44" s="11"/>
      <c r="R44" s="14"/>
      <c r="S44" s="3"/>
      <c r="U44" s="3"/>
      <c r="V44" s="3"/>
      <c r="W44" s="3"/>
      <c r="X44" s="3"/>
      <c r="Y44" s="3"/>
      <c r="Z44" s="3"/>
      <c r="AA44" s="3"/>
      <c r="AB44" s="3"/>
    </row>
    <row r="45" spans="1:28" ht="18" x14ac:dyDescent="0.35">
      <c r="A45" s="15" t="s">
        <v>34</v>
      </c>
      <c r="B45" s="16" t="s">
        <v>35</v>
      </c>
      <c r="C45" s="16" t="s">
        <v>36</v>
      </c>
      <c r="D45" s="11"/>
      <c r="E45" s="11"/>
      <c r="F45" s="11"/>
      <c r="G45" s="11"/>
      <c r="H45" s="11"/>
      <c r="I45" s="11"/>
      <c r="J45" s="11"/>
      <c r="K45" s="11"/>
      <c r="L45" s="11"/>
      <c r="M45" s="18"/>
      <c r="N45" s="11"/>
      <c r="O45" s="11"/>
      <c r="P45" s="11"/>
      <c r="Q45" s="11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24" customHeight="1" x14ac:dyDescent="0.35">
      <c r="A46" s="135" t="s">
        <v>37</v>
      </c>
      <c r="B46" s="61">
        <f>B31</f>
        <v>142.40571597829873</v>
      </c>
      <c r="C46" s="62"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7"/>
      <c r="N46" s="11"/>
      <c r="O46" s="11"/>
      <c r="P46" s="11"/>
      <c r="Q46" s="11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8" x14ac:dyDescent="0.35">
      <c r="A47" s="136"/>
      <c r="B47" s="61">
        <f>B31</f>
        <v>142.40571597829873</v>
      </c>
      <c r="C47" s="63">
        <v>1</v>
      </c>
      <c r="D47" s="3"/>
      <c r="E47" s="3"/>
      <c r="F47" s="11"/>
      <c r="G47" s="11"/>
      <c r="H47" s="3"/>
      <c r="I47" s="11"/>
      <c r="J47" s="11"/>
      <c r="K47" s="11"/>
      <c r="L47" s="11"/>
      <c r="M47" s="17"/>
      <c r="N47" s="11"/>
      <c r="O47" s="3"/>
      <c r="P47" s="11"/>
      <c r="Q47" s="11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8" x14ac:dyDescent="0.35">
      <c r="A48" s="135" t="s">
        <v>52</v>
      </c>
      <c r="B48" s="61">
        <f>D31</f>
        <v>201.39209489596104</v>
      </c>
      <c r="C48" s="63">
        <v>0</v>
      </c>
      <c r="D48" s="3"/>
      <c r="E48" s="3"/>
      <c r="F48" s="11"/>
      <c r="G48" s="11"/>
      <c r="H48" s="3"/>
      <c r="I48" s="11"/>
      <c r="J48" s="11"/>
      <c r="K48" s="11"/>
      <c r="L48" s="11"/>
      <c r="M48" s="17"/>
      <c r="N48" s="11"/>
      <c r="O48" s="3"/>
      <c r="P48" s="11"/>
      <c r="Q48" s="11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8" x14ac:dyDescent="0.35">
      <c r="A49" s="136"/>
      <c r="B49" s="61">
        <f>D31</f>
        <v>201.39209489596104</v>
      </c>
      <c r="C49" s="63">
        <v>-1</v>
      </c>
      <c r="D49" s="3"/>
      <c r="E49" s="3"/>
      <c r="F49" s="11"/>
      <c r="G49" s="11"/>
      <c r="H49" s="3"/>
      <c r="I49" s="11"/>
      <c r="J49" s="11"/>
      <c r="K49" s="11"/>
      <c r="L49" s="11"/>
      <c r="M49" s="17"/>
      <c r="N49" s="11"/>
      <c r="O49" s="3"/>
      <c r="P49" s="11"/>
      <c r="Q49" s="11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30" customHeight="1" x14ac:dyDescent="0.35">
      <c r="A50" s="115" t="s">
        <v>38</v>
      </c>
      <c r="B50" s="38">
        <f>B33</f>
        <v>242.08971716310782</v>
      </c>
      <c r="C50" s="81">
        <f>B15</f>
        <v>2.89</v>
      </c>
      <c r="D50" s="3"/>
      <c r="E50" s="3"/>
      <c r="F50" s="11"/>
      <c r="G50" s="11"/>
      <c r="H50" s="3"/>
      <c r="I50" s="11"/>
      <c r="J50" s="11"/>
      <c r="K50" s="11"/>
      <c r="L50" s="11"/>
      <c r="M50" s="17"/>
      <c r="N50" s="11"/>
      <c r="O50" s="3"/>
      <c r="P50" s="11"/>
      <c r="Q50" s="11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8" x14ac:dyDescent="0.35">
      <c r="A51" s="116"/>
      <c r="B51" s="38">
        <f>B36</f>
        <v>331.27920000000006</v>
      </c>
      <c r="C51" s="81">
        <f>B15</f>
        <v>2.89</v>
      </c>
      <c r="D51" s="3"/>
      <c r="E51" s="3"/>
      <c r="F51" s="11"/>
      <c r="G51" s="11"/>
      <c r="H51" s="3"/>
      <c r="I51" s="11"/>
      <c r="J51" s="11"/>
      <c r="K51" s="11"/>
      <c r="L51" s="11"/>
      <c r="M51" s="17"/>
      <c r="N51" s="11"/>
      <c r="O51" s="3"/>
      <c r="P51" s="11"/>
      <c r="Q51" s="11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8" x14ac:dyDescent="0.35">
      <c r="A52" s="115" t="s">
        <v>89</v>
      </c>
      <c r="B52" s="38">
        <f>D31</f>
        <v>201.39209489596104</v>
      </c>
      <c r="C52" s="81">
        <f>B16</f>
        <v>-1</v>
      </c>
      <c r="D52" s="3"/>
      <c r="E52" s="3"/>
      <c r="F52" s="11"/>
      <c r="G52" s="11"/>
      <c r="H52" s="3"/>
      <c r="I52" s="11"/>
      <c r="J52" s="11"/>
      <c r="K52" s="11"/>
      <c r="L52" s="11"/>
      <c r="M52" s="17"/>
      <c r="N52" s="11"/>
      <c r="O52" s="3"/>
      <c r="P52" s="11"/>
      <c r="Q52" s="11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54" customHeight="1" x14ac:dyDescent="0.35">
      <c r="A53" s="137"/>
      <c r="B53" s="82">
        <f>B34</f>
        <v>265.02336000000003</v>
      </c>
      <c r="C53" s="81">
        <f>B16</f>
        <v>-1</v>
      </c>
      <c r="D53" s="3"/>
      <c r="E53" s="3"/>
      <c r="F53" s="11"/>
      <c r="G53" s="11"/>
      <c r="H53" s="3"/>
      <c r="I53" s="11"/>
      <c r="J53" s="11"/>
      <c r="K53" s="11"/>
      <c r="L53" s="11"/>
      <c r="M53" s="17"/>
      <c r="N53" s="11"/>
      <c r="O53" s="3"/>
      <c r="P53" s="11"/>
      <c r="Q53" s="11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8" x14ac:dyDescent="0.35">
      <c r="A54" s="112" t="s">
        <v>39</v>
      </c>
      <c r="B54" s="79">
        <v>0</v>
      </c>
      <c r="C54" s="83">
        <v>0</v>
      </c>
      <c r="D54" s="3"/>
      <c r="E54" s="3"/>
      <c r="F54" s="11"/>
      <c r="G54" s="11"/>
      <c r="H54" s="3"/>
      <c r="I54" s="11"/>
      <c r="J54" s="11"/>
      <c r="K54" s="11"/>
      <c r="L54" s="11"/>
      <c r="M54" s="17"/>
      <c r="N54" s="11"/>
      <c r="O54" s="3"/>
      <c r="P54" s="11"/>
      <c r="Q54" s="11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8" x14ac:dyDescent="0.35">
      <c r="A55" s="113"/>
      <c r="B55" s="79">
        <f>B32</f>
        <v>163.76657337504352</v>
      </c>
      <c r="C55" s="84">
        <v>2</v>
      </c>
      <c r="D55" s="3"/>
      <c r="E55" s="3"/>
      <c r="F55" s="11"/>
      <c r="G55" s="11"/>
      <c r="H55" s="3"/>
      <c r="I55" s="11"/>
      <c r="J55" s="11"/>
      <c r="K55" s="11"/>
      <c r="L55" s="11"/>
      <c r="M55" s="17"/>
      <c r="N55" s="11"/>
      <c r="O55" s="3"/>
      <c r="P55" s="11"/>
      <c r="Q55" s="11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8" x14ac:dyDescent="0.35">
      <c r="A56" s="114" t="s">
        <v>40</v>
      </c>
      <c r="B56" s="85">
        <f>B33</f>
        <v>242.08971716310782</v>
      </c>
      <c r="C56" s="79">
        <f>B16</f>
        <v>-1</v>
      </c>
      <c r="D56" s="5"/>
      <c r="E56" s="5"/>
      <c r="F56" s="11"/>
      <c r="G56" s="11"/>
      <c r="H56" s="3"/>
      <c r="I56" s="11"/>
      <c r="J56" s="11"/>
      <c r="K56" s="11"/>
      <c r="L56" s="11"/>
      <c r="M56" s="17"/>
      <c r="N56" s="11"/>
      <c r="O56" s="3"/>
      <c r="P56" s="11"/>
      <c r="Q56" s="11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8" x14ac:dyDescent="0.35">
      <c r="A57" s="114"/>
      <c r="B57" s="85">
        <f>B33</f>
        <v>242.08971716310782</v>
      </c>
      <c r="C57" s="86">
        <f>B15</f>
        <v>2.89</v>
      </c>
      <c r="D57" s="5"/>
      <c r="E57" s="5"/>
      <c r="F57" s="11"/>
      <c r="G57" s="11"/>
      <c r="H57" s="3"/>
      <c r="I57" s="11"/>
      <c r="J57" s="11"/>
      <c r="K57" s="11"/>
      <c r="L57" s="11"/>
      <c r="M57" s="17"/>
      <c r="N57" s="11"/>
      <c r="O57" s="3"/>
      <c r="P57" s="11"/>
      <c r="Q57" s="11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8" x14ac:dyDescent="0.35">
      <c r="A58" s="112" t="s">
        <v>41</v>
      </c>
      <c r="B58" s="85">
        <f>B34</f>
        <v>265.02336000000003</v>
      </c>
      <c r="C58" s="79">
        <f>B16</f>
        <v>-1</v>
      </c>
      <c r="D58" s="5"/>
      <c r="E58" s="5"/>
      <c r="F58" s="11"/>
      <c r="G58" s="11"/>
      <c r="H58" s="3"/>
      <c r="I58" s="11"/>
      <c r="J58" s="11"/>
      <c r="K58" s="11"/>
      <c r="L58" s="11"/>
      <c r="M58" s="17"/>
      <c r="N58" s="11"/>
      <c r="O58" s="3"/>
      <c r="P58" s="11"/>
      <c r="Q58" s="11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8" x14ac:dyDescent="0.35">
      <c r="A59" s="114"/>
      <c r="B59" s="85">
        <f>B34</f>
        <v>265.02336000000003</v>
      </c>
      <c r="C59" s="86">
        <f>B15</f>
        <v>2.89</v>
      </c>
      <c r="D59" s="5"/>
      <c r="E59" s="5"/>
      <c r="F59" s="11"/>
      <c r="G59" s="11"/>
      <c r="H59" s="3"/>
      <c r="I59" s="11"/>
      <c r="J59" s="11"/>
      <c r="K59" s="11"/>
      <c r="L59" s="11"/>
      <c r="M59" s="17"/>
      <c r="N59" s="11"/>
      <c r="O59" s="3"/>
      <c r="P59" s="11"/>
      <c r="Q59" s="11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8" x14ac:dyDescent="0.35">
      <c r="A60" s="112" t="s">
        <v>42</v>
      </c>
      <c r="B60" s="79">
        <f>B35</f>
        <v>298.15128000000004</v>
      </c>
      <c r="C60" s="87">
        <v>0</v>
      </c>
      <c r="D60" s="3"/>
      <c r="E60" s="3"/>
      <c r="F60" s="11"/>
      <c r="G60" s="11"/>
      <c r="H60" s="3"/>
      <c r="I60" s="11"/>
      <c r="J60" s="11"/>
      <c r="K60" s="11"/>
      <c r="L60" s="11"/>
      <c r="M60" s="17"/>
      <c r="N60" s="11"/>
      <c r="O60" s="3"/>
      <c r="P60" s="11"/>
      <c r="Q60" s="11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8" x14ac:dyDescent="0.35">
      <c r="A61" s="113"/>
      <c r="B61" s="79">
        <f>B35</f>
        <v>298.15128000000004</v>
      </c>
      <c r="C61" s="86">
        <v>0</v>
      </c>
      <c r="D61" s="3"/>
      <c r="E61" s="3"/>
      <c r="F61" s="11"/>
      <c r="G61" s="11"/>
      <c r="H61" s="3"/>
      <c r="I61" s="11"/>
      <c r="J61" s="11"/>
      <c r="K61" s="11"/>
      <c r="L61" s="11"/>
      <c r="M61" s="17"/>
      <c r="N61" s="11"/>
      <c r="O61" s="3"/>
      <c r="P61" s="11"/>
      <c r="Q61" s="11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8" x14ac:dyDescent="0.35">
      <c r="A62" s="114" t="s">
        <v>43</v>
      </c>
      <c r="B62" s="79">
        <f>B36</f>
        <v>331.27920000000006</v>
      </c>
      <c r="C62" s="79">
        <v>0</v>
      </c>
      <c r="D62" s="3"/>
      <c r="E62" s="3"/>
      <c r="F62" s="11"/>
      <c r="G62" s="11"/>
      <c r="H62" s="3"/>
      <c r="I62" s="11"/>
      <c r="J62" s="11"/>
      <c r="K62" s="11"/>
      <c r="L62" s="11"/>
      <c r="M62" s="17"/>
      <c r="N62" s="11"/>
      <c r="O62" s="3"/>
      <c r="P62" s="11"/>
      <c r="Q62" s="11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8" x14ac:dyDescent="0.35">
      <c r="A63" s="113"/>
      <c r="B63" s="79">
        <f>B36</f>
        <v>331.27920000000006</v>
      </c>
      <c r="C63" s="86">
        <f>B15</f>
        <v>2.89</v>
      </c>
      <c r="D63" s="3"/>
      <c r="E63" s="3"/>
      <c r="F63" s="11"/>
      <c r="G63" s="11"/>
      <c r="H63" s="3"/>
      <c r="I63" s="11"/>
      <c r="J63" s="11"/>
      <c r="K63" s="11"/>
      <c r="L63" s="11"/>
      <c r="M63" s="17"/>
      <c r="N63" s="11"/>
      <c r="O63" s="3"/>
      <c r="P63" s="11"/>
      <c r="Q63" s="11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8" x14ac:dyDescent="0.35">
      <c r="A64" s="138" t="s">
        <v>44</v>
      </c>
      <c r="B64" s="88">
        <f>B58</f>
        <v>265.02336000000003</v>
      </c>
      <c r="C64" s="89">
        <f>C58</f>
        <v>-1</v>
      </c>
      <c r="D64" s="3"/>
      <c r="E64" s="3"/>
      <c r="F64" s="11"/>
      <c r="G64" s="11"/>
      <c r="H64" s="3"/>
      <c r="I64" s="11"/>
      <c r="J64" s="11"/>
      <c r="K64" s="11"/>
      <c r="L64" s="11"/>
      <c r="M64" s="17"/>
      <c r="N64" s="11"/>
      <c r="O64" s="3"/>
      <c r="P64" s="11"/>
      <c r="Q64" s="11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8" x14ac:dyDescent="0.35">
      <c r="A65" s="139"/>
      <c r="B65" s="88">
        <f>B62</f>
        <v>331.27920000000006</v>
      </c>
      <c r="C65" s="88">
        <v>0</v>
      </c>
      <c r="D65" s="3"/>
      <c r="E65" s="3"/>
      <c r="F65" s="11"/>
      <c r="G65" s="11"/>
      <c r="H65" s="3"/>
      <c r="I65" s="11"/>
      <c r="J65" s="11"/>
      <c r="K65" s="11"/>
      <c r="L65" s="11"/>
      <c r="M65" s="17"/>
      <c r="N65" s="11"/>
      <c r="O65" s="3"/>
      <c r="P65" s="11"/>
      <c r="Q65" s="11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8" x14ac:dyDescent="0.35">
      <c r="A66" s="140" t="s">
        <v>45</v>
      </c>
      <c r="B66" s="64">
        <v>0</v>
      </c>
      <c r="C66" s="90">
        <f>B41</f>
        <v>3.6125000000000003</v>
      </c>
      <c r="D66" s="3"/>
      <c r="E66" s="3"/>
      <c r="F66" s="11"/>
      <c r="G66" s="11"/>
      <c r="H66" s="3"/>
      <c r="I66" s="11"/>
      <c r="J66" s="11"/>
      <c r="K66" s="11"/>
      <c r="L66" s="11"/>
      <c r="M66" s="17"/>
      <c r="N66" s="11"/>
      <c r="O66" s="3"/>
      <c r="P66" s="11"/>
      <c r="Q66" s="11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8" x14ac:dyDescent="0.35">
      <c r="A67" s="141"/>
      <c r="B67" s="90">
        <f>B36</f>
        <v>331.27920000000006</v>
      </c>
      <c r="C67" s="90">
        <f>C66</f>
        <v>3.6125000000000003</v>
      </c>
      <c r="D67" s="3"/>
      <c r="E67" s="3"/>
      <c r="F67" s="11"/>
      <c r="G67" s="11"/>
      <c r="H67" s="3"/>
      <c r="I67" s="11"/>
      <c r="J67" s="11"/>
      <c r="K67" s="11"/>
      <c r="L67" s="11"/>
      <c r="M67" s="17"/>
      <c r="N67" s="11"/>
      <c r="O67" s="3"/>
      <c r="P67" s="11"/>
      <c r="Q67" s="11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8" x14ac:dyDescent="0.35">
      <c r="A68" s="142" t="s">
        <v>46</v>
      </c>
      <c r="B68" s="64">
        <v>0</v>
      </c>
      <c r="C68" s="90">
        <f>B42</f>
        <v>4.335</v>
      </c>
      <c r="D68" s="3"/>
      <c r="E68" s="3"/>
      <c r="F68" s="11"/>
      <c r="G68" s="11"/>
      <c r="H68" s="3"/>
      <c r="I68" s="11"/>
      <c r="J68" s="11"/>
      <c r="K68" s="11"/>
      <c r="L68" s="11"/>
      <c r="M68" s="17"/>
      <c r="N68" s="11"/>
      <c r="O68" s="3"/>
      <c r="P68" s="11"/>
      <c r="Q68" s="11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8" x14ac:dyDescent="0.35">
      <c r="A69" s="141"/>
      <c r="B69" s="90">
        <f>B67</f>
        <v>331.27920000000006</v>
      </c>
      <c r="C69" s="90">
        <f>C68</f>
        <v>4.335</v>
      </c>
      <c r="D69" s="3"/>
      <c r="E69" s="3"/>
      <c r="F69" s="11"/>
      <c r="G69" s="11"/>
      <c r="H69" s="3"/>
      <c r="I69" s="11"/>
      <c r="J69" s="11"/>
      <c r="K69" s="11"/>
      <c r="L69" s="11"/>
      <c r="M69" s="17"/>
      <c r="N69" s="11"/>
      <c r="O69" s="3"/>
      <c r="P69" s="11"/>
      <c r="Q69" s="11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8" x14ac:dyDescent="0.35">
      <c r="A70" s="134" t="s">
        <v>91</v>
      </c>
      <c r="B70" s="92">
        <f>B46</f>
        <v>142.40571597829873</v>
      </c>
      <c r="C70" s="93">
        <v>0</v>
      </c>
      <c r="D70" s="3"/>
      <c r="E70" s="3"/>
      <c r="F70" s="3"/>
      <c r="G70" s="3"/>
      <c r="H70" s="3"/>
      <c r="I70" s="3"/>
      <c r="J70" s="3"/>
      <c r="K70" s="3"/>
      <c r="L70" s="11"/>
      <c r="M70" s="17"/>
      <c r="N70" s="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8" x14ac:dyDescent="0.35">
      <c r="A71" s="134"/>
      <c r="B71" s="92">
        <f>B48</f>
        <v>201.39209489596104</v>
      </c>
      <c r="C71" s="93">
        <v>0</v>
      </c>
      <c r="D71" s="3"/>
      <c r="E71" s="3"/>
      <c r="F71" s="3"/>
      <c r="G71" s="3"/>
      <c r="H71" s="3"/>
      <c r="I71" s="3"/>
      <c r="J71" s="3"/>
      <c r="K71" s="3"/>
      <c r="L71" s="11"/>
      <c r="M71" s="17"/>
      <c r="N71" s="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8" x14ac:dyDescent="0.35">
      <c r="A72" s="29"/>
      <c r="B72" s="3"/>
      <c r="C72" s="3"/>
      <c r="D72" s="3"/>
      <c r="E72" s="3"/>
      <c r="F72" s="3"/>
      <c r="G72" s="3"/>
      <c r="H72" s="3"/>
      <c r="I72" s="3"/>
      <c r="J72" s="3"/>
      <c r="K72" s="3"/>
      <c r="L72" s="11"/>
      <c r="M72" s="17"/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8" x14ac:dyDescent="0.35">
      <c r="A73" s="29"/>
      <c r="B73" s="30"/>
      <c r="C73" s="30"/>
      <c r="D73" s="3"/>
      <c r="E73" s="3"/>
      <c r="F73" s="3"/>
      <c r="G73" s="3"/>
      <c r="H73" s="3"/>
      <c r="I73" s="3"/>
      <c r="J73" s="3"/>
      <c r="K73" s="3"/>
      <c r="L73" s="11"/>
      <c r="M73" s="17"/>
      <c r="N73" s="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8" x14ac:dyDescent="0.35">
      <c r="A74" s="3" t="s">
        <v>90</v>
      </c>
      <c r="B74" s="3">
        <v>0</v>
      </c>
      <c r="C74" s="3">
        <v>1</v>
      </c>
      <c r="D74" s="3"/>
      <c r="E74" s="3"/>
      <c r="F74" s="3"/>
      <c r="G74" s="3"/>
      <c r="H74" s="3"/>
      <c r="I74" s="3"/>
      <c r="J74" s="3"/>
      <c r="K74" s="3"/>
      <c r="L74" s="11"/>
      <c r="M74" s="17"/>
      <c r="N74" s="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8" x14ac:dyDescent="0.35">
      <c r="A75" s="3"/>
      <c r="B75" s="30">
        <f>B36</f>
        <v>331.27920000000006</v>
      </c>
      <c r="C75" s="3">
        <v>1</v>
      </c>
      <c r="D75" s="3"/>
      <c r="E75" s="3"/>
      <c r="F75" s="3"/>
      <c r="G75" s="3"/>
      <c r="H75" s="3"/>
      <c r="I75" s="3"/>
      <c r="J75" s="3"/>
      <c r="K75" s="3"/>
      <c r="L75" s="11"/>
      <c r="M75" s="17"/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8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11"/>
      <c r="M76" s="17"/>
      <c r="N76" s="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8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11"/>
      <c r="M77" s="17"/>
      <c r="N77" s="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8" x14ac:dyDescent="0.35">
      <c r="A78" s="29"/>
      <c r="B78" s="3"/>
      <c r="C78" s="3"/>
      <c r="D78" s="3"/>
      <c r="E78" s="3"/>
      <c r="F78" s="3"/>
      <c r="G78" s="3"/>
      <c r="H78" s="3"/>
      <c r="I78" s="3"/>
      <c r="J78" s="3"/>
      <c r="K78" s="3"/>
      <c r="L78" s="11"/>
      <c r="M78" s="17"/>
      <c r="N78" s="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8" x14ac:dyDescent="0.35">
      <c r="A79" s="29"/>
      <c r="B79" s="3"/>
      <c r="C79" s="3"/>
      <c r="D79" s="3"/>
      <c r="E79" s="3"/>
      <c r="F79" s="3"/>
      <c r="G79" s="3"/>
      <c r="H79" s="3"/>
      <c r="I79" s="3"/>
      <c r="J79" s="3"/>
      <c r="K79" s="3"/>
      <c r="L79" s="11"/>
      <c r="M79" s="17"/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8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11"/>
      <c r="M80" s="17"/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8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11"/>
      <c r="M81" s="17"/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8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11"/>
      <c r="M82" s="17"/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8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11"/>
      <c r="M83" s="17"/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</sheetData>
  <mergeCells count="54">
    <mergeCell ref="D4:M4"/>
    <mergeCell ref="N4:W4"/>
    <mergeCell ref="B13:C13"/>
    <mergeCell ref="B14:C14"/>
    <mergeCell ref="B15:C15"/>
    <mergeCell ref="B28:C28"/>
    <mergeCell ref="B16:C16"/>
    <mergeCell ref="A1:A3"/>
    <mergeCell ref="B1:C3"/>
    <mergeCell ref="B4:C4"/>
    <mergeCell ref="B8:C8"/>
    <mergeCell ref="B9:C9"/>
    <mergeCell ref="B10:C10"/>
    <mergeCell ref="B11:C11"/>
    <mergeCell ref="B12:C12"/>
    <mergeCell ref="B5:C5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7:C17"/>
    <mergeCell ref="B6:C6"/>
    <mergeCell ref="B7:C7"/>
    <mergeCell ref="A46:A47"/>
    <mergeCell ref="B31:C31"/>
    <mergeCell ref="B32:C32"/>
    <mergeCell ref="B33:C33"/>
    <mergeCell ref="B34:C34"/>
    <mergeCell ref="B35:C35"/>
    <mergeCell ref="B36:C36"/>
    <mergeCell ref="B37:C37"/>
    <mergeCell ref="B39:C39"/>
    <mergeCell ref="B40:C40"/>
    <mergeCell ref="B41:C41"/>
    <mergeCell ref="B42:C42"/>
    <mergeCell ref="B30:C30"/>
    <mergeCell ref="A70:A71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BE5C-0DAC-416F-A058-E3A114E5C927}">
  <dimension ref="A1:F28"/>
  <sheetViews>
    <sheetView topLeftCell="E1" workbookViewId="0">
      <selection activeCell="F15" sqref="F15"/>
    </sheetView>
  </sheetViews>
  <sheetFormatPr baseColWidth="10" defaultColWidth="11.5546875" defaultRowHeight="14.4" x14ac:dyDescent="0.3"/>
  <cols>
    <col min="1" max="1" width="14.44140625" customWidth="1"/>
    <col min="2" max="2" width="18.44140625" bestFit="1" customWidth="1"/>
    <col min="3" max="3" width="18.88671875" bestFit="1" customWidth="1"/>
  </cols>
  <sheetData>
    <row r="1" spans="1:6" x14ac:dyDescent="0.3">
      <c r="B1" s="68" t="s">
        <v>69</v>
      </c>
      <c r="C1" s="68" t="s">
        <v>70</v>
      </c>
    </row>
    <row r="2" spans="1:6" x14ac:dyDescent="0.3">
      <c r="A2" s="67" t="s">
        <v>67</v>
      </c>
      <c r="B2" s="36" t="s">
        <v>71</v>
      </c>
      <c r="C2" s="35">
        <f>ACOS(1/2.89)*180/PI()</f>
        <v>69.755880719732545</v>
      </c>
      <c r="D2" s="34" t="s">
        <v>95</v>
      </c>
      <c r="E2" s="34">
        <f>ACOS(1/2.89)</f>
        <v>1.2174697911877648</v>
      </c>
    </row>
    <row r="3" spans="1:6" x14ac:dyDescent="0.3">
      <c r="A3" s="67" t="s">
        <v>68</v>
      </c>
      <c r="B3" s="36" t="s">
        <v>72</v>
      </c>
      <c r="C3" s="35">
        <f>E3*180/PI()</f>
        <v>20.343531230354657</v>
      </c>
      <c r="D3" s="34" t="s">
        <v>96</v>
      </c>
      <c r="E3" s="34">
        <f>((9.80665*TAN(E2))/'V-n SL'!$D$12)</f>
        <v>0.35506160145198173</v>
      </c>
    </row>
    <row r="4" spans="1:6" x14ac:dyDescent="0.3">
      <c r="A4" s="68" t="s">
        <v>65</v>
      </c>
      <c r="B4" s="36" t="s">
        <v>73</v>
      </c>
      <c r="C4" s="35">
        <f>('V-n SL'!$D$12^2)/(9.80665*TAN(E2))</f>
        <v>210.92058305867818</v>
      </c>
    </row>
    <row r="5" spans="1:6" x14ac:dyDescent="0.3">
      <c r="A5" s="68" t="s">
        <v>66</v>
      </c>
      <c r="B5" s="36" t="s">
        <v>74</v>
      </c>
      <c r="C5" s="35">
        <f>360/C3</f>
        <v>17.696042831681194</v>
      </c>
    </row>
    <row r="9" spans="1:6" x14ac:dyDescent="0.3">
      <c r="A9" s="69" t="s">
        <v>0</v>
      </c>
      <c r="B9" s="69" t="s">
        <v>54</v>
      </c>
      <c r="C9" s="69" t="s">
        <v>6</v>
      </c>
      <c r="D9" s="69" t="s">
        <v>92</v>
      </c>
      <c r="E9" s="69" t="s">
        <v>93</v>
      </c>
      <c r="F9" s="69" t="s">
        <v>94</v>
      </c>
    </row>
    <row r="10" spans="1:6" x14ac:dyDescent="0.3">
      <c r="A10" s="70">
        <v>113.11524899916832</v>
      </c>
      <c r="B10" s="70">
        <v>56.72780792335422</v>
      </c>
      <c r="C10" s="70">
        <v>1.7390953308694233</v>
      </c>
      <c r="D10" s="70">
        <f>ACOS(1/C10)*180/PI()</f>
        <v>54.899554992729918</v>
      </c>
      <c r="E10" s="70">
        <f t="shared" ref="E10:E28" si="0">DEGREES(((9.80665*TAN(RADIANS(D10)))/B10))</f>
        <v>14.092923979828237</v>
      </c>
      <c r="F10" s="70">
        <f t="shared" ref="F10:F28" si="1">(B10^2)/(9.80665*TAN(RADIANS(D10)))</f>
        <v>230.63091659965099</v>
      </c>
    </row>
    <row r="11" spans="1:6" x14ac:dyDescent="0.3">
      <c r="A11" s="70">
        <v>121.20405460600621</v>
      </c>
      <c r="B11" s="70">
        <v>60.784380444336115</v>
      </c>
      <c r="C11" s="70">
        <v>1.9967117526835203</v>
      </c>
      <c r="D11" s="70">
        <f>ACOS(1/C11)*180/PI()</f>
        <v>59.945508291913434</v>
      </c>
      <c r="E11" s="70">
        <f t="shared" si="0"/>
        <v>15.975651892033387</v>
      </c>
      <c r="F11" s="70">
        <f t="shared" si="1"/>
        <v>217.99977135923413</v>
      </c>
    </row>
    <row r="12" spans="1:6" x14ac:dyDescent="0.3">
      <c r="A12" s="70">
        <v>145.69999999999999</v>
      </c>
      <c r="B12" s="70">
        <v>73.069207622868603</v>
      </c>
      <c r="C12" s="70">
        <v>2.8853611566568298</v>
      </c>
      <c r="D12" s="70">
        <f t="shared" ref="D12:D28" si="2">ACOS(1/C12)*180/PI()</f>
        <v>69.721904584788376</v>
      </c>
      <c r="E12" s="70">
        <f t="shared" si="0"/>
        <v>20.812386615299399</v>
      </c>
      <c r="F12" s="70">
        <f t="shared" si="1"/>
        <v>201.1569978273387</v>
      </c>
    </row>
    <row r="13" spans="1:6" x14ac:dyDescent="0.3">
      <c r="A13" s="70">
        <v>170.7</v>
      </c>
      <c r="B13" s="70">
        <v>85.704208919211595</v>
      </c>
      <c r="C13" s="70">
        <v>3.9604826914035565</v>
      </c>
      <c r="D13" s="70">
        <f t="shared" si="2"/>
        <v>75.374828366349305</v>
      </c>
      <c r="E13" s="70">
        <f t="shared" si="0"/>
        <v>25.123745757132181</v>
      </c>
      <c r="F13" s="70">
        <f t="shared" si="1"/>
        <v>195.45212346309035</v>
      </c>
    </row>
    <row r="14" spans="1:6" x14ac:dyDescent="0.3">
      <c r="A14" s="70">
        <v>195.7</v>
      </c>
      <c r="B14" s="70">
        <v>98.144433299899688</v>
      </c>
      <c r="C14" s="70">
        <v>5.2055033308826975</v>
      </c>
      <c r="D14" s="70">
        <f t="shared" si="2"/>
        <v>78.924380939552222</v>
      </c>
      <c r="E14" s="70">
        <f t="shared" si="0"/>
        <v>29.246583035600583</v>
      </c>
      <c r="F14" s="70">
        <f t="shared" si="1"/>
        <v>192.27072796649497</v>
      </c>
    </row>
    <row r="15" spans="1:6" x14ac:dyDescent="0.3">
      <c r="A15" s="70">
        <v>220.7</v>
      </c>
      <c r="B15" s="70">
        <v>110.68204613841525</v>
      </c>
      <c r="C15" s="70">
        <v>6.6204230750942541</v>
      </c>
      <c r="D15" s="70">
        <f t="shared" si="2"/>
        <v>81.312350007830304</v>
      </c>
      <c r="E15" s="70">
        <f t="shared" si="0"/>
        <v>33.223101620220518</v>
      </c>
      <c r="F15" s="70">
        <f t="shared" si="1"/>
        <v>190.87965308283435</v>
      </c>
    </row>
    <row r="16" spans="1:6" x14ac:dyDescent="0.3">
      <c r="A16" s="70">
        <v>245.7</v>
      </c>
      <c r="B16" s="70">
        <v>123.21965897693079</v>
      </c>
      <c r="C16" s="70">
        <v>8.2052419240382264</v>
      </c>
      <c r="D16" s="70">
        <f t="shared" si="2"/>
        <v>82.999770972221455</v>
      </c>
      <c r="E16" s="70">
        <f t="shared" si="0"/>
        <v>37.136861031908957</v>
      </c>
      <c r="F16" s="70">
        <f t="shared" si="1"/>
        <v>190.10670843594761</v>
      </c>
    </row>
    <row r="17" spans="1:6" x14ac:dyDescent="0.3">
      <c r="A17" s="70">
        <v>270.7</v>
      </c>
      <c r="B17" s="70">
        <v>135.75727181544633</v>
      </c>
      <c r="C17" s="70">
        <v>9.9599598777146152</v>
      </c>
      <c r="D17" s="70">
        <f t="shared" si="2"/>
        <v>84.237679486708885</v>
      </c>
      <c r="E17" s="70">
        <f t="shared" si="0"/>
        <v>41.01452826323672</v>
      </c>
      <c r="F17" s="70">
        <f t="shared" si="1"/>
        <v>189.64788923849397</v>
      </c>
    </row>
    <row r="18" spans="1:6" x14ac:dyDescent="0.3">
      <c r="A18" s="70">
        <v>295.7</v>
      </c>
      <c r="B18" s="70">
        <v>148.29488465396187</v>
      </c>
      <c r="C18" s="70">
        <v>11.88457693612342</v>
      </c>
      <c r="D18" s="70">
        <f t="shared" si="2"/>
        <v>85.173273306707131</v>
      </c>
      <c r="E18" s="70">
        <f t="shared" si="0"/>
        <v>44.870199008084612</v>
      </c>
      <c r="F18" s="70">
        <f t="shared" si="1"/>
        <v>189.36111721992725</v>
      </c>
    </row>
    <row r="19" spans="1:6" x14ac:dyDescent="0.3">
      <c r="A19" s="70">
        <v>320.7</v>
      </c>
      <c r="B19" s="70">
        <v>160.83249749247742</v>
      </c>
      <c r="C19" s="70">
        <v>13.979093099264643</v>
      </c>
      <c r="D19" s="70">
        <f t="shared" si="2"/>
        <v>85.897819785445748</v>
      </c>
      <c r="E19" s="70">
        <f t="shared" si="0"/>
        <v>48.711828932153765</v>
      </c>
      <c r="F19" s="70">
        <f t="shared" si="1"/>
        <v>189.17424200397221</v>
      </c>
    </row>
    <row r="20" spans="1:6" x14ac:dyDescent="0.3">
      <c r="A20" s="70">
        <v>345.7</v>
      </c>
      <c r="B20" s="70">
        <v>173.37011033099299</v>
      </c>
      <c r="C20" s="70">
        <v>16.243508367138272</v>
      </c>
      <c r="D20" s="70">
        <f t="shared" si="2"/>
        <v>86.470464876829183</v>
      </c>
      <c r="E20" s="70">
        <f t="shared" si="0"/>
        <v>52.544149311694241</v>
      </c>
      <c r="F20" s="70">
        <f t="shared" si="1"/>
        <v>189.04817654879332</v>
      </c>
    </row>
    <row r="21" spans="1:6" x14ac:dyDescent="0.3">
      <c r="A21" s="70">
        <v>370.7</v>
      </c>
      <c r="B21" s="70">
        <v>185.90772316950853</v>
      </c>
      <c r="C21" s="70">
        <v>18.677822739744329</v>
      </c>
      <c r="D21" s="70">
        <f t="shared" si="2"/>
        <v>86.930949155094126</v>
      </c>
      <c r="E21" s="70">
        <f t="shared" si="0"/>
        <v>56.370097418778549</v>
      </c>
      <c r="F21" s="70">
        <f t="shared" si="1"/>
        <v>188.96060862493562</v>
      </c>
    </row>
    <row r="22" spans="1:6" x14ac:dyDescent="0.3">
      <c r="A22" s="70">
        <v>395.7</v>
      </c>
      <c r="B22" s="70">
        <v>198.44533600802407</v>
      </c>
      <c r="C22" s="70">
        <v>21.282036217082787</v>
      </c>
      <c r="D22" s="70">
        <f t="shared" si="2"/>
        <v>87.306795105694661</v>
      </c>
      <c r="E22" s="70">
        <f t="shared" si="0"/>
        <v>60.191563790055795</v>
      </c>
      <c r="F22" s="70">
        <f t="shared" si="1"/>
        <v>188.89823592178752</v>
      </c>
    </row>
    <row r="23" spans="1:6" x14ac:dyDescent="0.3">
      <c r="A23" s="70">
        <v>420.7</v>
      </c>
      <c r="B23" s="70">
        <v>210.98294884653961</v>
      </c>
      <c r="C23" s="70">
        <v>24.056148799153672</v>
      </c>
      <c r="D23" s="70">
        <f t="shared" si="2"/>
        <v>87.617561556711124</v>
      </c>
      <c r="E23" s="70">
        <f t="shared" si="0"/>
        <v>64.009803333570275</v>
      </c>
      <c r="F23" s="70">
        <f t="shared" si="1"/>
        <v>188.85283016939715</v>
      </c>
    </row>
    <row r="24" spans="1:6" x14ac:dyDescent="0.3">
      <c r="A24" s="70">
        <v>441</v>
      </c>
      <c r="B24" s="70">
        <v>221.16349047141424</v>
      </c>
      <c r="C24" s="70">
        <v>26.433718229971934</v>
      </c>
      <c r="D24" s="70">
        <f t="shared" si="2"/>
        <v>87.83195635790949</v>
      </c>
      <c r="E24" s="70">
        <f t="shared" si="0"/>
        <v>67.108439043420077</v>
      </c>
      <c r="F24" s="70">
        <f t="shared" si="1"/>
        <v>188.82475538128739</v>
      </c>
    </row>
    <row r="25" spans="1:6" x14ac:dyDescent="0.3">
      <c r="A25" s="70">
        <v>466</v>
      </c>
      <c r="B25" s="70">
        <v>233.70110330992978</v>
      </c>
      <c r="C25" s="70">
        <v>29.515687989817955</v>
      </c>
      <c r="D25" s="70">
        <f t="shared" si="2"/>
        <v>88.058430940623836</v>
      </c>
      <c r="E25" s="70">
        <f t="shared" si="0"/>
        <v>70.922829756177848</v>
      </c>
      <c r="F25" s="70">
        <f t="shared" si="1"/>
        <v>188.79797849638737</v>
      </c>
    </row>
    <row r="26" spans="1:6" x14ac:dyDescent="0.3">
      <c r="A26" s="70">
        <v>491</v>
      </c>
      <c r="B26" s="70">
        <v>246.23871614844535</v>
      </c>
      <c r="C26" s="70">
        <v>32.767556854396389</v>
      </c>
      <c r="D26" s="70">
        <f t="shared" si="2"/>
        <v>88.251176393368851</v>
      </c>
      <c r="E26" s="70">
        <f t="shared" si="0"/>
        <v>74.735801705579831</v>
      </c>
      <c r="F26" s="70">
        <f t="shared" si="1"/>
        <v>188.77751848579476</v>
      </c>
    </row>
    <row r="27" spans="1:6" x14ac:dyDescent="0.3">
      <c r="A27" s="70">
        <v>516</v>
      </c>
      <c r="B27" s="70">
        <v>258.77632898696089</v>
      </c>
      <c r="C27" s="70">
        <v>36.189324823707246</v>
      </c>
      <c r="D27" s="70">
        <f t="shared" si="2"/>
        <v>88.416575227909533</v>
      </c>
      <c r="E27" s="70">
        <f t="shared" si="0"/>
        <v>78.547682192550297</v>
      </c>
      <c r="F27" s="70">
        <f t="shared" si="1"/>
        <v>188.76166775355188</v>
      </c>
    </row>
    <row r="28" spans="1:6" x14ac:dyDescent="0.3">
      <c r="A28" s="70">
        <v>551.25</v>
      </c>
      <c r="B28" s="70">
        <v>276.45436308926782</v>
      </c>
      <c r="C28" s="70">
        <v>41.302684734331137</v>
      </c>
      <c r="D28" s="70">
        <f t="shared" si="2"/>
        <v>88.612647600856988</v>
      </c>
      <c r="E28" s="70">
        <f t="shared" si="0"/>
        <v>83.921031542940895</v>
      </c>
      <c r="F28" s="70">
        <f t="shared" si="1"/>
        <v>188.74491818999408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3F2D43C58DB54798C93F0583AA95BD" ma:contentTypeVersion="16" ma:contentTypeDescription="Create a new document." ma:contentTypeScope="" ma:versionID="4053c97344adecb2ee1b42fe2e50847a">
  <xsd:schema xmlns:xsd="http://www.w3.org/2001/XMLSchema" xmlns:xs="http://www.w3.org/2001/XMLSchema" xmlns:p="http://schemas.microsoft.com/office/2006/metadata/properties" xmlns:ns3="706745f3-31ad-4786-8a04-52efe6413951" xmlns:ns4="b6f3b4af-f1f3-4030-8b81-3ba668a13980" targetNamespace="http://schemas.microsoft.com/office/2006/metadata/properties" ma:root="true" ma:fieldsID="3359cee8ac579eb3705af126815b1e79" ns3:_="" ns4:_="">
    <xsd:import namespace="706745f3-31ad-4786-8a04-52efe6413951"/>
    <xsd:import namespace="b6f3b4af-f1f3-4030-8b81-3ba668a139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745f3-31ad-4786-8a04-52efe6413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3b4af-f1f3-4030-8b81-3ba668a139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6745f3-31ad-4786-8a04-52efe6413951" xsi:nil="true"/>
  </documentManagement>
</p:properties>
</file>

<file path=customXml/itemProps1.xml><?xml version="1.0" encoding="utf-8"?>
<ds:datastoreItem xmlns:ds="http://schemas.openxmlformats.org/officeDocument/2006/customXml" ds:itemID="{613116D9-41D3-46FC-9C76-8DB91D766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6745f3-31ad-4786-8a04-52efe6413951"/>
    <ds:schemaRef ds:uri="b6f3b4af-f1f3-4030-8b81-3ba668a139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D82AA8-C089-4B13-8EA4-D0E0B922CC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4313A1-A181-450A-822A-489F25B9E255}">
  <ds:schemaRefs>
    <ds:schemaRef ds:uri="http://schemas.microsoft.com/office/2006/documentManagement/types"/>
    <ds:schemaRef ds:uri="b6f3b4af-f1f3-4030-8b81-3ba668a13980"/>
    <ds:schemaRef ds:uri="http://www.w3.org/XML/1998/namespace"/>
    <ds:schemaRef ds:uri="http://purl.org/dc/dcmitype/"/>
    <ds:schemaRef ds:uri="706745f3-31ad-4786-8a04-52efe6413951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V-n SL</vt:lpstr>
      <vt:lpstr>V-n CL</vt:lpstr>
      <vt:lpstr>Level Turn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andresc.herrera@upb.edu.co</dc:creator>
  <cp:keywords/>
  <dc:description/>
  <cp:lastModifiedBy>Juan Fernando Diaz Sandoval</cp:lastModifiedBy>
  <cp:revision/>
  <dcterms:created xsi:type="dcterms:W3CDTF">2020-02-04T20:24:20Z</dcterms:created>
  <dcterms:modified xsi:type="dcterms:W3CDTF">2025-03-23T00:23:14Z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0x010100723F2D43C58DB54798C93F0583AA95BD</vt:lpwstr>
  </property>
</Properties>
</file>