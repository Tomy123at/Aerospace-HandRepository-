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upbeduco-my.sharepoint.com/personal/jeronimo_loperae_upb_edu_co/Documents/Contenido Académico/Semestre 7/Estructuras/"/>
    </mc:Choice>
  </mc:AlternateContent>
  <xr:revisionPtr revIDLastSave="0" documentId="8_{40225D54-FB8E-4C3D-964C-990A578F042E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V-n SL" sheetId="15" r:id="rId1"/>
    <sheet name="V-n CL" sheetId="17" r:id="rId2"/>
    <sheet name="Level Turn" sheetId="1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7" l="1"/>
  <c r="D28" i="17" s="1"/>
  <c r="D37" i="15"/>
  <c r="B37" i="15"/>
  <c r="O29" i="17"/>
  <c r="P29" i="17" s="1"/>
  <c r="J29" i="17"/>
  <c r="I29" i="17"/>
  <c r="G29" i="17"/>
  <c r="L29" i="17" s="1"/>
  <c r="F29" i="17"/>
  <c r="O28" i="17"/>
  <c r="P28" i="17" s="1"/>
  <c r="J28" i="17"/>
  <c r="I28" i="17"/>
  <c r="O27" i="17"/>
  <c r="P27" i="17" s="1"/>
  <c r="L27" i="17"/>
  <c r="K27" i="17"/>
  <c r="J27" i="17"/>
  <c r="I27" i="17"/>
  <c r="G27" i="17"/>
  <c r="F27" i="17"/>
  <c r="E27" i="17"/>
  <c r="O26" i="17"/>
  <c r="P26" i="17" s="1"/>
  <c r="J26" i="17"/>
  <c r="I26" i="17"/>
  <c r="G26" i="17"/>
  <c r="K26" i="17" s="1"/>
  <c r="E26" i="17"/>
  <c r="F26" i="17" s="1"/>
  <c r="O25" i="17"/>
  <c r="P25" i="17" s="1"/>
  <c r="J25" i="17"/>
  <c r="I25" i="17"/>
  <c r="G25" i="17"/>
  <c r="L25" i="17" s="1"/>
  <c r="E25" i="17"/>
  <c r="F25" i="17" s="1"/>
  <c r="P24" i="17"/>
  <c r="O24" i="17"/>
  <c r="J24" i="17"/>
  <c r="I24" i="17"/>
  <c r="G24" i="17"/>
  <c r="L24" i="17" s="1"/>
  <c r="F24" i="17"/>
  <c r="E24" i="17"/>
  <c r="O23" i="17"/>
  <c r="P23" i="17" s="1"/>
  <c r="J23" i="17"/>
  <c r="I23" i="17"/>
  <c r="G23" i="17"/>
  <c r="L23" i="17" s="1"/>
  <c r="E23" i="17"/>
  <c r="F23" i="17" s="1"/>
  <c r="O22" i="17"/>
  <c r="P22" i="17" s="1"/>
  <c r="L22" i="17"/>
  <c r="J22" i="17"/>
  <c r="I22" i="17"/>
  <c r="G22" i="17"/>
  <c r="K22" i="17" s="1"/>
  <c r="E22" i="17"/>
  <c r="F22" i="17" s="1"/>
  <c r="O21" i="17"/>
  <c r="P21" i="17" s="1"/>
  <c r="J21" i="17"/>
  <c r="L21" i="17" s="1"/>
  <c r="I21" i="17"/>
  <c r="K21" i="17" s="1"/>
  <c r="G21" i="17"/>
  <c r="E21" i="17"/>
  <c r="F21" i="17" s="1"/>
  <c r="O20" i="17"/>
  <c r="P20" i="17" s="1"/>
  <c r="J20" i="17"/>
  <c r="I20" i="17"/>
  <c r="G20" i="17"/>
  <c r="L20" i="17" s="1"/>
  <c r="E20" i="17"/>
  <c r="F20" i="17" s="1"/>
  <c r="O19" i="17"/>
  <c r="P19" i="17" s="1"/>
  <c r="J19" i="17"/>
  <c r="I19" i="17"/>
  <c r="G19" i="17"/>
  <c r="L19" i="17" s="1"/>
  <c r="E19" i="17"/>
  <c r="F19" i="17" s="1"/>
  <c r="O18" i="17"/>
  <c r="P18" i="17" s="1"/>
  <c r="J18" i="17"/>
  <c r="I18" i="17"/>
  <c r="G18" i="17"/>
  <c r="L18" i="17" s="1"/>
  <c r="E18" i="17"/>
  <c r="F18" i="17" s="1"/>
  <c r="O17" i="17"/>
  <c r="P17" i="17" s="1"/>
  <c r="J17" i="17"/>
  <c r="I17" i="17"/>
  <c r="G17" i="17"/>
  <c r="L17" i="17" s="1"/>
  <c r="E17" i="17"/>
  <c r="F17" i="17" s="1"/>
  <c r="O16" i="17"/>
  <c r="P16" i="17" s="1"/>
  <c r="K16" i="17"/>
  <c r="J16" i="17"/>
  <c r="L16" i="17" s="1"/>
  <c r="I16" i="17"/>
  <c r="G16" i="17"/>
  <c r="E16" i="17"/>
  <c r="F16" i="17" s="1"/>
  <c r="O15" i="17"/>
  <c r="P15" i="17" s="1"/>
  <c r="J15" i="17"/>
  <c r="I15" i="17"/>
  <c r="G15" i="17"/>
  <c r="L15" i="17" s="1"/>
  <c r="F15" i="17"/>
  <c r="E15" i="17"/>
  <c r="O14" i="17"/>
  <c r="P14" i="17" s="1"/>
  <c r="J14" i="17"/>
  <c r="I14" i="17"/>
  <c r="G14" i="17"/>
  <c r="K14" i="17" s="1"/>
  <c r="E14" i="17"/>
  <c r="F14" i="17" s="1"/>
  <c r="O13" i="17"/>
  <c r="P13" i="17" s="1"/>
  <c r="J13" i="17"/>
  <c r="I13" i="17"/>
  <c r="G13" i="17"/>
  <c r="L13" i="17" s="1"/>
  <c r="E13" i="17"/>
  <c r="F13" i="17" s="1"/>
  <c r="X12" i="17"/>
  <c r="O12" i="17"/>
  <c r="P12" i="17" s="1"/>
  <c r="J12" i="17"/>
  <c r="I12" i="17"/>
  <c r="G12" i="17"/>
  <c r="L12" i="17" s="1"/>
  <c r="E12" i="17"/>
  <c r="F12" i="17" s="1"/>
  <c r="X11" i="17"/>
  <c r="O11" i="17"/>
  <c r="P11" i="17" s="1"/>
  <c r="J11" i="17"/>
  <c r="L11" i="17" s="1"/>
  <c r="I11" i="17"/>
  <c r="K11" i="17" s="1"/>
  <c r="G11" i="17"/>
  <c r="E11" i="17"/>
  <c r="F11" i="17" s="1"/>
  <c r="X10" i="17"/>
  <c r="O10" i="17"/>
  <c r="P10" i="17" s="1"/>
  <c r="L10" i="17"/>
  <c r="K10" i="17"/>
  <c r="J10" i="17"/>
  <c r="I10" i="17"/>
  <c r="G10" i="17"/>
  <c r="F10" i="17"/>
  <c r="E10" i="17"/>
  <c r="O9" i="17"/>
  <c r="P9" i="17" s="1"/>
  <c r="J9" i="17"/>
  <c r="I9" i="17"/>
  <c r="G9" i="17"/>
  <c r="K9" i="17" s="1"/>
  <c r="E9" i="17"/>
  <c r="F9" i="17" s="1"/>
  <c r="O8" i="17"/>
  <c r="P8" i="17" s="1"/>
  <c r="J8" i="17"/>
  <c r="I8" i="17"/>
  <c r="G8" i="17"/>
  <c r="X8" i="17" s="1"/>
  <c r="E8" i="17"/>
  <c r="F8" i="17" s="1"/>
  <c r="O7" i="17"/>
  <c r="P7" i="17" s="1"/>
  <c r="J7" i="17"/>
  <c r="I7" i="17"/>
  <c r="G7" i="17"/>
  <c r="X7" i="17" s="1"/>
  <c r="E7" i="17"/>
  <c r="F7" i="17" s="1"/>
  <c r="X6" i="17"/>
  <c r="O6" i="17"/>
  <c r="P6" i="17" s="1"/>
  <c r="J6" i="17"/>
  <c r="I6" i="17"/>
  <c r="G6" i="17"/>
  <c r="L6" i="17" s="1"/>
  <c r="E6" i="17"/>
  <c r="F6" i="17" s="1"/>
  <c r="X7" i="15"/>
  <c r="X8" i="15"/>
  <c r="X9" i="15"/>
  <c r="X10" i="15"/>
  <c r="X11" i="15"/>
  <c r="X6" i="15"/>
  <c r="K6" i="15"/>
  <c r="U29" i="15"/>
  <c r="V29" i="15"/>
  <c r="F29" i="15"/>
  <c r="G29" i="15"/>
  <c r="I29" i="15"/>
  <c r="J29" i="15"/>
  <c r="L29" i="15"/>
  <c r="O29" i="15"/>
  <c r="P29" i="15" s="1"/>
  <c r="B51" i="15"/>
  <c r="C63" i="15"/>
  <c r="B31" i="17"/>
  <c r="G28" i="17" l="1"/>
  <c r="E28" i="17"/>
  <c r="F28" i="17" s="1"/>
  <c r="L28" i="17"/>
  <c r="K28" i="17"/>
  <c r="V29" i="17"/>
  <c r="U24" i="17"/>
  <c r="V19" i="17"/>
  <c r="S18" i="17"/>
  <c r="T13" i="17"/>
  <c r="U29" i="17"/>
  <c r="T24" i="17"/>
  <c r="U19" i="17"/>
  <c r="V14" i="17"/>
  <c r="S13" i="17"/>
  <c r="U6" i="17"/>
  <c r="V25" i="17"/>
  <c r="S24" i="17"/>
  <c r="T19" i="17"/>
  <c r="U14" i="17"/>
  <c r="V7" i="17"/>
  <c r="T6" i="17"/>
  <c r="V20" i="17"/>
  <c r="S19" i="17"/>
  <c r="T14" i="17"/>
  <c r="U7" i="17"/>
  <c r="S6" i="17"/>
  <c r="S15" i="17"/>
  <c r="S8" i="17"/>
  <c r="V22" i="17"/>
  <c r="U10" i="17"/>
  <c r="S16" i="17"/>
  <c r="T17" i="17"/>
  <c r="V18" i="17"/>
  <c r="U12" i="17"/>
  <c r="V13" i="17"/>
  <c r="V24" i="17"/>
  <c r="U9" i="17"/>
  <c r="S26" i="17"/>
  <c r="U16" i="17"/>
  <c r="T9" i="17"/>
  <c r="T16" i="17"/>
  <c r="S9" i="17"/>
  <c r="V11" i="17"/>
  <c r="S27" i="17"/>
  <c r="T11" i="17"/>
  <c r="S17" i="17"/>
  <c r="U18" i="17"/>
  <c r="V6" i="17"/>
  <c r="U25" i="17"/>
  <c r="T25" i="17"/>
  <c r="U20" i="17"/>
  <c r="V15" i="17"/>
  <c r="S14" i="17"/>
  <c r="V8" i="17"/>
  <c r="T7" i="17"/>
  <c r="V26" i="17"/>
  <c r="S25" i="17"/>
  <c r="T20" i="17"/>
  <c r="U15" i="17"/>
  <c r="U8" i="17"/>
  <c r="S7" i="17"/>
  <c r="V21" i="17"/>
  <c r="S20" i="17"/>
  <c r="T15" i="17"/>
  <c r="V9" i="17"/>
  <c r="T8" i="17"/>
  <c r="U21" i="17"/>
  <c r="V16" i="17"/>
  <c r="V27" i="17"/>
  <c r="T21" i="17"/>
  <c r="V10" i="17"/>
  <c r="S21" i="17"/>
  <c r="T27" i="17"/>
  <c r="U22" i="17"/>
  <c r="T10" i="17"/>
  <c r="U17" i="17"/>
  <c r="S10" i="17"/>
  <c r="V23" i="17"/>
  <c r="V12" i="17"/>
  <c r="S11" i="17"/>
  <c r="S12" i="17"/>
  <c r="U26" i="17"/>
  <c r="V17" i="17"/>
  <c r="T22" i="17"/>
  <c r="U11" i="17"/>
  <c r="U23" i="17"/>
  <c r="T23" i="17"/>
  <c r="T12" i="17"/>
  <c r="S23" i="17"/>
  <c r="T18" i="17"/>
  <c r="U13" i="17"/>
  <c r="T26" i="17"/>
  <c r="S22" i="17"/>
  <c r="U27" i="17"/>
  <c r="V28" i="17"/>
  <c r="U28" i="17"/>
  <c r="T28" i="17"/>
  <c r="S28" i="17"/>
  <c r="L9" i="17"/>
  <c r="K8" i="17"/>
  <c r="K29" i="17"/>
  <c r="K15" i="17"/>
  <c r="L26" i="17"/>
  <c r="K25" i="17"/>
  <c r="K6" i="17"/>
  <c r="L14" i="17"/>
  <c r="K19" i="17"/>
  <c r="K24" i="17"/>
  <c r="X9" i="17"/>
  <c r="K13" i="17"/>
  <c r="K18" i="17"/>
  <c r="L8" i="17"/>
  <c r="K20" i="17"/>
  <c r="K7" i="17"/>
  <c r="L7" i="17"/>
  <c r="K12" i="17"/>
  <c r="K23" i="17"/>
  <c r="K17" i="17"/>
  <c r="K29" i="15"/>
  <c r="B66" i="15" l="1"/>
  <c r="B67" i="15"/>
  <c r="G21" i="16" l="1"/>
  <c r="G22" i="16"/>
  <c r="G23" i="16"/>
  <c r="G24" i="16"/>
  <c r="G25" i="16"/>
  <c r="F4" i="16"/>
  <c r="G4" i="16" s="1"/>
  <c r="H25" i="16"/>
  <c r="H33" i="16"/>
  <c r="H21" i="16"/>
  <c r="H22" i="16"/>
  <c r="H23" i="16"/>
  <c r="H24" i="16"/>
  <c r="G31" i="15"/>
  <c r="C4" i="16" s="1"/>
  <c r="H31" i="15"/>
  <c r="G32" i="15"/>
  <c r="D31" i="17"/>
  <c r="B31" i="15"/>
  <c r="B47" i="15" s="1"/>
  <c r="B32" i="15"/>
  <c r="C2" i="16"/>
  <c r="E10" i="15"/>
  <c r="F10" i="15" s="1"/>
  <c r="G7" i="15"/>
  <c r="K7" i="15" s="1"/>
  <c r="B28" i="15"/>
  <c r="J17" i="15" s="1"/>
  <c r="J7" i="15"/>
  <c r="L7" i="15" s="1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6" i="15"/>
  <c r="C49" i="17"/>
  <c r="C50" i="17"/>
  <c r="C51" i="17"/>
  <c r="C57" i="17"/>
  <c r="E57" i="17"/>
  <c r="C59" i="17"/>
  <c r="E59" i="17"/>
  <c r="C61" i="17"/>
  <c r="C63" i="17"/>
  <c r="C64" i="17"/>
  <c r="C66" i="17"/>
  <c r="C67" i="17"/>
  <c r="C68" i="17"/>
  <c r="C69" i="17"/>
  <c r="G8" i="15"/>
  <c r="K8" i="15" s="1"/>
  <c r="G9" i="15"/>
  <c r="G10" i="15"/>
  <c r="G11" i="15"/>
  <c r="G12" i="15"/>
  <c r="X12" i="15" s="1"/>
  <c r="G13" i="15"/>
  <c r="G14" i="15"/>
  <c r="G15" i="15"/>
  <c r="G16" i="15"/>
  <c r="G17" i="15"/>
  <c r="G18" i="15"/>
  <c r="K18" i="15" s="1"/>
  <c r="G19" i="15"/>
  <c r="G20" i="15"/>
  <c r="G21" i="15"/>
  <c r="G22" i="15"/>
  <c r="G23" i="15"/>
  <c r="G24" i="15"/>
  <c r="G25" i="15"/>
  <c r="G26" i="15"/>
  <c r="G27" i="15"/>
  <c r="G6" i="15"/>
  <c r="C64" i="15"/>
  <c r="E59" i="15"/>
  <c r="E57" i="15"/>
  <c r="C49" i="15"/>
  <c r="E7" i="15"/>
  <c r="F7" i="15" s="1"/>
  <c r="E8" i="15"/>
  <c r="F8" i="15" s="1"/>
  <c r="E9" i="15"/>
  <c r="F9" i="15" s="1"/>
  <c r="E11" i="15"/>
  <c r="F11" i="15" s="1"/>
  <c r="E12" i="15"/>
  <c r="F12" i="15" s="1"/>
  <c r="E13" i="15"/>
  <c r="F13" i="15" s="1"/>
  <c r="E14" i="15"/>
  <c r="F14" i="15" s="1"/>
  <c r="E15" i="15"/>
  <c r="F15" i="15" s="1"/>
  <c r="E16" i="15"/>
  <c r="F16" i="15" s="1"/>
  <c r="E17" i="15"/>
  <c r="F17" i="15" s="1"/>
  <c r="E18" i="15"/>
  <c r="F18" i="15" s="1"/>
  <c r="E19" i="15"/>
  <c r="F19" i="15" s="1"/>
  <c r="E20" i="15"/>
  <c r="F20" i="15" s="1"/>
  <c r="E21" i="15"/>
  <c r="F21" i="15" s="1"/>
  <c r="E22" i="15"/>
  <c r="F22" i="15" s="1"/>
  <c r="E23" i="15"/>
  <c r="F23" i="15" s="1"/>
  <c r="E24" i="15"/>
  <c r="F24" i="15" s="1"/>
  <c r="E25" i="15"/>
  <c r="F25" i="15" s="1"/>
  <c r="E26" i="15"/>
  <c r="F26" i="15" s="1"/>
  <c r="E27" i="15"/>
  <c r="F27" i="15" s="1"/>
  <c r="E6" i="15"/>
  <c r="F6" i="15" s="1"/>
  <c r="B7" i="15"/>
  <c r="B8" i="15" s="1"/>
  <c r="B34" i="15"/>
  <c r="G34" i="15" s="1"/>
  <c r="D28" i="15"/>
  <c r="G28" i="15" s="1"/>
  <c r="B42" i="17"/>
  <c r="B41" i="17"/>
  <c r="B40" i="17"/>
  <c r="G32" i="17"/>
  <c r="B32" i="17" s="1"/>
  <c r="G31" i="17"/>
  <c r="B24" i="15"/>
  <c r="B25" i="15" s="1"/>
  <c r="B23" i="17"/>
  <c r="H31" i="17"/>
  <c r="B47" i="17"/>
  <c r="B34" i="17"/>
  <c r="G34" i="17" s="1"/>
  <c r="B23" i="15"/>
  <c r="B25" i="17"/>
  <c r="B4" i="17"/>
  <c r="B4" i="15"/>
  <c r="B15" i="15" s="1"/>
  <c r="C3" i="16" s="1"/>
  <c r="C5" i="16" s="1"/>
  <c r="B14" i="15"/>
  <c r="B15" i="17"/>
  <c r="B14" i="17"/>
  <c r="B8" i="17"/>
  <c r="D59" i="17" l="1"/>
  <c r="B59" i="17"/>
  <c r="B53" i="17"/>
  <c r="D58" i="17"/>
  <c r="B64" i="17"/>
  <c r="B58" i="17"/>
  <c r="B51" i="17"/>
  <c r="B37" i="17"/>
  <c r="D37" i="17"/>
  <c r="J8" i="15"/>
  <c r="L8" i="15" s="1"/>
  <c r="K15" i="15"/>
  <c r="K13" i="15"/>
  <c r="G36" i="16" s="1"/>
  <c r="H36" i="16" s="1"/>
  <c r="D31" i="15"/>
  <c r="D33" i="15" s="1"/>
  <c r="B52" i="15" s="1"/>
  <c r="K26" i="15"/>
  <c r="K10" i="15"/>
  <c r="K9" i="15"/>
  <c r="O11" i="15"/>
  <c r="P11" i="15" s="1"/>
  <c r="O9" i="15"/>
  <c r="P9" i="15" s="1"/>
  <c r="O10" i="15"/>
  <c r="P10" i="15" s="1"/>
  <c r="O23" i="15"/>
  <c r="P23" i="15" s="1"/>
  <c r="J28" i="15"/>
  <c r="L28" i="15" s="1"/>
  <c r="K21" i="15"/>
  <c r="J27" i="15"/>
  <c r="L27" i="15" s="1"/>
  <c r="K20" i="15"/>
  <c r="J24" i="15"/>
  <c r="L24" i="15" s="1"/>
  <c r="J23" i="15"/>
  <c r="L23" i="15" s="1"/>
  <c r="J11" i="15"/>
  <c r="L11" i="15" s="1"/>
  <c r="K25" i="15"/>
  <c r="K24" i="15"/>
  <c r="O26" i="15"/>
  <c r="P26" i="15" s="1"/>
  <c r="K23" i="15"/>
  <c r="O25" i="15"/>
  <c r="P25" i="15" s="1"/>
  <c r="K22" i="15"/>
  <c r="J6" i="15"/>
  <c r="L6" i="15" s="1"/>
  <c r="O24" i="15"/>
  <c r="P24" i="15" s="1"/>
  <c r="F6" i="16"/>
  <c r="G6" i="16" s="1"/>
  <c r="H6" i="16" s="1"/>
  <c r="O8" i="15"/>
  <c r="P8" i="15" s="1"/>
  <c r="J16" i="15"/>
  <c r="L16" i="15" s="1"/>
  <c r="O7" i="15"/>
  <c r="P7" i="15" s="1"/>
  <c r="F3" i="16"/>
  <c r="G3" i="16" s="1"/>
  <c r="H3" i="16" s="1"/>
  <c r="B64" i="15"/>
  <c r="J15" i="15"/>
  <c r="L15" i="15" s="1"/>
  <c r="J14" i="15"/>
  <c r="L14" i="15" s="1"/>
  <c r="J13" i="15"/>
  <c r="L13" i="15" s="1"/>
  <c r="K27" i="15"/>
  <c r="J12" i="15"/>
  <c r="L12" i="15" s="1"/>
  <c r="K28" i="15"/>
  <c r="L17" i="15"/>
  <c r="J26" i="15"/>
  <c r="L26" i="15" s="1"/>
  <c r="J10" i="15"/>
  <c r="L10" i="15" s="1"/>
  <c r="O20" i="15"/>
  <c r="P20" i="15" s="1"/>
  <c r="O22" i="15"/>
  <c r="P22" i="15" s="1"/>
  <c r="O21" i="15"/>
  <c r="P21" i="15" s="1"/>
  <c r="J25" i="15"/>
  <c r="L25" i="15" s="1"/>
  <c r="J9" i="15"/>
  <c r="L9" i="15" s="1"/>
  <c r="K19" i="15"/>
  <c r="O19" i="15"/>
  <c r="P19" i="15" s="1"/>
  <c r="O18" i="15"/>
  <c r="P18" i="15" s="1"/>
  <c r="J21" i="15"/>
  <c r="L21" i="15" s="1"/>
  <c r="O15" i="15"/>
  <c r="P15" i="15" s="1"/>
  <c r="K17" i="15"/>
  <c r="J22" i="15"/>
  <c r="L22" i="15" s="1"/>
  <c r="O16" i="15"/>
  <c r="P16" i="15" s="1"/>
  <c r="J20" i="15"/>
  <c r="L20" i="15" s="1"/>
  <c r="O14" i="15"/>
  <c r="P14" i="15" s="1"/>
  <c r="K16" i="15"/>
  <c r="J19" i="15"/>
  <c r="L19" i="15" s="1"/>
  <c r="K11" i="15"/>
  <c r="G34" i="16" s="1"/>
  <c r="H34" i="16" s="1"/>
  <c r="O6" i="15"/>
  <c r="P6" i="15" s="1"/>
  <c r="O13" i="15"/>
  <c r="P13" i="15" s="1"/>
  <c r="O17" i="15"/>
  <c r="P17" i="15" s="1"/>
  <c r="J18" i="15"/>
  <c r="L18" i="15" s="1"/>
  <c r="O28" i="15"/>
  <c r="P28" i="15" s="1"/>
  <c r="O12" i="15"/>
  <c r="P12" i="15" s="1"/>
  <c r="H4" i="16"/>
  <c r="O27" i="15"/>
  <c r="P27" i="15" s="1"/>
  <c r="F7" i="16"/>
  <c r="G7" i="16" s="1"/>
  <c r="H7" i="16" s="1"/>
  <c r="K14" i="15"/>
  <c r="G37" i="16" s="1"/>
  <c r="H37" i="16" s="1"/>
  <c r="F5" i="16"/>
  <c r="G5" i="16" s="1"/>
  <c r="H5" i="16" s="1"/>
  <c r="K12" i="15"/>
  <c r="G35" i="16" s="1"/>
  <c r="H35" i="16" s="1"/>
  <c r="D33" i="17"/>
  <c r="B48" i="17"/>
  <c r="B49" i="17"/>
  <c r="B46" i="17"/>
  <c r="B54" i="17"/>
  <c r="B55" i="17"/>
  <c r="C61" i="15"/>
  <c r="C59" i="15"/>
  <c r="C57" i="15"/>
  <c r="C51" i="15"/>
  <c r="C50" i="15"/>
  <c r="B40" i="15"/>
  <c r="B41" i="15"/>
  <c r="B42" i="15"/>
  <c r="B33" i="15"/>
  <c r="B50" i="15" s="1"/>
  <c r="B49" i="15"/>
  <c r="B48" i="15"/>
  <c r="B46" i="15"/>
  <c r="B55" i="15"/>
  <c r="B54" i="15"/>
  <c r="E28" i="15"/>
  <c r="F28" i="15" s="1"/>
  <c r="D59" i="15"/>
  <c r="D58" i="15"/>
  <c r="B59" i="15"/>
  <c r="B58" i="15"/>
  <c r="B53" i="15"/>
  <c r="B36" i="15"/>
  <c r="B35" i="15"/>
  <c r="B36" i="17"/>
  <c r="B33" i="17"/>
  <c r="B63" i="17" l="1"/>
  <c r="B35" i="17"/>
  <c r="B67" i="17"/>
  <c r="B69" i="17"/>
  <c r="B65" i="17"/>
  <c r="B62" i="17"/>
  <c r="B63" i="15"/>
  <c r="B62" i="15"/>
  <c r="B71" i="15"/>
  <c r="B65" i="15"/>
  <c r="B69" i="15"/>
  <c r="C69" i="15"/>
  <c r="C68" i="15"/>
  <c r="V21" i="15"/>
  <c r="U14" i="15"/>
  <c r="T7" i="15"/>
  <c r="T23" i="15"/>
  <c r="S8" i="15"/>
  <c r="S24" i="15"/>
  <c r="U19" i="15"/>
  <c r="V11" i="15"/>
  <c r="U21" i="15"/>
  <c r="S23" i="15"/>
  <c r="V22" i="15"/>
  <c r="U15" i="15"/>
  <c r="T8" i="15"/>
  <c r="T24" i="15"/>
  <c r="S9" i="15"/>
  <c r="S25" i="15"/>
  <c r="T12" i="15"/>
  <c r="V27" i="15"/>
  <c r="U11" i="15"/>
  <c r="T21" i="15"/>
  <c r="S7" i="15"/>
  <c r="V7" i="15"/>
  <c r="V23" i="15"/>
  <c r="U16" i="15"/>
  <c r="T9" i="15"/>
  <c r="T25" i="15"/>
  <c r="S10" i="15"/>
  <c r="S26" i="15"/>
  <c r="S13" i="15"/>
  <c r="T13" i="15"/>
  <c r="S14" i="15"/>
  <c r="S15" i="15"/>
  <c r="U26" i="15"/>
  <c r="U27" i="15"/>
  <c r="U12" i="15"/>
  <c r="S22" i="15"/>
  <c r="U13" i="15"/>
  <c r="V8" i="15"/>
  <c r="V24" i="15"/>
  <c r="U17" i="15"/>
  <c r="T10" i="15"/>
  <c r="T26" i="15"/>
  <c r="S11" i="15"/>
  <c r="S27" i="15"/>
  <c r="V26" i="15"/>
  <c r="U20" i="15"/>
  <c r="T14" i="15"/>
  <c r="T19" i="15"/>
  <c r="S21" i="15"/>
  <c r="T22" i="15"/>
  <c r="V9" i="15"/>
  <c r="V25" i="15"/>
  <c r="U18" i="15"/>
  <c r="T11" i="15"/>
  <c r="T27" i="15"/>
  <c r="S12" i="15"/>
  <c r="S28" i="15"/>
  <c r="V10" i="15"/>
  <c r="T28" i="15"/>
  <c r="S6" i="15"/>
  <c r="T6" i="15"/>
  <c r="V28" i="15"/>
  <c r="U10" i="15"/>
  <c r="V18" i="15"/>
  <c r="U28" i="15"/>
  <c r="V12" i="15"/>
  <c r="V13" i="15"/>
  <c r="V6" i="15"/>
  <c r="U22" i="15"/>
  <c r="T15" i="15"/>
  <c r="S16" i="15"/>
  <c r="U9" i="15"/>
  <c r="T18" i="15"/>
  <c r="S20" i="15"/>
  <c r="T20" i="15"/>
  <c r="V14" i="15"/>
  <c r="U7" i="15"/>
  <c r="U23" i="15"/>
  <c r="T16" i="15"/>
  <c r="S17" i="15"/>
  <c r="U25" i="15"/>
  <c r="S19" i="15"/>
  <c r="V19" i="15"/>
  <c r="U6" i="15"/>
  <c r="V15" i="15"/>
  <c r="U8" i="15"/>
  <c r="U24" i="15"/>
  <c r="T17" i="15"/>
  <c r="S18" i="15"/>
  <c r="V16" i="15"/>
  <c r="V17" i="15"/>
  <c r="V20" i="15"/>
  <c r="C71" i="15"/>
  <c r="C70" i="15"/>
  <c r="B50" i="17"/>
  <c r="B52" i="17"/>
  <c r="B56" i="17"/>
  <c r="D56" i="17"/>
  <c r="B57" i="17"/>
  <c r="D57" i="17"/>
  <c r="B61" i="15"/>
  <c r="B60" i="15"/>
  <c r="D57" i="15"/>
  <c r="D56" i="15"/>
  <c r="B57" i="15"/>
  <c r="B56" i="15"/>
  <c r="B60" i="17" l="1"/>
  <c r="B61" i="17"/>
</calcChain>
</file>

<file path=xl/sharedStrings.xml><?xml version="1.0" encoding="utf-8"?>
<sst xmlns="http://schemas.openxmlformats.org/spreadsheetml/2006/main" count="194" uniqueCount="102">
  <si>
    <t>CESSNA CITATION XLS+</t>
  </si>
  <si>
    <t>MIDTERM 2</t>
  </si>
  <si>
    <t>MANEUVER</t>
  </si>
  <si>
    <t>GUST</t>
  </si>
  <si>
    <t>Masa (kg)</t>
  </si>
  <si>
    <t>V eq. m/s</t>
  </si>
  <si>
    <t>V eq. KEAS</t>
  </si>
  <si>
    <t>Mach (Ve/Cse)</t>
  </si>
  <si>
    <t>q dynamic pressure (lb/ft^2)</t>
  </si>
  <si>
    <t>Clmax_m/Clmax_0</t>
  </si>
  <si>
    <t>Cl max_m</t>
  </si>
  <si>
    <t>Cl max_m (-)</t>
  </si>
  <si>
    <t>positive load factor n</t>
  </si>
  <si>
    <t>negative load factor</t>
  </si>
  <si>
    <t>Cl alpha_m/cl alpha 0</t>
  </si>
  <si>
    <t>Cl alpha_m</t>
  </si>
  <si>
    <t>μ</t>
  </si>
  <si>
    <t>Kg</t>
  </si>
  <si>
    <t>positive gust load factor VB</t>
  </si>
  <si>
    <t>negative gust load factor VB</t>
  </si>
  <si>
    <t>positive gust load factor Vc</t>
  </si>
  <si>
    <t>negative gust load factor Vc</t>
  </si>
  <si>
    <t>positive gust load factor Vd</t>
  </si>
  <si>
    <t>negative gust load factor Vd</t>
  </si>
  <si>
    <t>h (ft)</t>
  </si>
  <si>
    <t>Does not apply</t>
  </si>
  <si>
    <t>Vc KEAS</t>
  </si>
  <si>
    <t>Vd KEAS</t>
  </si>
  <si>
    <t>Cse KEAS (h ft)</t>
  </si>
  <si>
    <t>(Clmax)0 at M=0</t>
  </si>
  <si>
    <t>Gravity m/s^2</t>
  </si>
  <si>
    <t>span b (m)</t>
  </si>
  <si>
    <t>wing area S (m^2)</t>
  </si>
  <si>
    <t>Wing load W/S (kg/m^2)</t>
  </si>
  <si>
    <t>positive load factor n1</t>
  </si>
  <si>
    <t>negative limit load factor</t>
  </si>
  <si>
    <t>Aspect ratio</t>
  </si>
  <si>
    <r>
      <t xml:space="preserve">Taper ratio </t>
    </r>
    <r>
      <rPr>
        <b/>
        <i/>
        <sz val="14"/>
        <color theme="1"/>
        <rFont val="Calibri"/>
        <family val="2"/>
        <scheme val="minor"/>
      </rPr>
      <t>(lambda)</t>
    </r>
  </si>
  <si>
    <r>
      <t xml:space="preserve">aflechamiento </t>
    </r>
    <r>
      <rPr>
        <b/>
        <i/>
        <sz val="14"/>
        <color theme="1"/>
        <rFont val="Calibri"/>
        <family val="2"/>
        <scheme val="minor"/>
      </rPr>
      <t>(Swept)</t>
    </r>
    <r>
      <rPr>
        <b/>
        <sz val="14"/>
        <color theme="1"/>
        <rFont val="Calibri"/>
        <family val="2"/>
        <scheme val="minor"/>
      </rPr>
      <t>Λ</t>
    </r>
  </si>
  <si>
    <r>
      <t xml:space="preserve">Compressibility factor </t>
    </r>
    <r>
      <rPr>
        <b/>
        <i/>
        <sz val="14"/>
        <color theme="1"/>
        <rFont val="Calibri"/>
        <family val="2"/>
        <scheme val="minor"/>
      </rPr>
      <t>beta</t>
    </r>
  </si>
  <si>
    <t>compressible swept parameter Λ_beta</t>
  </si>
  <si>
    <r>
      <rPr>
        <b/>
        <i/>
        <sz val="14"/>
        <color theme="1"/>
        <rFont val="Calibri"/>
        <family val="2"/>
        <scheme val="minor"/>
      </rPr>
      <t>k</t>
    </r>
    <r>
      <rPr>
        <sz val="14"/>
        <color theme="1"/>
        <rFont val="Calibri"/>
        <family val="2"/>
        <scheme val="minor"/>
      </rPr>
      <t xml:space="preserve"> factor assume =1</t>
    </r>
  </si>
  <si>
    <t>β*AR/K</t>
  </si>
  <si>
    <t>cl alpha w (1/rad) tablas</t>
  </si>
  <si>
    <r>
      <t xml:space="preserve">cl alpha aircraft (1/rad) at </t>
    </r>
    <r>
      <rPr>
        <b/>
        <sz val="14"/>
        <color theme="1"/>
        <rFont val="Calibri"/>
        <family val="2"/>
        <scheme val="minor"/>
      </rPr>
      <t>M=0</t>
    </r>
  </si>
  <si>
    <t>Air density at h ft (kg/m^3)</t>
  </si>
  <si>
    <t>mean aerodynamic chord (c_bar) (m)</t>
  </si>
  <si>
    <t>negative Cl max (-) M=0</t>
  </si>
  <si>
    <t>Speeds</t>
  </si>
  <si>
    <t>n+</t>
  </si>
  <si>
    <t>n-</t>
  </si>
  <si>
    <t>V stall KEAS</t>
  </si>
  <si>
    <t>V stall m/s</t>
  </si>
  <si>
    <t>V flaps KEAS</t>
  </si>
  <si>
    <t>V stall flaps m/s</t>
  </si>
  <si>
    <t>V maneuver (V_A) KEAS</t>
  </si>
  <si>
    <t>V cruise KEAS</t>
  </si>
  <si>
    <t>V cruise m/s</t>
  </si>
  <si>
    <t>V NE</t>
  </si>
  <si>
    <t>VgE m/s</t>
  </si>
  <si>
    <t>V dive KEAS</t>
  </si>
  <si>
    <t>V_B KEAS</t>
  </si>
  <si>
    <t>Loads</t>
  </si>
  <si>
    <t>n2 load factor</t>
  </si>
  <si>
    <t>proof load</t>
  </si>
  <si>
    <t xml:space="preserve">Ultimate load </t>
  </si>
  <si>
    <t>Plot</t>
  </si>
  <si>
    <t>x</t>
  </si>
  <si>
    <t>y</t>
  </si>
  <si>
    <t xml:space="preserve">positive V stall </t>
  </si>
  <si>
    <t>negative V stall</t>
  </si>
  <si>
    <t>Positive load factor related to maneuver speed to cruise speed</t>
  </si>
  <si>
    <t>negative load factor related to maneuver speed to cruise speed due to is under FAR 25 (more restrictive</t>
  </si>
  <si>
    <t>V flaps</t>
  </si>
  <si>
    <t xml:space="preserve">V maneuver </t>
  </si>
  <si>
    <t>V cruise</t>
  </si>
  <si>
    <t>V ne</t>
  </si>
  <si>
    <t>V dive</t>
  </si>
  <si>
    <t>Vcruise to Vdive (positive load factors)</t>
  </si>
  <si>
    <t>Ultimate load</t>
  </si>
  <si>
    <t>Masa (lb)</t>
  </si>
  <si>
    <t>Unit</t>
  </si>
  <si>
    <t>Value</t>
  </si>
  <si>
    <t>w  vs speed   (KEAS)</t>
  </si>
  <si>
    <r>
      <rPr>
        <b/>
        <sz val="11"/>
        <color theme="1"/>
        <rFont val="Times New Roman"/>
        <family val="1"/>
      </rPr>
      <t>φ_</t>
    </r>
    <r>
      <rPr>
        <b/>
        <sz val="11"/>
        <color theme="1"/>
        <rFont val="Calibri"/>
        <family val="2"/>
      </rPr>
      <t>max</t>
    </r>
  </si>
  <si>
    <t>deg</t>
  </si>
  <si>
    <t>Veq (KEAS)</t>
  </si>
  <si>
    <t>Veq (m/s)</t>
  </si>
  <si>
    <t>W (deg/s)</t>
  </si>
  <si>
    <r>
      <rPr>
        <b/>
        <sz val="11"/>
        <color theme="1"/>
        <rFont val="Times New Roman"/>
        <family val="1"/>
      </rPr>
      <t>ω</t>
    </r>
    <r>
      <rPr>
        <b/>
        <sz val="11"/>
        <color theme="1"/>
        <rFont val="Calibri"/>
        <family val="2"/>
      </rPr>
      <t>_max</t>
    </r>
  </si>
  <si>
    <t>deg/s</t>
  </si>
  <si>
    <t>R_min</t>
  </si>
  <si>
    <t>m</t>
  </si>
  <si>
    <t>360 turn time</t>
  </si>
  <si>
    <t>s</t>
  </si>
  <si>
    <t>R vs speed   (KEAS)</t>
  </si>
  <si>
    <t>R (m)</t>
  </si>
  <si>
    <t>Phi vs speed   (KEAS)</t>
  </si>
  <si>
    <t>n</t>
  </si>
  <si>
    <t>Phi (deg)</t>
  </si>
  <si>
    <t>Vcruise to Vdive (negative load factors)</t>
  </si>
  <si>
    <t>positive  load factor with flaps extended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</si>
</sst>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Abad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/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1" fillId="0" borderId="0" xfId="0" applyNumberFormat="1" applyFont="1"/>
    <xf numFmtId="2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vertical="center" wrapText="1"/>
    </xf>
    <xf numFmtId="2" fontId="2" fillId="3" borderId="10" xfId="0" applyNumberFormat="1" applyFont="1" applyFill="1" applyBorder="1" applyAlignment="1">
      <alignment vertical="center" wrapText="1"/>
    </xf>
    <xf numFmtId="165" fontId="1" fillId="0" borderId="0" xfId="0" applyNumberFormat="1" applyFont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2" fillId="0" borderId="0" xfId="0" applyFont="1"/>
    <xf numFmtId="0" fontId="2" fillId="0" borderId="3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2" fontId="1" fillId="0" borderId="0" xfId="0" applyNumberFormat="1" applyFont="1"/>
    <xf numFmtId="0" fontId="0" fillId="6" borderId="11" xfId="0" applyFill="1" applyBorder="1" applyAlignment="1">
      <alignment horizontal="center"/>
    </xf>
    <xf numFmtId="0" fontId="1" fillId="5" borderId="9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3" fillId="0" borderId="11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2" fontId="13" fillId="0" borderId="9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 wrapText="1"/>
    </xf>
    <xf numFmtId="2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wrapText="1"/>
    </xf>
    <xf numFmtId="0" fontId="13" fillId="0" borderId="11" xfId="0" applyFont="1" applyBorder="1"/>
    <xf numFmtId="0" fontId="13" fillId="0" borderId="11" xfId="0" applyFont="1" applyBorder="1" applyAlignment="1">
      <alignment wrapText="1"/>
    </xf>
    <xf numFmtId="0" fontId="12" fillId="0" borderId="11" xfId="0" applyFont="1" applyBorder="1"/>
    <xf numFmtId="0" fontId="12" fillId="0" borderId="11" xfId="0" applyFont="1" applyBorder="1" applyAlignment="1">
      <alignment horizontal="center"/>
    </xf>
    <xf numFmtId="2" fontId="13" fillId="0" borderId="11" xfId="0" applyNumberFormat="1" applyFont="1" applyBorder="1"/>
    <xf numFmtId="165" fontId="1" fillId="0" borderId="12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2" fontId="1" fillId="5" borderId="6" xfId="0" applyNumberFormat="1" applyFont="1" applyFill="1" applyBorder="1" applyAlignment="1">
      <alignment horizontal="center" vertical="center" wrapText="1"/>
    </xf>
    <xf numFmtId="2" fontId="1" fillId="5" borderId="10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165" fontId="1" fillId="5" borderId="1" xfId="0" applyNumberFormat="1" applyFont="1" applyFill="1" applyBorder="1" applyAlignment="1">
      <alignment horizontal="center" vertical="center" wrapText="1"/>
    </xf>
    <xf numFmtId="166" fontId="1" fillId="5" borderId="6" xfId="0" applyNumberFormat="1" applyFont="1" applyFill="1" applyBorder="1" applyAlignment="1">
      <alignment horizontal="center" vertical="center" wrapText="1"/>
    </xf>
    <xf numFmtId="166" fontId="1" fillId="5" borderId="10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6" fontId="1" fillId="5" borderId="1" xfId="0" applyNumberFormat="1" applyFont="1" applyFill="1" applyBorder="1" applyAlignment="1">
      <alignment horizontal="center" vertical="center" wrapText="1"/>
    </xf>
    <xf numFmtId="2" fontId="4" fillId="5" borderId="6" xfId="0" applyNumberFormat="1" applyFont="1" applyFill="1" applyBorder="1" applyAlignment="1">
      <alignment horizontal="center" vertical="center" wrapText="1"/>
    </xf>
    <xf numFmtId="2" fontId="4" fillId="5" borderId="10" xfId="0" applyNumberFormat="1" applyFont="1" applyFill="1" applyBorder="1" applyAlignment="1">
      <alignment horizontal="center" vertical="center" wrapText="1"/>
    </xf>
    <xf numFmtId="2" fontId="1" fillId="5" borderId="9" xfId="0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0" fillId="6" borderId="11" xfId="0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1" xfId="0" applyFont="1" applyBorder="1"/>
    <xf numFmtId="0" fontId="13" fillId="0" borderId="13" xfId="0" applyFont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vdive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'V-n SL'!$B$62:$B$63</c:f>
              <c:numCache>
                <c:formatCode>0.00</c:formatCode>
                <c:ptCount val="2"/>
                <c:pt idx="0">
                  <c:v>551.25</c:v>
                </c:pt>
                <c:pt idx="1">
                  <c:v>551.25</c:v>
                </c:pt>
              </c:numCache>
            </c:numRef>
          </c:xVal>
          <c:yVal>
            <c:numRef>
              <c:f>'V-n SL'!$C$62:$C$63</c:f>
              <c:numCache>
                <c:formatCode>0.0</c:formatCode>
                <c:ptCount val="2"/>
                <c:pt idx="0" formatCode="0.00">
                  <c:v>0</c:v>
                </c:pt>
                <c:pt idx="1">
                  <c:v>2.8947354488015655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1F-4822-BB0D-FFD67FE04F34}"/>
            </c:ext>
          </c:extLst>
        </c:ser>
        <c:ser>
          <c:idx val="1"/>
          <c:order val="1"/>
          <c:tx>
            <c:v>Negative_Stall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'V-n SL'!$B$48:$B$49</c:f>
              <c:numCache>
                <c:formatCode>0.00</c:formatCode>
                <c:ptCount val="2"/>
                <c:pt idx="0">
                  <c:v>121.13716410082274</c:v>
                </c:pt>
                <c:pt idx="1">
                  <c:v>121.13716410082274</c:v>
                </c:pt>
              </c:numCache>
            </c:numRef>
          </c:xVal>
          <c:yVal>
            <c:numRef>
              <c:f>'V-n SL'!$C$48:$C$49</c:f>
              <c:numCache>
                <c:formatCode>0.0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1F-4822-BB0D-FFD67FE04F34}"/>
            </c:ext>
          </c:extLst>
        </c:ser>
        <c:ser>
          <c:idx val="2"/>
          <c:order val="2"/>
          <c:tx>
            <c:v>n+ini</c:v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4A1F-4822-BB0D-FFD67FE04F34}"/>
              </c:ext>
            </c:extLst>
          </c:dPt>
          <c:xVal>
            <c:numRef>
              <c:f>'V-n SL'!$E$6:$E$11</c:f>
              <c:numCache>
                <c:formatCode>0.00</c:formatCode>
                <c:ptCount val="6"/>
                <c:pt idx="0">
                  <c:v>0</c:v>
                </c:pt>
                <c:pt idx="1">
                  <c:v>20.002113599999998</c:v>
                </c:pt>
                <c:pt idx="2">
                  <c:v>38.876800000000003</c:v>
                </c:pt>
                <c:pt idx="3">
                  <c:v>58.315199999999997</c:v>
                </c:pt>
                <c:pt idx="4">
                  <c:v>77.753600000000006</c:v>
                </c:pt>
                <c:pt idx="5">
                  <c:v>85.657149306135494</c:v>
                </c:pt>
              </c:numCache>
            </c:numRef>
          </c:xVal>
          <c:yVal>
            <c:numRef>
              <c:f>'V-n SL'!$K$6:$K$11</c:f>
              <c:numCache>
                <c:formatCode>0.00</c:formatCode>
                <c:ptCount val="6"/>
                <c:pt idx="0">
                  <c:v>0</c:v>
                </c:pt>
                <c:pt idx="1">
                  <c:v>5.4528929269329444E-2</c:v>
                </c:pt>
                <c:pt idx="2">
                  <c:v>0.20599477832584667</c:v>
                </c:pt>
                <c:pt idx="3">
                  <c:v>0.4634882512331549</c:v>
                </c:pt>
                <c:pt idx="4">
                  <c:v>0.82397911330338669</c:v>
                </c:pt>
                <c:pt idx="5">
                  <c:v>1.0000055831355428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1F-4822-BB0D-FFD67FE04F34}"/>
            </c:ext>
          </c:extLst>
        </c:ser>
        <c:ser>
          <c:idx val="3"/>
          <c:order val="3"/>
          <c:tx>
            <c:v>n-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'V-n SL'!$E$6:$E$16</c:f>
              <c:numCache>
                <c:formatCode>0.00</c:formatCode>
                <c:ptCount val="11"/>
                <c:pt idx="0">
                  <c:v>0</c:v>
                </c:pt>
                <c:pt idx="1">
                  <c:v>20.002113599999998</c:v>
                </c:pt>
                <c:pt idx="2">
                  <c:v>38.876800000000003</c:v>
                </c:pt>
                <c:pt idx="3">
                  <c:v>58.315199999999997</c:v>
                </c:pt>
                <c:pt idx="4">
                  <c:v>77.753600000000006</c:v>
                </c:pt>
                <c:pt idx="5">
                  <c:v>85.657149306135494</c:v>
                </c:pt>
                <c:pt idx="6">
                  <c:v>112.96804301198976</c:v>
                </c:pt>
                <c:pt idx="7">
                  <c:v>121.17674359676178</c:v>
                </c:pt>
                <c:pt idx="8">
                  <c:v>145.61809519506497</c:v>
                </c:pt>
                <c:pt idx="9">
                  <c:v>174.94560000000001</c:v>
                </c:pt>
                <c:pt idx="10">
                  <c:v>194.38400000000001</c:v>
                </c:pt>
              </c:numCache>
            </c:numRef>
          </c:xVal>
          <c:yVal>
            <c:numRef>
              <c:f>'V-n SL'!$L$6:$L$13</c:f>
              <c:numCache>
                <c:formatCode>0.00</c:formatCode>
                <c:ptCount val="8"/>
                <c:pt idx="0">
                  <c:v>0</c:v>
                </c:pt>
                <c:pt idx="1">
                  <c:v>-2.7264464634664722E-2</c:v>
                </c:pt>
                <c:pt idx="2">
                  <c:v>-0.10299738916292334</c:v>
                </c:pt>
                <c:pt idx="3">
                  <c:v>-0.23174412561657745</c:v>
                </c:pt>
                <c:pt idx="4">
                  <c:v>-0.41198955665169334</c:v>
                </c:pt>
                <c:pt idx="5">
                  <c:v>-0.50000279156777139</c:v>
                </c:pt>
                <c:pt idx="6">
                  <c:v>-0.86967383898852335</c:v>
                </c:pt>
                <c:pt idx="7">
                  <c:v>-1.0006535725381136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A1F-4822-BB0D-FFD67FE04F34}"/>
            </c:ext>
          </c:extLst>
        </c:ser>
        <c:ser>
          <c:idx val="4"/>
          <c:order val="4"/>
          <c:tx>
            <c:v>n+fin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'V-n SL'!$E$11:$E$14</c:f>
              <c:numCache>
                <c:formatCode>0.00</c:formatCode>
                <c:ptCount val="4"/>
                <c:pt idx="0">
                  <c:v>85.657149306135494</c:v>
                </c:pt>
                <c:pt idx="1">
                  <c:v>112.96804301198976</c:v>
                </c:pt>
                <c:pt idx="2">
                  <c:v>121.17674359676178</c:v>
                </c:pt>
                <c:pt idx="3">
                  <c:v>145.61809519506497</c:v>
                </c:pt>
              </c:numCache>
            </c:numRef>
          </c:xVal>
          <c:yVal>
            <c:numRef>
              <c:f>'V-n SL'!$K$11:$K$14</c:f>
              <c:numCache>
                <c:formatCode>0.00</c:formatCode>
                <c:ptCount val="4"/>
                <c:pt idx="0">
                  <c:v>1.0000055831355428</c:v>
                </c:pt>
                <c:pt idx="1">
                  <c:v>1.7393476779770467</c:v>
                </c:pt>
                <c:pt idx="2">
                  <c:v>2.0013071450762272</c:v>
                </c:pt>
                <c:pt idx="3">
                  <c:v>2.8900535016928837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A1F-4822-BB0D-FFD67FE04F34}"/>
            </c:ext>
          </c:extLst>
        </c:ser>
        <c:ser>
          <c:idx val="5"/>
          <c:order val="5"/>
          <c:tx>
            <c:v>limitload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4A1F-4822-BB0D-FFD67FE04F34}"/>
              </c:ext>
            </c:extLst>
          </c:dPt>
          <c:xVal>
            <c:numRef>
              <c:f>'V-n SL'!$B$50:$B$51</c:f>
              <c:numCache>
                <c:formatCode>0.00</c:formatCode>
                <c:ptCount val="2"/>
                <c:pt idx="0">
                  <c:v>145.7359996421408</c:v>
                </c:pt>
                <c:pt idx="1">
                  <c:v>551.25</c:v>
                </c:pt>
              </c:numCache>
            </c:numRef>
          </c:xVal>
          <c:yVal>
            <c:numRef>
              <c:f>'V-n SL'!$C$50:$C$51</c:f>
              <c:numCache>
                <c:formatCode>0.0</c:formatCode>
                <c:ptCount val="2"/>
                <c:pt idx="0">
                  <c:v>2.8947354488015655</c:v>
                </c:pt>
                <c:pt idx="1">
                  <c:v>2.8947354488015655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A1F-4822-BB0D-FFD67FE04F34}"/>
            </c:ext>
          </c:extLst>
        </c:ser>
        <c:ser>
          <c:idx val="6"/>
          <c:order val="6"/>
          <c:tx>
            <c:v>negativelimitload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'V-n SL'!$B$52:$B$53</c:f>
              <c:numCache>
                <c:formatCode>0.00</c:formatCode>
                <c:ptCount val="2"/>
                <c:pt idx="0">
                  <c:v>121.13716410082274</c:v>
                </c:pt>
                <c:pt idx="1">
                  <c:v>441</c:v>
                </c:pt>
              </c:numCache>
            </c:numRef>
          </c:xVal>
          <c:yVal>
            <c:numRef>
              <c:f>'V-n SL'!$C$52:$C$53</c:f>
              <c:numCache>
                <c:formatCode>0.0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A1F-4822-BB0D-FFD67FE04F34}"/>
            </c:ext>
          </c:extLst>
        </c:ser>
        <c:ser>
          <c:idx val="7"/>
          <c:order val="7"/>
          <c:tx>
            <c:v>diagonalinferior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'V-n SL'!$B$64:$B$66</c:f>
              <c:numCache>
                <c:formatCode>0.00</c:formatCode>
                <c:ptCount val="3"/>
                <c:pt idx="0">
                  <c:v>441</c:v>
                </c:pt>
                <c:pt idx="1">
                  <c:v>551.25</c:v>
                </c:pt>
                <c:pt idx="2">
                  <c:v>441</c:v>
                </c:pt>
              </c:numCache>
            </c:numRef>
          </c:xVal>
          <c:yVal>
            <c:numRef>
              <c:f>'V-n SL'!$C$64:$C$66</c:f>
              <c:numCache>
                <c:formatCode>0.00</c:formatCode>
                <c:ptCount val="3"/>
                <c:pt idx="0" formatCode="0.0">
                  <c:v>-1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A1F-4822-BB0D-FFD67FE04F34}"/>
            </c:ext>
          </c:extLst>
        </c:ser>
        <c:ser>
          <c:idx val="8"/>
          <c:order val="8"/>
          <c:tx>
            <c:v>gustvc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'V-n SL'!$E$6:$E$28</c:f>
              <c:numCache>
                <c:formatCode>0.00</c:formatCode>
                <c:ptCount val="23"/>
                <c:pt idx="0">
                  <c:v>0</c:v>
                </c:pt>
                <c:pt idx="1">
                  <c:v>20.002113599999998</c:v>
                </c:pt>
                <c:pt idx="2">
                  <c:v>38.876800000000003</c:v>
                </c:pt>
                <c:pt idx="3">
                  <c:v>58.315199999999997</c:v>
                </c:pt>
                <c:pt idx="4">
                  <c:v>77.753600000000006</c:v>
                </c:pt>
                <c:pt idx="5">
                  <c:v>85.657149306135494</c:v>
                </c:pt>
                <c:pt idx="6">
                  <c:v>112.96804301198976</c:v>
                </c:pt>
                <c:pt idx="7">
                  <c:v>121.17674359676178</c:v>
                </c:pt>
                <c:pt idx="8">
                  <c:v>145.61809519506497</c:v>
                </c:pt>
                <c:pt idx="9">
                  <c:v>174.94560000000001</c:v>
                </c:pt>
                <c:pt idx="10">
                  <c:v>194.38400000000001</c:v>
                </c:pt>
                <c:pt idx="11">
                  <c:v>213.82239999999999</c:v>
                </c:pt>
                <c:pt idx="12">
                  <c:v>233.26079999999999</c:v>
                </c:pt>
                <c:pt idx="13">
                  <c:v>252.69919999999999</c:v>
                </c:pt>
                <c:pt idx="14">
                  <c:v>272.13760000000002</c:v>
                </c:pt>
                <c:pt idx="15">
                  <c:v>291.57600000000002</c:v>
                </c:pt>
                <c:pt idx="16">
                  <c:v>311.01440000000002</c:v>
                </c:pt>
                <c:pt idx="17">
                  <c:v>330.45280000000002</c:v>
                </c:pt>
                <c:pt idx="18">
                  <c:v>349.89120000000003</c:v>
                </c:pt>
                <c:pt idx="19">
                  <c:v>369.32960000000003</c:v>
                </c:pt>
                <c:pt idx="20">
                  <c:v>388.76800000000003</c:v>
                </c:pt>
                <c:pt idx="21">
                  <c:v>408.20640000000003</c:v>
                </c:pt>
                <c:pt idx="22">
                  <c:v>440.99859980736005</c:v>
                </c:pt>
              </c:numCache>
            </c:numRef>
          </c:xVal>
          <c:yVal>
            <c:numRef>
              <c:f>'V-n SL'!$S$6:$S$28</c:f>
              <c:numCache>
                <c:formatCode>0.000</c:formatCode>
                <c:ptCount val="23"/>
                <c:pt idx="0">
                  <c:v>1</c:v>
                </c:pt>
                <c:pt idx="1">
                  <c:v>1.1668124873585168</c:v>
                </c:pt>
                <c:pt idx="2">
                  <c:v>1.3242225215908978</c:v>
                </c:pt>
                <c:pt idx="3">
                  <c:v>1.4863337823863467</c:v>
                </c:pt>
                <c:pt idx="4">
                  <c:v>1.6484450431817954</c:v>
                </c:pt>
                <c:pt idx="5">
                  <c:v>1.7143586133715549</c:v>
                </c:pt>
                <c:pt idx="6">
                  <c:v>1.9421244486309654</c:v>
                </c:pt>
                <c:pt idx="7">
                  <c:v>2.0105829020679629</c:v>
                </c:pt>
                <c:pt idx="8">
                  <c:v>2.2144174935541852</c:v>
                </c:pt>
                <c:pt idx="9">
                  <c:v>2.45900134715904</c:v>
                </c:pt>
                <c:pt idx="10">
                  <c:v>2.6211126079544886</c:v>
                </c:pt>
                <c:pt idx="11">
                  <c:v>2.7832238687499373</c:v>
                </c:pt>
                <c:pt idx="12">
                  <c:v>2.9453351295453869</c:v>
                </c:pt>
                <c:pt idx="13">
                  <c:v>3.1074463903408351</c:v>
                </c:pt>
                <c:pt idx="14">
                  <c:v>3.2695576511362847</c:v>
                </c:pt>
                <c:pt idx="15">
                  <c:v>3.4316689119317334</c:v>
                </c:pt>
                <c:pt idx="16">
                  <c:v>3.5937801727271816</c:v>
                </c:pt>
                <c:pt idx="17">
                  <c:v>3.7558914335226308</c:v>
                </c:pt>
                <c:pt idx="18">
                  <c:v>3.9180026943180799</c:v>
                </c:pt>
                <c:pt idx="19">
                  <c:v>4.0801139551135286</c:v>
                </c:pt>
                <c:pt idx="20">
                  <c:v>4.2422252159089773</c:v>
                </c:pt>
                <c:pt idx="21">
                  <c:v>4.404336476704426</c:v>
                </c:pt>
                <c:pt idx="22">
                  <c:v>4.6778149962856368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4A1F-4822-BB0D-FFD67FE04F34}"/>
            </c:ext>
          </c:extLst>
        </c:ser>
        <c:ser>
          <c:idx val="9"/>
          <c:order val="9"/>
          <c:tx>
            <c:v>gustvc-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'V-n SL'!$E$6:$E$28</c:f>
              <c:numCache>
                <c:formatCode>0.00</c:formatCode>
                <c:ptCount val="23"/>
                <c:pt idx="0">
                  <c:v>0</c:v>
                </c:pt>
                <c:pt idx="1">
                  <c:v>20.002113599999998</c:v>
                </c:pt>
                <c:pt idx="2">
                  <c:v>38.876800000000003</c:v>
                </c:pt>
                <c:pt idx="3">
                  <c:v>58.315199999999997</c:v>
                </c:pt>
                <c:pt idx="4">
                  <c:v>77.753600000000006</c:v>
                </c:pt>
                <c:pt idx="5">
                  <c:v>85.657149306135494</c:v>
                </c:pt>
                <c:pt idx="6">
                  <c:v>112.96804301198976</c:v>
                </c:pt>
                <c:pt idx="7">
                  <c:v>121.17674359676178</c:v>
                </c:pt>
                <c:pt idx="8">
                  <c:v>145.61809519506497</c:v>
                </c:pt>
                <c:pt idx="9">
                  <c:v>174.94560000000001</c:v>
                </c:pt>
                <c:pt idx="10">
                  <c:v>194.38400000000001</c:v>
                </c:pt>
                <c:pt idx="11">
                  <c:v>213.82239999999999</c:v>
                </c:pt>
                <c:pt idx="12">
                  <c:v>233.26079999999999</c:v>
                </c:pt>
                <c:pt idx="13">
                  <c:v>252.69919999999999</c:v>
                </c:pt>
                <c:pt idx="14">
                  <c:v>272.13760000000002</c:v>
                </c:pt>
                <c:pt idx="15">
                  <c:v>291.57600000000002</c:v>
                </c:pt>
                <c:pt idx="16">
                  <c:v>311.01440000000002</c:v>
                </c:pt>
                <c:pt idx="17">
                  <c:v>330.45280000000002</c:v>
                </c:pt>
                <c:pt idx="18">
                  <c:v>349.89120000000003</c:v>
                </c:pt>
                <c:pt idx="19">
                  <c:v>369.32960000000003</c:v>
                </c:pt>
                <c:pt idx="20">
                  <c:v>388.76800000000003</c:v>
                </c:pt>
                <c:pt idx="21">
                  <c:v>408.20640000000003</c:v>
                </c:pt>
                <c:pt idx="22">
                  <c:v>440.99859980736005</c:v>
                </c:pt>
              </c:numCache>
            </c:numRef>
          </c:xVal>
          <c:yVal>
            <c:numRef>
              <c:f>'V-n SL'!$T$6:$T$28</c:f>
              <c:numCache>
                <c:formatCode>0.00</c:formatCode>
                <c:ptCount val="23"/>
                <c:pt idx="0">
                  <c:v>1</c:v>
                </c:pt>
                <c:pt idx="1">
                  <c:v>0.83318751264148316</c:v>
                </c:pt>
                <c:pt idx="2">
                  <c:v>0.67577747840910229</c:v>
                </c:pt>
                <c:pt idx="3">
                  <c:v>0.51366621761365328</c:v>
                </c:pt>
                <c:pt idx="4">
                  <c:v>0.35155495681820459</c:v>
                </c:pt>
                <c:pt idx="5">
                  <c:v>0.28564138662844507</c:v>
                </c:pt>
                <c:pt idx="6">
                  <c:v>5.787555136903455E-2</c:v>
                </c:pt>
                <c:pt idx="7">
                  <c:v>-1.0582902067962863E-2</c:v>
                </c:pt>
                <c:pt idx="8">
                  <c:v>-0.21441749355418538</c:v>
                </c:pt>
                <c:pt idx="9">
                  <c:v>-0.45900134715903995</c:v>
                </c:pt>
                <c:pt idx="10">
                  <c:v>-0.62111260795448864</c:v>
                </c:pt>
                <c:pt idx="11">
                  <c:v>-0.78322386874993755</c:v>
                </c:pt>
                <c:pt idx="12">
                  <c:v>-0.94533512954538668</c:v>
                </c:pt>
                <c:pt idx="13">
                  <c:v>-1.1074463903408351</c:v>
                </c:pt>
                <c:pt idx="14">
                  <c:v>-1.2695576511362847</c:v>
                </c:pt>
                <c:pt idx="15">
                  <c:v>-1.4316689119317334</c:v>
                </c:pt>
                <c:pt idx="16">
                  <c:v>-1.5937801727271816</c:v>
                </c:pt>
                <c:pt idx="17">
                  <c:v>-1.7558914335226308</c:v>
                </c:pt>
                <c:pt idx="18">
                  <c:v>-1.9180026943180799</c:v>
                </c:pt>
                <c:pt idx="19">
                  <c:v>-2.080113955113529</c:v>
                </c:pt>
                <c:pt idx="20">
                  <c:v>-2.2422252159089773</c:v>
                </c:pt>
                <c:pt idx="21">
                  <c:v>-2.4043364767044264</c:v>
                </c:pt>
                <c:pt idx="22">
                  <c:v>-2.6778149962856372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4A1F-4822-BB0D-FFD67FE04F34}"/>
            </c:ext>
          </c:extLst>
        </c:ser>
        <c:ser>
          <c:idx val="10"/>
          <c:order val="10"/>
          <c:tx>
            <c:v>gustvd</c:v>
          </c:tx>
          <c:spPr>
            <a:ln w="19050" cap="rnd">
              <a:solidFill>
                <a:srgbClr val="00B050">
                  <a:alpha val="99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'V-n SL'!$E$6:$E$29</c:f>
              <c:numCache>
                <c:formatCode>0.00</c:formatCode>
                <c:ptCount val="24"/>
                <c:pt idx="0">
                  <c:v>0</c:v>
                </c:pt>
                <c:pt idx="1">
                  <c:v>20.002113599999998</c:v>
                </c:pt>
                <c:pt idx="2">
                  <c:v>38.876800000000003</c:v>
                </c:pt>
                <c:pt idx="3">
                  <c:v>58.315199999999997</c:v>
                </c:pt>
                <c:pt idx="4">
                  <c:v>77.753600000000006</c:v>
                </c:pt>
                <c:pt idx="5">
                  <c:v>85.657149306135494</c:v>
                </c:pt>
                <c:pt idx="6">
                  <c:v>112.96804301198976</c:v>
                </c:pt>
                <c:pt idx="7">
                  <c:v>121.17674359676178</c:v>
                </c:pt>
                <c:pt idx="8">
                  <c:v>145.61809519506497</c:v>
                </c:pt>
                <c:pt idx="9">
                  <c:v>174.94560000000001</c:v>
                </c:pt>
                <c:pt idx="10">
                  <c:v>194.38400000000001</c:v>
                </c:pt>
                <c:pt idx="11">
                  <c:v>213.82239999999999</c:v>
                </c:pt>
                <c:pt idx="12">
                  <c:v>233.26079999999999</c:v>
                </c:pt>
                <c:pt idx="13">
                  <c:v>252.69919999999999</c:v>
                </c:pt>
                <c:pt idx="14">
                  <c:v>272.13760000000002</c:v>
                </c:pt>
                <c:pt idx="15">
                  <c:v>291.57600000000002</c:v>
                </c:pt>
                <c:pt idx="16">
                  <c:v>311.01440000000002</c:v>
                </c:pt>
                <c:pt idx="17">
                  <c:v>330.45280000000002</c:v>
                </c:pt>
                <c:pt idx="18">
                  <c:v>349.89120000000003</c:v>
                </c:pt>
                <c:pt idx="19">
                  <c:v>369.32960000000003</c:v>
                </c:pt>
                <c:pt idx="20">
                  <c:v>388.76800000000003</c:v>
                </c:pt>
                <c:pt idx="21">
                  <c:v>408.20640000000003</c:v>
                </c:pt>
                <c:pt idx="22">
                  <c:v>440.99859980736005</c:v>
                </c:pt>
                <c:pt idx="23">
                  <c:v>551.25</c:v>
                </c:pt>
              </c:numCache>
            </c:numRef>
          </c:xVal>
          <c:yVal>
            <c:numRef>
              <c:f>'V-n SL'!$U$6:$U$29</c:f>
              <c:numCache>
                <c:formatCode>0.00</c:formatCode>
                <c:ptCount val="24"/>
                <c:pt idx="0">
                  <c:v>1</c:v>
                </c:pt>
                <c:pt idx="1">
                  <c:v>1.0834062436792584</c:v>
                </c:pt>
                <c:pt idx="2">
                  <c:v>1.1621112607954489</c:v>
                </c:pt>
                <c:pt idx="3">
                  <c:v>1.2431668911931733</c:v>
                </c:pt>
                <c:pt idx="4">
                  <c:v>1.3242225215908978</c:v>
                </c:pt>
                <c:pt idx="5">
                  <c:v>1.3571793066857776</c:v>
                </c:pt>
                <c:pt idx="6">
                  <c:v>1.4710622243154827</c:v>
                </c:pt>
                <c:pt idx="7">
                  <c:v>1.5052914510339814</c:v>
                </c:pt>
                <c:pt idx="8">
                  <c:v>1.6072087467770926</c:v>
                </c:pt>
                <c:pt idx="9">
                  <c:v>1.72950067357952</c:v>
                </c:pt>
                <c:pt idx="10">
                  <c:v>1.8105563039772443</c:v>
                </c:pt>
                <c:pt idx="11">
                  <c:v>1.8916119343749687</c:v>
                </c:pt>
                <c:pt idx="12">
                  <c:v>1.9726675647726934</c:v>
                </c:pt>
                <c:pt idx="13">
                  <c:v>2.0537231951704173</c:v>
                </c:pt>
                <c:pt idx="14">
                  <c:v>2.1347788255681426</c:v>
                </c:pt>
                <c:pt idx="15">
                  <c:v>2.2158344559658669</c:v>
                </c:pt>
                <c:pt idx="16">
                  <c:v>2.2968900863635908</c:v>
                </c:pt>
                <c:pt idx="17">
                  <c:v>2.3779457167613156</c:v>
                </c:pt>
                <c:pt idx="18">
                  <c:v>2.45900134715904</c:v>
                </c:pt>
                <c:pt idx="19">
                  <c:v>2.5400569775567643</c:v>
                </c:pt>
                <c:pt idx="20">
                  <c:v>2.6211126079544886</c:v>
                </c:pt>
                <c:pt idx="21">
                  <c:v>2.702168238352213</c:v>
                </c:pt>
                <c:pt idx="22">
                  <c:v>2.8389074981428184</c:v>
                </c:pt>
                <c:pt idx="23">
                  <c:v>3.2986363585414673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4A1F-4822-BB0D-FFD67FE04F34}"/>
            </c:ext>
          </c:extLst>
        </c:ser>
        <c:ser>
          <c:idx val="11"/>
          <c:order val="11"/>
          <c:tx>
            <c:v>gustvd-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'V-n SL'!$E$6:$E$29</c:f>
              <c:numCache>
                <c:formatCode>0.00</c:formatCode>
                <c:ptCount val="24"/>
                <c:pt idx="0">
                  <c:v>0</c:v>
                </c:pt>
                <c:pt idx="1">
                  <c:v>20.002113599999998</c:v>
                </c:pt>
                <c:pt idx="2">
                  <c:v>38.876800000000003</c:v>
                </c:pt>
                <c:pt idx="3">
                  <c:v>58.315199999999997</c:v>
                </c:pt>
                <c:pt idx="4">
                  <c:v>77.753600000000006</c:v>
                </c:pt>
                <c:pt idx="5">
                  <c:v>85.657149306135494</c:v>
                </c:pt>
                <c:pt idx="6">
                  <c:v>112.96804301198976</c:v>
                </c:pt>
                <c:pt idx="7">
                  <c:v>121.17674359676178</c:v>
                </c:pt>
                <c:pt idx="8">
                  <c:v>145.61809519506497</c:v>
                </c:pt>
                <c:pt idx="9">
                  <c:v>174.94560000000001</c:v>
                </c:pt>
                <c:pt idx="10">
                  <c:v>194.38400000000001</c:v>
                </c:pt>
                <c:pt idx="11">
                  <c:v>213.82239999999999</c:v>
                </c:pt>
                <c:pt idx="12">
                  <c:v>233.26079999999999</c:v>
                </c:pt>
                <c:pt idx="13">
                  <c:v>252.69919999999999</c:v>
                </c:pt>
                <c:pt idx="14">
                  <c:v>272.13760000000002</c:v>
                </c:pt>
                <c:pt idx="15">
                  <c:v>291.57600000000002</c:v>
                </c:pt>
                <c:pt idx="16">
                  <c:v>311.01440000000002</c:v>
                </c:pt>
                <c:pt idx="17">
                  <c:v>330.45280000000002</c:v>
                </c:pt>
                <c:pt idx="18">
                  <c:v>349.89120000000003</c:v>
                </c:pt>
                <c:pt idx="19">
                  <c:v>369.32960000000003</c:v>
                </c:pt>
                <c:pt idx="20">
                  <c:v>388.76800000000003</c:v>
                </c:pt>
                <c:pt idx="21">
                  <c:v>408.20640000000003</c:v>
                </c:pt>
                <c:pt idx="22">
                  <c:v>440.99859980736005</c:v>
                </c:pt>
                <c:pt idx="23">
                  <c:v>551.25</c:v>
                </c:pt>
              </c:numCache>
            </c:numRef>
          </c:xVal>
          <c:yVal>
            <c:numRef>
              <c:f>'V-n SL'!$V$6:$V$29</c:f>
              <c:numCache>
                <c:formatCode>0.00</c:formatCode>
                <c:ptCount val="24"/>
                <c:pt idx="0">
                  <c:v>1</c:v>
                </c:pt>
                <c:pt idx="1">
                  <c:v>0.91659375632074158</c:v>
                </c:pt>
                <c:pt idx="2">
                  <c:v>0.83788873920455109</c:v>
                </c:pt>
                <c:pt idx="3">
                  <c:v>0.75683310880682664</c:v>
                </c:pt>
                <c:pt idx="4">
                  <c:v>0.67577747840910229</c:v>
                </c:pt>
                <c:pt idx="5">
                  <c:v>0.64282069331422254</c:v>
                </c:pt>
                <c:pt idx="6">
                  <c:v>0.52893777568451728</c:v>
                </c:pt>
                <c:pt idx="7">
                  <c:v>0.49470854896601857</c:v>
                </c:pt>
                <c:pt idx="8">
                  <c:v>0.39279125322290731</c:v>
                </c:pt>
                <c:pt idx="9">
                  <c:v>0.27049932642048002</c:v>
                </c:pt>
                <c:pt idx="10">
                  <c:v>0.18944369602275568</c:v>
                </c:pt>
                <c:pt idx="11">
                  <c:v>0.10838806562503123</c:v>
                </c:pt>
                <c:pt idx="12">
                  <c:v>2.7332435227306662E-2</c:v>
                </c:pt>
                <c:pt idx="13">
                  <c:v>-5.372319517041757E-2</c:v>
                </c:pt>
                <c:pt idx="14">
                  <c:v>-0.13477882556814236</c:v>
                </c:pt>
                <c:pt idx="15">
                  <c:v>-0.2158344559658667</c:v>
                </c:pt>
                <c:pt idx="16">
                  <c:v>-0.29689008636359082</c:v>
                </c:pt>
                <c:pt idx="17">
                  <c:v>-0.37794571676131539</c:v>
                </c:pt>
                <c:pt idx="18">
                  <c:v>-0.45900134715903995</c:v>
                </c:pt>
                <c:pt idx="19">
                  <c:v>-0.54005697755676452</c:v>
                </c:pt>
                <c:pt idx="20">
                  <c:v>-0.62111260795448864</c:v>
                </c:pt>
                <c:pt idx="21">
                  <c:v>-0.7021682383522132</c:v>
                </c:pt>
                <c:pt idx="22">
                  <c:v>-0.83890749814281862</c:v>
                </c:pt>
                <c:pt idx="23">
                  <c:v>-1.2986363585414673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4A1F-4822-BB0D-FFD67FE04F34}"/>
            </c:ext>
          </c:extLst>
        </c:ser>
        <c:ser>
          <c:idx val="12"/>
          <c:order val="12"/>
          <c:tx>
            <c:v>vstall+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'V-n SL'!$B$46:$B$47</c:f>
              <c:numCache>
                <c:formatCode>0.00</c:formatCode>
                <c:ptCount val="2"/>
                <c:pt idx="0">
                  <c:v>85.656910189399369</c:v>
                </c:pt>
                <c:pt idx="1">
                  <c:v>85.656910189399369</c:v>
                </c:pt>
              </c:numCache>
            </c:numRef>
          </c:xVal>
          <c:yVal>
            <c:numRef>
              <c:f>'V-n SL'!$C$46:$C$47</c:f>
              <c:numCache>
                <c:formatCode>0.0</c:formatCode>
                <c:ptCount val="2"/>
                <c:pt idx="0" formatCode="General">
                  <c:v>1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4A1F-4822-BB0D-FFD67FE04F34}"/>
            </c:ext>
          </c:extLst>
        </c:ser>
        <c:ser>
          <c:idx val="13"/>
          <c:order val="13"/>
          <c:tx>
            <c:v>proof load</c:v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xVal>
            <c:numRef>
              <c:f>'V-n SL'!$B$68:$B$69</c:f>
              <c:numCache>
                <c:formatCode>0.00</c:formatCode>
                <c:ptCount val="2"/>
                <c:pt idx="0">
                  <c:v>0</c:v>
                </c:pt>
                <c:pt idx="1">
                  <c:v>551.25</c:v>
                </c:pt>
              </c:numCache>
            </c:numRef>
          </c:xVal>
          <c:yVal>
            <c:numRef>
              <c:f>'V-n SL'!$C$68:$C$69</c:f>
              <c:numCache>
                <c:formatCode>0.00</c:formatCode>
                <c:ptCount val="2"/>
                <c:pt idx="0">
                  <c:v>3.6184193110019569</c:v>
                </c:pt>
                <c:pt idx="1">
                  <c:v>3.6184193110019569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4A1F-4822-BB0D-FFD67FE04F34}"/>
            </c:ext>
          </c:extLst>
        </c:ser>
        <c:ser>
          <c:idx val="14"/>
          <c:order val="14"/>
          <c:tx>
            <c:v>ultimateload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'V-n SL'!$B$70:$B$71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551.25</c:v>
                </c:pt>
              </c:numCache>
            </c:numRef>
          </c:xVal>
          <c:yVal>
            <c:numRef>
              <c:f>'V-n SL'!$C$70:$C$71</c:f>
              <c:numCache>
                <c:formatCode>0.00</c:formatCode>
                <c:ptCount val="2"/>
                <c:pt idx="0">
                  <c:v>4.3421031732023483</c:v>
                </c:pt>
                <c:pt idx="1">
                  <c:v>4.3421031732023483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4A1F-4822-BB0D-FFD67FE04F34}"/>
            </c:ext>
          </c:extLst>
        </c:ser>
        <c:ser>
          <c:idx val="15"/>
          <c:order val="15"/>
          <c:tx>
            <c:v>vc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'V-n SL'!$B$58:$B$59</c:f>
              <c:numCache>
                <c:formatCode>0.00</c:formatCode>
                <c:ptCount val="2"/>
                <c:pt idx="0">
                  <c:v>441</c:v>
                </c:pt>
                <c:pt idx="1">
                  <c:v>441</c:v>
                </c:pt>
              </c:numCache>
            </c:numRef>
          </c:xVal>
          <c:yVal>
            <c:numRef>
              <c:f>'V-n SL'!$C$58:$C$59</c:f>
              <c:numCache>
                <c:formatCode>0.0</c:formatCode>
                <c:ptCount val="2"/>
                <c:pt idx="0" formatCode="General">
                  <c:v>-1</c:v>
                </c:pt>
                <c:pt idx="1">
                  <c:v>2.8947354488015655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4A1F-4822-BB0D-FFD67FE04F34}"/>
            </c:ext>
          </c:extLst>
        </c:ser>
        <c:ser>
          <c:idx val="16"/>
          <c:order val="16"/>
          <c:tx>
            <c:v>flaps</c:v>
          </c:tx>
          <c:spPr>
            <a:ln w="19050" cap="rnd">
              <a:solidFill>
                <a:srgbClr val="0070C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'V-n SL'!$E$6:$E$12</c:f>
              <c:numCache>
                <c:formatCode>0.00</c:formatCode>
                <c:ptCount val="7"/>
                <c:pt idx="0">
                  <c:v>0</c:v>
                </c:pt>
                <c:pt idx="1">
                  <c:v>20.002113599999998</c:v>
                </c:pt>
                <c:pt idx="2">
                  <c:v>38.876800000000003</c:v>
                </c:pt>
                <c:pt idx="3">
                  <c:v>58.315199999999997</c:v>
                </c:pt>
                <c:pt idx="4">
                  <c:v>77.753600000000006</c:v>
                </c:pt>
                <c:pt idx="5">
                  <c:v>85.657149306135494</c:v>
                </c:pt>
                <c:pt idx="6">
                  <c:v>112.96804301198976</c:v>
                </c:pt>
              </c:numCache>
            </c:numRef>
          </c:xVal>
          <c:yVal>
            <c:numRef>
              <c:f>'V-n SL'!$X$6:$X$12</c:f>
              <c:numCache>
                <c:formatCode>0.00</c:formatCode>
                <c:ptCount val="7"/>
                <c:pt idx="0">
                  <c:v>0</c:v>
                </c:pt>
                <c:pt idx="1">
                  <c:v>6.2708268659728866E-2</c:v>
                </c:pt>
                <c:pt idx="2">
                  <c:v>0.2368939950747237</c:v>
                </c:pt>
                <c:pt idx="3">
                  <c:v>0.53301148891812811</c:v>
                </c:pt>
                <c:pt idx="4">
                  <c:v>0.94757598029889478</c:v>
                </c:pt>
                <c:pt idx="5">
                  <c:v>1.150006420605874</c:v>
                </c:pt>
                <c:pt idx="6">
                  <c:v>2.0002498296736038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4A1F-4822-BB0D-FFD67FE04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774272"/>
        <c:axId val="1328769472"/>
      </c:scatterChart>
      <c:valAx>
        <c:axId val="132877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8769472"/>
        <c:crosses val="autoZero"/>
        <c:crossBetween val="midCat"/>
      </c:valAx>
      <c:valAx>
        <c:axId val="13287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877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vdive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'V-n SL'!$B$62:$B$63</c:f>
              <c:numCache>
                <c:formatCode>0.00</c:formatCode>
                <c:ptCount val="2"/>
                <c:pt idx="0">
                  <c:v>551.25</c:v>
                </c:pt>
                <c:pt idx="1">
                  <c:v>551.25</c:v>
                </c:pt>
              </c:numCache>
            </c:numRef>
          </c:xVal>
          <c:yVal>
            <c:numRef>
              <c:f>'V-n SL'!$C$62:$C$63</c:f>
              <c:numCache>
                <c:formatCode>0.0</c:formatCode>
                <c:ptCount val="2"/>
                <c:pt idx="0" formatCode="0.00">
                  <c:v>0</c:v>
                </c:pt>
                <c:pt idx="1">
                  <c:v>2.8947354488015655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56-437C-880D-E0220E63AA6B}"/>
            </c:ext>
          </c:extLst>
        </c:ser>
        <c:ser>
          <c:idx val="1"/>
          <c:order val="1"/>
          <c:tx>
            <c:v>Negative_Stall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'V-n SL'!$B$48:$B$49</c:f>
              <c:numCache>
                <c:formatCode>0.00</c:formatCode>
                <c:ptCount val="2"/>
                <c:pt idx="0">
                  <c:v>121.13716410082274</c:v>
                </c:pt>
                <c:pt idx="1">
                  <c:v>121.13716410082274</c:v>
                </c:pt>
              </c:numCache>
            </c:numRef>
          </c:xVal>
          <c:yVal>
            <c:numRef>
              <c:f>'V-n SL'!$C$48:$C$49</c:f>
              <c:numCache>
                <c:formatCode>0.0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56-437C-880D-E0220E63AA6B}"/>
            </c:ext>
          </c:extLst>
        </c:ser>
        <c:ser>
          <c:idx val="2"/>
          <c:order val="2"/>
          <c:tx>
            <c:v>n+ini</c:v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856-437C-880D-E0220E63AA6B}"/>
              </c:ext>
            </c:extLst>
          </c:dPt>
          <c:xVal>
            <c:numRef>
              <c:f>'V-n SL'!$E$6:$E$11</c:f>
              <c:numCache>
                <c:formatCode>0.00</c:formatCode>
                <c:ptCount val="6"/>
                <c:pt idx="0">
                  <c:v>0</c:v>
                </c:pt>
                <c:pt idx="1">
                  <c:v>20.002113599999998</c:v>
                </c:pt>
                <c:pt idx="2">
                  <c:v>38.876800000000003</c:v>
                </c:pt>
                <c:pt idx="3">
                  <c:v>58.315199999999997</c:v>
                </c:pt>
                <c:pt idx="4">
                  <c:v>77.753600000000006</c:v>
                </c:pt>
                <c:pt idx="5">
                  <c:v>85.657149306135494</c:v>
                </c:pt>
              </c:numCache>
            </c:numRef>
          </c:xVal>
          <c:yVal>
            <c:numRef>
              <c:f>'V-n SL'!$K$6:$K$11</c:f>
              <c:numCache>
                <c:formatCode>0.00</c:formatCode>
                <c:ptCount val="6"/>
                <c:pt idx="0">
                  <c:v>0</c:v>
                </c:pt>
                <c:pt idx="1">
                  <c:v>5.4528929269329444E-2</c:v>
                </c:pt>
                <c:pt idx="2">
                  <c:v>0.20599477832584667</c:v>
                </c:pt>
                <c:pt idx="3">
                  <c:v>0.4634882512331549</c:v>
                </c:pt>
                <c:pt idx="4">
                  <c:v>0.82397911330338669</c:v>
                </c:pt>
                <c:pt idx="5">
                  <c:v>1.0000055831355428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56-437C-880D-E0220E63AA6B}"/>
            </c:ext>
          </c:extLst>
        </c:ser>
        <c:ser>
          <c:idx val="3"/>
          <c:order val="3"/>
          <c:tx>
            <c:v>n-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'V-n SL'!$E$6:$E$16</c:f>
              <c:numCache>
                <c:formatCode>0.00</c:formatCode>
                <c:ptCount val="11"/>
                <c:pt idx="0">
                  <c:v>0</c:v>
                </c:pt>
                <c:pt idx="1">
                  <c:v>20.002113599999998</c:v>
                </c:pt>
                <c:pt idx="2">
                  <c:v>38.876800000000003</c:v>
                </c:pt>
                <c:pt idx="3">
                  <c:v>58.315199999999997</c:v>
                </c:pt>
                <c:pt idx="4">
                  <c:v>77.753600000000006</c:v>
                </c:pt>
                <c:pt idx="5">
                  <c:v>85.657149306135494</c:v>
                </c:pt>
                <c:pt idx="6">
                  <c:v>112.96804301198976</c:v>
                </c:pt>
                <c:pt idx="7">
                  <c:v>121.17674359676178</c:v>
                </c:pt>
                <c:pt idx="8">
                  <c:v>145.61809519506497</c:v>
                </c:pt>
                <c:pt idx="9">
                  <c:v>174.94560000000001</c:v>
                </c:pt>
                <c:pt idx="10">
                  <c:v>194.38400000000001</c:v>
                </c:pt>
              </c:numCache>
            </c:numRef>
          </c:xVal>
          <c:yVal>
            <c:numRef>
              <c:f>'V-n SL'!$L$6:$L$13</c:f>
              <c:numCache>
                <c:formatCode>0.00</c:formatCode>
                <c:ptCount val="8"/>
                <c:pt idx="0">
                  <c:v>0</c:v>
                </c:pt>
                <c:pt idx="1">
                  <c:v>-2.7264464634664722E-2</c:v>
                </c:pt>
                <c:pt idx="2">
                  <c:v>-0.10299738916292334</c:v>
                </c:pt>
                <c:pt idx="3">
                  <c:v>-0.23174412561657745</c:v>
                </c:pt>
                <c:pt idx="4">
                  <c:v>-0.41198955665169334</c:v>
                </c:pt>
                <c:pt idx="5">
                  <c:v>-0.50000279156777139</c:v>
                </c:pt>
                <c:pt idx="6">
                  <c:v>-0.86967383898852335</c:v>
                </c:pt>
                <c:pt idx="7">
                  <c:v>-1.0006535725381136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856-437C-880D-E0220E63AA6B}"/>
            </c:ext>
          </c:extLst>
        </c:ser>
        <c:ser>
          <c:idx val="4"/>
          <c:order val="4"/>
          <c:tx>
            <c:v>n+fin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'V-n SL'!$E$11:$E$14</c:f>
              <c:numCache>
                <c:formatCode>0.00</c:formatCode>
                <c:ptCount val="4"/>
                <c:pt idx="0">
                  <c:v>85.657149306135494</c:v>
                </c:pt>
                <c:pt idx="1">
                  <c:v>112.96804301198976</c:v>
                </c:pt>
                <c:pt idx="2">
                  <c:v>121.17674359676178</c:v>
                </c:pt>
                <c:pt idx="3">
                  <c:v>145.61809519506497</c:v>
                </c:pt>
              </c:numCache>
            </c:numRef>
          </c:xVal>
          <c:yVal>
            <c:numRef>
              <c:f>'V-n SL'!$K$11:$K$14</c:f>
              <c:numCache>
                <c:formatCode>0.00</c:formatCode>
                <c:ptCount val="4"/>
                <c:pt idx="0">
                  <c:v>1.0000055831355428</c:v>
                </c:pt>
                <c:pt idx="1">
                  <c:v>1.7393476779770467</c:v>
                </c:pt>
                <c:pt idx="2">
                  <c:v>2.0013071450762272</c:v>
                </c:pt>
                <c:pt idx="3">
                  <c:v>2.8900535016928837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856-437C-880D-E0220E63AA6B}"/>
            </c:ext>
          </c:extLst>
        </c:ser>
        <c:ser>
          <c:idx val="5"/>
          <c:order val="5"/>
          <c:tx>
            <c:v>limitload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4856-437C-880D-E0220E63AA6B}"/>
              </c:ext>
            </c:extLst>
          </c:dPt>
          <c:xVal>
            <c:numRef>
              <c:f>'V-n SL'!$B$50:$B$51</c:f>
              <c:numCache>
                <c:formatCode>0.00</c:formatCode>
                <c:ptCount val="2"/>
                <c:pt idx="0">
                  <c:v>145.7359996421408</c:v>
                </c:pt>
                <c:pt idx="1">
                  <c:v>551.25</c:v>
                </c:pt>
              </c:numCache>
            </c:numRef>
          </c:xVal>
          <c:yVal>
            <c:numRef>
              <c:f>'V-n SL'!$C$50:$C$51</c:f>
              <c:numCache>
                <c:formatCode>0.0</c:formatCode>
                <c:ptCount val="2"/>
                <c:pt idx="0">
                  <c:v>2.8947354488015655</c:v>
                </c:pt>
                <c:pt idx="1">
                  <c:v>2.8947354488015655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856-437C-880D-E0220E63AA6B}"/>
            </c:ext>
          </c:extLst>
        </c:ser>
        <c:ser>
          <c:idx val="6"/>
          <c:order val="6"/>
          <c:tx>
            <c:v>negativelimitload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'V-n SL'!$B$52:$B$53</c:f>
              <c:numCache>
                <c:formatCode>0.00</c:formatCode>
                <c:ptCount val="2"/>
                <c:pt idx="0">
                  <c:v>121.13716410082274</c:v>
                </c:pt>
                <c:pt idx="1">
                  <c:v>441</c:v>
                </c:pt>
              </c:numCache>
            </c:numRef>
          </c:xVal>
          <c:yVal>
            <c:numRef>
              <c:f>'V-n SL'!$C$52:$C$53</c:f>
              <c:numCache>
                <c:formatCode>0.0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856-437C-880D-E0220E63AA6B}"/>
            </c:ext>
          </c:extLst>
        </c:ser>
        <c:ser>
          <c:idx val="7"/>
          <c:order val="7"/>
          <c:tx>
            <c:v>diagonalinferior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'V-n SL'!$B$64:$B$66</c:f>
              <c:numCache>
                <c:formatCode>0.00</c:formatCode>
                <c:ptCount val="3"/>
                <c:pt idx="0">
                  <c:v>441</c:v>
                </c:pt>
                <c:pt idx="1">
                  <c:v>551.25</c:v>
                </c:pt>
                <c:pt idx="2">
                  <c:v>441</c:v>
                </c:pt>
              </c:numCache>
            </c:numRef>
          </c:xVal>
          <c:yVal>
            <c:numRef>
              <c:f>'V-n SL'!$C$64:$C$66</c:f>
              <c:numCache>
                <c:formatCode>0.00</c:formatCode>
                <c:ptCount val="3"/>
                <c:pt idx="0" formatCode="0.0">
                  <c:v>-1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856-437C-880D-E0220E63AA6B}"/>
            </c:ext>
          </c:extLst>
        </c:ser>
        <c:ser>
          <c:idx val="8"/>
          <c:order val="8"/>
          <c:tx>
            <c:v>gustvc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'V-n SL'!$E$6:$E$28</c:f>
              <c:numCache>
                <c:formatCode>0.00</c:formatCode>
                <c:ptCount val="23"/>
                <c:pt idx="0">
                  <c:v>0</c:v>
                </c:pt>
                <c:pt idx="1">
                  <c:v>20.002113599999998</c:v>
                </c:pt>
                <c:pt idx="2">
                  <c:v>38.876800000000003</c:v>
                </c:pt>
                <c:pt idx="3">
                  <c:v>58.315199999999997</c:v>
                </c:pt>
                <c:pt idx="4">
                  <c:v>77.753600000000006</c:v>
                </c:pt>
                <c:pt idx="5">
                  <c:v>85.657149306135494</c:v>
                </c:pt>
                <c:pt idx="6">
                  <c:v>112.96804301198976</c:v>
                </c:pt>
                <c:pt idx="7">
                  <c:v>121.17674359676178</c:v>
                </c:pt>
                <c:pt idx="8">
                  <c:v>145.61809519506497</c:v>
                </c:pt>
                <c:pt idx="9">
                  <c:v>174.94560000000001</c:v>
                </c:pt>
                <c:pt idx="10">
                  <c:v>194.38400000000001</c:v>
                </c:pt>
                <c:pt idx="11">
                  <c:v>213.82239999999999</c:v>
                </c:pt>
                <c:pt idx="12">
                  <c:v>233.26079999999999</c:v>
                </c:pt>
                <c:pt idx="13">
                  <c:v>252.69919999999999</c:v>
                </c:pt>
                <c:pt idx="14">
                  <c:v>272.13760000000002</c:v>
                </c:pt>
                <c:pt idx="15">
                  <c:v>291.57600000000002</c:v>
                </c:pt>
                <c:pt idx="16">
                  <c:v>311.01440000000002</c:v>
                </c:pt>
                <c:pt idx="17">
                  <c:v>330.45280000000002</c:v>
                </c:pt>
                <c:pt idx="18">
                  <c:v>349.89120000000003</c:v>
                </c:pt>
                <c:pt idx="19">
                  <c:v>369.32960000000003</c:v>
                </c:pt>
                <c:pt idx="20">
                  <c:v>388.76800000000003</c:v>
                </c:pt>
                <c:pt idx="21">
                  <c:v>408.20640000000003</c:v>
                </c:pt>
                <c:pt idx="22">
                  <c:v>440.99859980736005</c:v>
                </c:pt>
              </c:numCache>
            </c:numRef>
          </c:xVal>
          <c:yVal>
            <c:numRef>
              <c:f>'V-n SL'!$S$6:$S$28</c:f>
              <c:numCache>
                <c:formatCode>0.000</c:formatCode>
                <c:ptCount val="23"/>
                <c:pt idx="0">
                  <c:v>1</c:v>
                </c:pt>
                <c:pt idx="1">
                  <c:v>1.1668124873585168</c:v>
                </c:pt>
                <c:pt idx="2">
                  <c:v>1.3242225215908978</c:v>
                </c:pt>
                <c:pt idx="3">
                  <c:v>1.4863337823863467</c:v>
                </c:pt>
                <c:pt idx="4">
                  <c:v>1.6484450431817954</c:v>
                </c:pt>
                <c:pt idx="5">
                  <c:v>1.7143586133715549</c:v>
                </c:pt>
                <c:pt idx="6">
                  <c:v>1.9421244486309654</c:v>
                </c:pt>
                <c:pt idx="7">
                  <c:v>2.0105829020679629</c:v>
                </c:pt>
                <c:pt idx="8">
                  <c:v>2.2144174935541852</c:v>
                </c:pt>
                <c:pt idx="9">
                  <c:v>2.45900134715904</c:v>
                </c:pt>
                <c:pt idx="10">
                  <c:v>2.6211126079544886</c:v>
                </c:pt>
                <c:pt idx="11">
                  <c:v>2.7832238687499373</c:v>
                </c:pt>
                <c:pt idx="12">
                  <c:v>2.9453351295453869</c:v>
                </c:pt>
                <c:pt idx="13">
                  <c:v>3.1074463903408351</c:v>
                </c:pt>
                <c:pt idx="14">
                  <c:v>3.2695576511362847</c:v>
                </c:pt>
                <c:pt idx="15">
                  <c:v>3.4316689119317334</c:v>
                </c:pt>
                <c:pt idx="16">
                  <c:v>3.5937801727271816</c:v>
                </c:pt>
                <c:pt idx="17">
                  <c:v>3.7558914335226308</c:v>
                </c:pt>
                <c:pt idx="18">
                  <c:v>3.9180026943180799</c:v>
                </c:pt>
                <c:pt idx="19">
                  <c:v>4.0801139551135286</c:v>
                </c:pt>
                <c:pt idx="20">
                  <c:v>4.2422252159089773</c:v>
                </c:pt>
                <c:pt idx="21">
                  <c:v>4.404336476704426</c:v>
                </c:pt>
                <c:pt idx="22">
                  <c:v>4.6778149962856368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4856-437C-880D-E0220E63AA6B}"/>
            </c:ext>
          </c:extLst>
        </c:ser>
        <c:ser>
          <c:idx val="9"/>
          <c:order val="9"/>
          <c:tx>
            <c:v>gustvc-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'V-n SL'!$E$6:$E$28</c:f>
              <c:numCache>
                <c:formatCode>0.00</c:formatCode>
                <c:ptCount val="23"/>
                <c:pt idx="0">
                  <c:v>0</c:v>
                </c:pt>
                <c:pt idx="1">
                  <c:v>20.002113599999998</c:v>
                </c:pt>
                <c:pt idx="2">
                  <c:v>38.876800000000003</c:v>
                </c:pt>
                <c:pt idx="3">
                  <c:v>58.315199999999997</c:v>
                </c:pt>
                <c:pt idx="4">
                  <c:v>77.753600000000006</c:v>
                </c:pt>
                <c:pt idx="5">
                  <c:v>85.657149306135494</c:v>
                </c:pt>
                <c:pt idx="6">
                  <c:v>112.96804301198976</c:v>
                </c:pt>
                <c:pt idx="7">
                  <c:v>121.17674359676178</c:v>
                </c:pt>
                <c:pt idx="8">
                  <c:v>145.61809519506497</c:v>
                </c:pt>
                <c:pt idx="9">
                  <c:v>174.94560000000001</c:v>
                </c:pt>
                <c:pt idx="10">
                  <c:v>194.38400000000001</c:v>
                </c:pt>
                <c:pt idx="11">
                  <c:v>213.82239999999999</c:v>
                </c:pt>
                <c:pt idx="12">
                  <c:v>233.26079999999999</c:v>
                </c:pt>
                <c:pt idx="13">
                  <c:v>252.69919999999999</c:v>
                </c:pt>
                <c:pt idx="14">
                  <c:v>272.13760000000002</c:v>
                </c:pt>
                <c:pt idx="15">
                  <c:v>291.57600000000002</c:v>
                </c:pt>
                <c:pt idx="16">
                  <c:v>311.01440000000002</c:v>
                </c:pt>
                <c:pt idx="17">
                  <c:v>330.45280000000002</c:v>
                </c:pt>
                <c:pt idx="18">
                  <c:v>349.89120000000003</c:v>
                </c:pt>
                <c:pt idx="19">
                  <c:v>369.32960000000003</c:v>
                </c:pt>
                <c:pt idx="20">
                  <c:v>388.76800000000003</c:v>
                </c:pt>
                <c:pt idx="21">
                  <c:v>408.20640000000003</c:v>
                </c:pt>
                <c:pt idx="22">
                  <c:v>440.99859980736005</c:v>
                </c:pt>
              </c:numCache>
            </c:numRef>
          </c:xVal>
          <c:yVal>
            <c:numRef>
              <c:f>'V-n SL'!$T$6:$T$28</c:f>
              <c:numCache>
                <c:formatCode>0.00</c:formatCode>
                <c:ptCount val="23"/>
                <c:pt idx="0">
                  <c:v>1</c:v>
                </c:pt>
                <c:pt idx="1">
                  <c:v>0.83318751264148316</c:v>
                </c:pt>
                <c:pt idx="2">
                  <c:v>0.67577747840910229</c:v>
                </c:pt>
                <c:pt idx="3">
                  <c:v>0.51366621761365328</c:v>
                </c:pt>
                <c:pt idx="4">
                  <c:v>0.35155495681820459</c:v>
                </c:pt>
                <c:pt idx="5">
                  <c:v>0.28564138662844507</c:v>
                </c:pt>
                <c:pt idx="6">
                  <c:v>5.787555136903455E-2</c:v>
                </c:pt>
                <c:pt idx="7">
                  <c:v>-1.0582902067962863E-2</c:v>
                </c:pt>
                <c:pt idx="8">
                  <c:v>-0.21441749355418538</c:v>
                </c:pt>
                <c:pt idx="9">
                  <c:v>-0.45900134715903995</c:v>
                </c:pt>
                <c:pt idx="10">
                  <c:v>-0.62111260795448864</c:v>
                </c:pt>
                <c:pt idx="11">
                  <c:v>-0.78322386874993755</c:v>
                </c:pt>
                <c:pt idx="12">
                  <c:v>-0.94533512954538668</c:v>
                </c:pt>
                <c:pt idx="13">
                  <c:v>-1.1074463903408351</c:v>
                </c:pt>
                <c:pt idx="14">
                  <c:v>-1.2695576511362847</c:v>
                </c:pt>
                <c:pt idx="15">
                  <c:v>-1.4316689119317334</c:v>
                </c:pt>
                <c:pt idx="16">
                  <c:v>-1.5937801727271816</c:v>
                </c:pt>
                <c:pt idx="17">
                  <c:v>-1.7558914335226308</c:v>
                </c:pt>
                <c:pt idx="18">
                  <c:v>-1.9180026943180799</c:v>
                </c:pt>
                <c:pt idx="19">
                  <c:v>-2.080113955113529</c:v>
                </c:pt>
                <c:pt idx="20">
                  <c:v>-2.2422252159089773</c:v>
                </c:pt>
                <c:pt idx="21">
                  <c:v>-2.4043364767044264</c:v>
                </c:pt>
                <c:pt idx="22">
                  <c:v>-2.6778149962856372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856-437C-880D-E0220E63AA6B}"/>
            </c:ext>
          </c:extLst>
        </c:ser>
        <c:ser>
          <c:idx val="10"/>
          <c:order val="10"/>
          <c:tx>
            <c:v>gustvd</c:v>
          </c:tx>
          <c:spPr>
            <a:ln w="19050" cap="rnd">
              <a:solidFill>
                <a:srgbClr val="00B050">
                  <a:alpha val="99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'V-n SL'!$E$6:$E$29</c:f>
              <c:numCache>
                <c:formatCode>0.00</c:formatCode>
                <c:ptCount val="24"/>
                <c:pt idx="0">
                  <c:v>0</c:v>
                </c:pt>
                <c:pt idx="1">
                  <c:v>20.002113599999998</c:v>
                </c:pt>
                <c:pt idx="2">
                  <c:v>38.876800000000003</c:v>
                </c:pt>
                <c:pt idx="3">
                  <c:v>58.315199999999997</c:v>
                </c:pt>
                <c:pt idx="4">
                  <c:v>77.753600000000006</c:v>
                </c:pt>
                <c:pt idx="5">
                  <c:v>85.657149306135494</c:v>
                </c:pt>
                <c:pt idx="6">
                  <c:v>112.96804301198976</c:v>
                </c:pt>
                <c:pt idx="7">
                  <c:v>121.17674359676178</c:v>
                </c:pt>
                <c:pt idx="8">
                  <c:v>145.61809519506497</c:v>
                </c:pt>
                <c:pt idx="9">
                  <c:v>174.94560000000001</c:v>
                </c:pt>
                <c:pt idx="10">
                  <c:v>194.38400000000001</c:v>
                </c:pt>
                <c:pt idx="11">
                  <c:v>213.82239999999999</c:v>
                </c:pt>
                <c:pt idx="12">
                  <c:v>233.26079999999999</c:v>
                </c:pt>
                <c:pt idx="13">
                  <c:v>252.69919999999999</c:v>
                </c:pt>
                <c:pt idx="14">
                  <c:v>272.13760000000002</c:v>
                </c:pt>
                <c:pt idx="15">
                  <c:v>291.57600000000002</c:v>
                </c:pt>
                <c:pt idx="16">
                  <c:v>311.01440000000002</c:v>
                </c:pt>
                <c:pt idx="17">
                  <c:v>330.45280000000002</c:v>
                </c:pt>
                <c:pt idx="18">
                  <c:v>349.89120000000003</c:v>
                </c:pt>
                <c:pt idx="19">
                  <c:v>369.32960000000003</c:v>
                </c:pt>
                <c:pt idx="20">
                  <c:v>388.76800000000003</c:v>
                </c:pt>
                <c:pt idx="21">
                  <c:v>408.20640000000003</c:v>
                </c:pt>
                <c:pt idx="22">
                  <c:v>440.99859980736005</c:v>
                </c:pt>
                <c:pt idx="23">
                  <c:v>551.25</c:v>
                </c:pt>
              </c:numCache>
            </c:numRef>
          </c:xVal>
          <c:yVal>
            <c:numRef>
              <c:f>'V-n SL'!$U$6:$U$29</c:f>
              <c:numCache>
                <c:formatCode>0.00</c:formatCode>
                <c:ptCount val="24"/>
                <c:pt idx="0">
                  <c:v>1</c:v>
                </c:pt>
                <c:pt idx="1">
                  <c:v>1.0834062436792584</c:v>
                </c:pt>
                <c:pt idx="2">
                  <c:v>1.1621112607954489</c:v>
                </c:pt>
                <c:pt idx="3">
                  <c:v>1.2431668911931733</c:v>
                </c:pt>
                <c:pt idx="4">
                  <c:v>1.3242225215908978</c:v>
                </c:pt>
                <c:pt idx="5">
                  <c:v>1.3571793066857776</c:v>
                </c:pt>
                <c:pt idx="6">
                  <c:v>1.4710622243154827</c:v>
                </c:pt>
                <c:pt idx="7">
                  <c:v>1.5052914510339814</c:v>
                </c:pt>
                <c:pt idx="8">
                  <c:v>1.6072087467770926</c:v>
                </c:pt>
                <c:pt idx="9">
                  <c:v>1.72950067357952</c:v>
                </c:pt>
                <c:pt idx="10">
                  <c:v>1.8105563039772443</c:v>
                </c:pt>
                <c:pt idx="11">
                  <c:v>1.8916119343749687</c:v>
                </c:pt>
                <c:pt idx="12">
                  <c:v>1.9726675647726934</c:v>
                </c:pt>
                <c:pt idx="13">
                  <c:v>2.0537231951704173</c:v>
                </c:pt>
                <c:pt idx="14">
                  <c:v>2.1347788255681426</c:v>
                </c:pt>
                <c:pt idx="15">
                  <c:v>2.2158344559658669</c:v>
                </c:pt>
                <c:pt idx="16">
                  <c:v>2.2968900863635908</c:v>
                </c:pt>
                <c:pt idx="17">
                  <c:v>2.3779457167613156</c:v>
                </c:pt>
                <c:pt idx="18">
                  <c:v>2.45900134715904</c:v>
                </c:pt>
                <c:pt idx="19">
                  <c:v>2.5400569775567643</c:v>
                </c:pt>
                <c:pt idx="20">
                  <c:v>2.6211126079544886</c:v>
                </c:pt>
                <c:pt idx="21">
                  <c:v>2.702168238352213</c:v>
                </c:pt>
                <c:pt idx="22">
                  <c:v>2.8389074981428184</c:v>
                </c:pt>
                <c:pt idx="23">
                  <c:v>3.2986363585414673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4856-437C-880D-E0220E63AA6B}"/>
            </c:ext>
          </c:extLst>
        </c:ser>
        <c:ser>
          <c:idx val="11"/>
          <c:order val="11"/>
          <c:tx>
            <c:v>gustvd-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'V-n SL'!$E$6:$E$29</c:f>
              <c:numCache>
                <c:formatCode>0.00</c:formatCode>
                <c:ptCount val="24"/>
                <c:pt idx="0">
                  <c:v>0</c:v>
                </c:pt>
                <c:pt idx="1">
                  <c:v>20.002113599999998</c:v>
                </c:pt>
                <c:pt idx="2">
                  <c:v>38.876800000000003</c:v>
                </c:pt>
                <c:pt idx="3">
                  <c:v>58.315199999999997</c:v>
                </c:pt>
                <c:pt idx="4">
                  <c:v>77.753600000000006</c:v>
                </c:pt>
                <c:pt idx="5">
                  <c:v>85.657149306135494</c:v>
                </c:pt>
                <c:pt idx="6">
                  <c:v>112.96804301198976</c:v>
                </c:pt>
                <c:pt idx="7">
                  <c:v>121.17674359676178</c:v>
                </c:pt>
                <c:pt idx="8">
                  <c:v>145.61809519506497</c:v>
                </c:pt>
                <c:pt idx="9">
                  <c:v>174.94560000000001</c:v>
                </c:pt>
                <c:pt idx="10">
                  <c:v>194.38400000000001</c:v>
                </c:pt>
                <c:pt idx="11">
                  <c:v>213.82239999999999</c:v>
                </c:pt>
                <c:pt idx="12">
                  <c:v>233.26079999999999</c:v>
                </c:pt>
                <c:pt idx="13">
                  <c:v>252.69919999999999</c:v>
                </c:pt>
                <c:pt idx="14">
                  <c:v>272.13760000000002</c:v>
                </c:pt>
                <c:pt idx="15">
                  <c:v>291.57600000000002</c:v>
                </c:pt>
                <c:pt idx="16">
                  <c:v>311.01440000000002</c:v>
                </c:pt>
                <c:pt idx="17">
                  <c:v>330.45280000000002</c:v>
                </c:pt>
                <c:pt idx="18">
                  <c:v>349.89120000000003</c:v>
                </c:pt>
                <c:pt idx="19">
                  <c:v>369.32960000000003</c:v>
                </c:pt>
                <c:pt idx="20">
                  <c:v>388.76800000000003</c:v>
                </c:pt>
                <c:pt idx="21">
                  <c:v>408.20640000000003</c:v>
                </c:pt>
                <c:pt idx="22">
                  <c:v>440.99859980736005</c:v>
                </c:pt>
                <c:pt idx="23">
                  <c:v>551.25</c:v>
                </c:pt>
              </c:numCache>
            </c:numRef>
          </c:xVal>
          <c:yVal>
            <c:numRef>
              <c:f>'V-n SL'!$V$6:$V$29</c:f>
              <c:numCache>
                <c:formatCode>0.00</c:formatCode>
                <c:ptCount val="24"/>
                <c:pt idx="0">
                  <c:v>1</c:v>
                </c:pt>
                <c:pt idx="1">
                  <c:v>0.91659375632074158</c:v>
                </c:pt>
                <c:pt idx="2">
                  <c:v>0.83788873920455109</c:v>
                </c:pt>
                <c:pt idx="3">
                  <c:v>0.75683310880682664</c:v>
                </c:pt>
                <c:pt idx="4">
                  <c:v>0.67577747840910229</c:v>
                </c:pt>
                <c:pt idx="5">
                  <c:v>0.64282069331422254</c:v>
                </c:pt>
                <c:pt idx="6">
                  <c:v>0.52893777568451728</c:v>
                </c:pt>
                <c:pt idx="7">
                  <c:v>0.49470854896601857</c:v>
                </c:pt>
                <c:pt idx="8">
                  <c:v>0.39279125322290731</c:v>
                </c:pt>
                <c:pt idx="9">
                  <c:v>0.27049932642048002</c:v>
                </c:pt>
                <c:pt idx="10">
                  <c:v>0.18944369602275568</c:v>
                </c:pt>
                <c:pt idx="11">
                  <c:v>0.10838806562503123</c:v>
                </c:pt>
                <c:pt idx="12">
                  <c:v>2.7332435227306662E-2</c:v>
                </c:pt>
                <c:pt idx="13">
                  <c:v>-5.372319517041757E-2</c:v>
                </c:pt>
                <c:pt idx="14">
                  <c:v>-0.13477882556814236</c:v>
                </c:pt>
                <c:pt idx="15">
                  <c:v>-0.2158344559658667</c:v>
                </c:pt>
                <c:pt idx="16">
                  <c:v>-0.29689008636359082</c:v>
                </c:pt>
                <c:pt idx="17">
                  <c:v>-0.37794571676131539</c:v>
                </c:pt>
                <c:pt idx="18">
                  <c:v>-0.45900134715903995</c:v>
                </c:pt>
                <c:pt idx="19">
                  <c:v>-0.54005697755676452</c:v>
                </c:pt>
                <c:pt idx="20">
                  <c:v>-0.62111260795448864</c:v>
                </c:pt>
                <c:pt idx="21">
                  <c:v>-0.7021682383522132</c:v>
                </c:pt>
                <c:pt idx="22">
                  <c:v>-0.83890749814281862</c:v>
                </c:pt>
                <c:pt idx="23">
                  <c:v>-1.2986363585414673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4856-437C-880D-E0220E63AA6B}"/>
            </c:ext>
          </c:extLst>
        </c:ser>
        <c:ser>
          <c:idx val="12"/>
          <c:order val="12"/>
          <c:tx>
            <c:v>vstall+</c:v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'V-n SL'!$B$46:$B$47</c:f>
              <c:numCache>
                <c:formatCode>0.00</c:formatCode>
                <c:ptCount val="2"/>
                <c:pt idx="0">
                  <c:v>85.656910189399369</c:v>
                </c:pt>
                <c:pt idx="1">
                  <c:v>85.656910189399369</c:v>
                </c:pt>
              </c:numCache>
            </c:numRef>
          </c:xVal>
          <c:yVal>
            <c:numRef>
              <c:f>'V-n SL'!$C$46:$C$47</c:f>
              <c:numCache>
                <c:formatCode>0.0</c:formatCode>
                <c:ptCount val="2"/>
                <c:pt idx="0" formatCode="General">
                  <c:v>1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4856-437C-880D-E0220E63AA6B}"/>
            </c:ext>
          </c:extLst>
        </c:ser>
        <c:ser>
          <c:idx val="13"/>
          <c:order val="13"/>
          <c:tx>
            <c:v>proof load</c:v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xVal>
            <c:numRef>
              <c:f>'V-n SL'!$B$68:$B$69</c:f>
              <c:numCache>
                <c:formatCode>0.00</c:formatCode>
                <c:ptCount val="2"/>
                <c:pt idx="0">
                  <c:v>0</c:v>
                </c:pt>
                <c:pt idx="1">
                  <c:v>551.25</c:v>
                </c:pt>
              </c:numCache>
            </c:numRef>
          </c:xVal>
          <c:yVal>
            <c:numRef>
              <c:f>'V-n SL'!$C$68:$C$69</c:f>
              <c:numCache>
                <c:formatCode>0.00</c:formatCode>
                <c:ptCount val="2"/>
                <c:pt idx="0">
                  <c:v>3.6184193110019569</c:v>
                </c:pt>
                <c:pt idx="1">
                  <c:v>3.6184193110019569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4856-437C-880D-E0220E63AA6B}"/>
            </c:ext>
          </c:extLst>
        </c:ser>
        <c:ser>
          <c:idx val="14"/>
          <c:order val="14"/>
          <c:tx>
            <c:v>ultimateload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'V-n SL'!$B$70:$B$71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551.25</c:v>
                </c:pt>
              </c:numCache>
            </c:numRef>
          </c:xVal>
          <c:yVal>
            <c:numRef>
              <c:f>'V-n SL'!$C$70:$C$71</c:f>
              <c:numCache>
                <c:formatCode>0.00</c:formatCode>
                <c:ptCount val="2"/>
                <c:pt idx="0">
                  <c:v>4.3421031732023483</c:v>
                </c:pt>
                <c:pt idx="1">
                  <c:v>4.3421031732023483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4856-437C-880D-E0220E63AA6B}"/>
            </c:ext>
          </c:extLst>
        </c:ser>
        <c:ser>
          <c:idx val="15"/>
          <c:order val="15"/>
          <c:tx>
            <c:v>vc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'V-n SL'!$B$58:$B$59</c:f>
              <c:numCache>
                <c:formatCode>0.00</c:formatCode>
                <c:ptCount val="2"/>
                <c:pt idx="0">
                  <c:v>441</c:v>
                </c:pt>
                <c:pt idx="1">
                  <c:v>441</c:v>
                </c:pt>
              </c:numCache>
            </c:numRef>
          </c:xVal>
          <c:yVal>
            <c:numRef>
              <c:f>'V-n SL'!$C$58:$C$59</c:f>
              <c:numCache>
                <c:formatCode>0.0</c:formatCode>
                <c:ptCount val="2"/>
                <c:pt idx="0" formatCode="General">
                  <c:v>-1</c:v>
                </c:pt>
                <c:pt idx="1">
                  <c:v>2.8947354488015655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4856-437C-880D-E0220E63AA6B}"/>
            </c:ext>
          </c:extLst>
        </c:ser>
        <c:ser>
          <c:idx val="16"/>
          <c:order val="16"/>
          <c:tx>
            <c:v>flaps</c:v>
          </c:tx>
          <c:spPr>
            <a:ln w="19050" cap="rnd">
              <a:solidFill>
                <a:srgbClr val="0070C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'V-n SL'!$E$6:$E$12</c:f>
              <c:numCache>
                <c:formatCode>0.00</c:formatCode>
                <c:ptCount val="7"/>
                <c:pt idx="0">
                  <c:v>0</c:v>
                </c:pt>
                <c:pt idx="1">
                  <c:v>20.002113599999998</c:v>
                </c:pt>
                <c:pt idx="2">
                  <c:v>38.876800000000003</c:v>
                </c:pt>
                <c:pt idx="3">
                  <c:v>58.315199999999997</c:v>
                </c:pt>
                <c:pt idx="4">
                  <c:v>77.753600000000006</c:v>
                </c:pt>
                <c:pt idx="5">
                  <c:v>85.657149306135494</c:v>
                </c:pt>
                <c:pt idx="6">
                  <c:v>112.96804301198976</c:v>
                </c:pt>
              </c:numCache>
            </c:numRef>
          </c:xVal>
          <c:yVal>
            <c:numRef>
              <c:f>'V-n SL'!$X$6:$X$12</c:f>
              <c:numCache>
                <c:formatCode>0.00</c:formatCode>
                <c:ptCount val="7"/>
                <c:pt idx="0">
                  <c:v>0</c:v>
                </c:pt>
                <c:pt idx="1">
                  <c:v>6.2708268659728866E-2</c:v>
                </c:pt>
                <c:pt idx="2">
                  <c:v>0.2368939950747237</c:v>
                </c:pt>
                <c:pt idx="3">
                  <c:v>0.53301148891812811</c:v>
                </c:pt>
                <c:pt idx="4">
                  <c:v>0.94757598029889478</c:v>
                </c:pt>
                <c:pt idx="5">
                  <c:v>1.150006420605874</c:v>
                </c:pt>
                <c:pt idx="6">
                  <c:v>2.0002498296736038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4856-437C-880D-E0220E63A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774272"/>
        <c:axId val="1328769472"/>
      </c:scatterChart>
      <c:valAx>
        <c:axId val="132877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8769472"/>
        <c:crosses val="autoZero"/>
        <c:crossBetween val="midCat"/>
      </c:valAx>
      <c:valAx>
        <c:axId val="13287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877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phi vs speed (keas)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'Level Turn'!$H$32</c:f>
              <c:strCache>
                <c:ptCount val="1"/>
                <c:pt idx="0">
                  <c:v>Phi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'Level Turn'!$F$33:$F$37</c:f>
              <c:numCache>
                <c:formatCode>0.00</c:formatCode>
                <c:ptCount val="5"/>
                <c:pt idx="0">
                  <c:v>85.656910189399369</c:v>
                </c:pt>
                <c:pt idx="1">
                  <c:v>97.192000000000007</c:v>
                </c:pt>
                <c:pt idx="2">
                  <c:v>116.63039999999999</c:v>
                </c:pt>
                <c:pt idx="3">
                  <c:v>136.06880000000001</c:v>
                </c:pt>
                <c:pt idx="4" formatCode="General">
                  <c:v>166.4704576</c:v>
                </c:pt>
              </c:numCache>
            </c:numRef>
          </c:xVal>
          <c:yVal>
            <c:numRef>
              <c:f>'Level Turn'!$H$33:$H$37</c:f>
              <c:numCache>
                <c:formatCode>General</c:formatCode>
                <c:ptCount val="5"/>
                <c:pt idx="0">
                  <c:v>0</c:v>
                </c:pt>
                <c:pt idx="1">
                  <c:v>0.1914589644735416</c:v>
                </c:pt>
                <c:pt idx="2">
                  <c:v>54.905397041774563</c:v>
                </c:pt>
                <c:pt idx="3">
                  <c:v>60.021603533576965</c:v>
                </c:pt>
                <c:pt idx="4">
                  <c:v>69.756271900977296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CB-4F50-BE4C-0B0DADB31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891911"/>
        <c:axId val="1376893959"/>
      </c:scatterChart>
      <c:valAx>
        <c:axId val="1376891911"/>
        <c:scaling>
          <c:orientation val="minMax"/>
          <c:min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93959"/>
        <c:crosses val="autoZero"/>
        <c:crossBetween val="midCat"/>
      </c:valAx>
      <c:valAx>
        <c:axId val="1376893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91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 vs speed (keas)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'Level Turn'!$F$21:$F$25</c:f>
              <c:numCache>
                <c:formatCode>0.00</c:formatCode>
                <c:ptCount val="5"/>
                <c:pt idx="0">
                  <c:v>85.656910189399369</c:v>
                </c:pt>
                <c:pt idx="1">
                  <c:v>97.192000000000007</c:v>
                </c:pt>
                <c:pt idx="2">
                  <c:v>116.63039999999999</c:v>
                </c:pt>
                <c:pt idx="3">
                  <c:v>136.06880000000001</c:v>
                </c:pt>
                <c:pt idx="4" formatCode="General">
                  <c:v>166.4704576</c:v>
                </c:pt>
              </c:numCache>
            </c:numRef>
          </c:xVal>
          <c:yVal>
            <c:numRef>
              <c:f>'Level Turn'!$H$21:$H$25</c:f>
              <c:numCache>
                <c:formatCode>General</c:formatCode>
                <c:ptCount val="5"/>
                <c:pt idx="0">
                  <c:v>73.000580161621272</c:v>
                </c:pt>
                <c:pt idx="1">
                  <c:v>93.985864550321082</c:v>
                </c:pt>
                <c:pt idx="2">
                  <c:v>135.33964495246232</c:v>
                </c:pt>
                <c:pt idx="3">
                  <c:v>184.21229451862936</c:v>
                </c:pt>
                <c:pt idx="4">
                  <c:v>275.72481201970584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7F-42A0-BDBD-D9F7E5725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628871"/>
        <c:axId val="2110630919"/>
      </c:scatterChart>
      <c:valAx>
        <c:axId val="2110628871"/>
        <c:scaling>
          <c:orientation val="minMax"/>
          <c:min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630919"/>
        <c:crosses val="autoZero"/>
        <c:crossBetween val="midCat"/>
      </c:valAx>
      <c:valAx>
        <c:axId val="2110630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628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 vs speeed (keas)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'Level Turn'!$H$2</c:f>
              <c:strCache>
                <c:ptCount val="1"/>
                <c:pt idx="0">
                  <c:v>W (deg/s)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'Level Turn'!$F$3:$F$7</c:f>
              <c:numCache>
                <c:formatCode>0.00</c:formatCode>
                <c:ptCount val="5"/>
                <c:pt idx="0">
                  <c:v>85.656910189399369</c:v>
                </c:pt>
                <c:pt idx="1">
                  <c:v>85.657149306135494</c:v>
                </c:pt>
                <c:pt idx="2">
                  <c:v>112.96804301198976</c:v>
                </c:pt>
                <c:pt idx="3">
                  <c:v>121.17674359676178</c:v>
                </c:pt>
                <c:pt idx="4">
                  <c:v>145.61809519506497</c:v>
                </c:pt>
              </c:numCache>
            </c:numRef>
          </c:xVal>
          <c:yVal>
            <c:numRef>
              <c:f>'Level Turn'!$H$3:$H$7</c:f>
              <c:numCache>
                <c:formatCode>General</c:formatCode>
                <c:ptCount val="5"/>
                <c:pt idx="0">
                  <c:v>34.650092701556453</c:v>
                </c:pt>
                <c:pt idx="1">
                  <c:v>34.649995973879427</c:v>
                </c:pt>
                <c:pt idx="2">
                  <c:v>26.273092809765462</c:v>
                </c:pt>
                <c:pt idx="3">
                  <c:v>24.49331274710784</c:v>
                </c:pt>
                <c:pt idx="4">
                  <c:v>20.38221880746158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6F-4028-89A9-DD8C5A5F8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306888"/>
        <c:axId val="1565309448"/>
      </c:scatterChart>
      <c:valAx>
        <c:axId val="1565306888"/>
        <c:scaling>
          <c:orientation val="minMax"/>
          <c:min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309448"/>
        <c:crosses val="autoZero"/>
        <c:crossBetween val="midCat"/>
      </c:valAx>
      <c:valAx>
        <c:axId val="1565309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306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1562034</xdr:colOff>
      <xdr:row>31</xdr:row>
      <xdr:rowOff>189074</xdr:rowOff>
    </xdr:from>
    <xdr:to>
      <xdr:col>11</xdr:col>
      <xdr:colOff>911411</xdr:colOff>
      <xdr:row>48</xdr:row>
      <xdr:rowOff>104588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FB499BF-9B42-1D86-10FC-7D24C7500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983628</xdr:colOff>
      <xdr:row>31</xdr:row>
      <xdr:rowOff>112058</xdr:rowOff>
    </xdr:from>
    <xdr:to>
      <xdr:col>14</xdr:col>
      <xdr:colOff>590578</xdr:colOff>
      <xdr:row>48</xdr:row>
      <xdr:rowOff>35834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4A94A3-F9D5-427E-A7BA-8E35478AA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685800</xdr:colOff>
      <xdr:row>33</xdr:row>
      <xdr:rowOff>133350</xdr:rowOff>
    </xdr:from>
    <xdr:to>
      <xdr:col>14</xdr:col>
      <xdr:colOff>685800</xdr:colOff>
      <xdr:row>49</xdr:row>
      <xdr:rowOff>38100</xdr:rowOff>
    </xdr:to>
    <xdr:graphicFrame macro="">
      <xdr:nvGraphicFramePr>
        <xdr:cNvPr id="46" name="Chart 4">
          <a:extLst>
            <a:ext uri="{FF2B5EF4-FFF2-40B4-BE49-F238E27FC236}">
              <a16:creationId xmlns:a16="http://schemas.microsoft.com/office/drawing/2014/main" id="{FE7F0AFB-FDD3-6ACE-6406-A4B9AB678619}"/>
            </a:ext>
            <a:ext uri="{147F2762-F138-4A5C-976F-8EAC2B608ADB}">
              <a16:predDERef xmlns:a16="http://schemas.microsoft.com/office/drawing/2014/main" pred="{D190F733-CAD3-9E2E-CE1C-3297C3A76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619125</xdr:colOff>
      <xdr:row>17</xdr:row>
      <xdr:rowOff>0</xdr:rowOff>
    </xdr:from>
    <xdr:to>
      <xdr:col>14</xdr:col>
      <xdr:colOff>619125</xdr:colOff>
      <xdr:row>31</xdr:row>
      <xdr:rowOff>104775</xdr:rowOff>
    </xdr:to>
    <xdr:graphicFrame macro="">
      <xdr:nvGraphicFramePr>
        <xdr:cNvPr id="45" name="Chart 9">
          <a:extLst>
            <a:ext uri="{FF2B5EF4-FFF2-40B4-BE49-F238E27FC236}">
              <a16:creationId xmlns:a16="http://schemas.microsoft.com/office/drawing/2014/main" id="{BFBF6958-37F7-0ECF-CF6C-AF15BB049319}"/>
            </a:ext>
            <a:ext uri="{147F2762-F138-4A5C-976F-8EAC2B608ADB}">
              <a16:predDERef xmlns:a16="http://schemas.microsoft.com/office/drawing/2014/main" pred="{FE7F0AFB-FDD3-6ACE-6406-A4B9AB6786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600075</xdr:colOff>
      <xdr:row>0</xdr:row>
      <xdr:rowOff>171450</xdr:rowOff>
    </xdr:from>
    <xdr:to>
      <xdr:col>14</xdr:col>
      <xdr:colOff>600075</xdr:colOff>
      <xdr:row>15</xdr:row>
      <xdr:rowOff>66675</xdr:rowOff>
    </xdr:to>
    <xdr:graphicFrame macro="">
      <xdr:nvGraphicFramePr>
        <xdr:cNvPr id="54" name="Chart 11">
          <a:extLst>
            <a:ext uri="{FF2B5EF4-FFF2-40B4-BE49-F238E27FC236}">
              <a16:creationId xmlns:a16="http://schemas.microsoft.com/office/drawing/2014/main" id="{44227665-863E-1923-B1A6-B300CB4207FC}"/>
            </a:ext>
            <a:ext uri="{147F2762-F138-4A5C-976F-8EAC2B608ADB}">
              <a16:predDERef xmlns:a16="http://schemas.microsoft.com/office/drawing/2014/main" pred="{BFBF6958-37F7-0ECF-CF6C-AF15BB049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F253-A9E8-4A18-A701-469A9F36700D}">
  <dimension ref="A1:AA85"/>
  <sheetViews>
    <sheetView topLeftCell="A19" zoomScale="120" zoomScaleNormal="107" workbookViewId="0">
      <selection activeCell="D38" sqref="D38"/>
    </sheetView>
  </sheetViews>
  <sheetFormatPr baseColWidth="10" defaultColWidth="11.453125" defaultRowHeight="14.5" x14ac:dyDescent="0.35"/>
  <cols>
    <col min="1" max="1" width="49.26953125" customWidth="1"/>
    <col min="2" max="2" width="11.1796875" customWidth="1"/>
    <col min="3" max="3" width="11.26953125" customWidth="1"/>
    <col min="4" max="5" width="14.26953125" customWidth="1"/>
    <col min="6" max="6" width="22.81640625" customWidth="1"/>
    <col min="7" max="7" width="16.453125" customWidth="1"/>
    <col min="8" max="8" width="22.54296875" customWidth="1"/>
    <col min="9" max="9" width="12" customWidth="1"/>
    <col min="10" max="10" width="14.54296875" bestFit="1" customWidth="1"/>
    <col min="11" max="11" width="16.453125" style="2" customWidth="1"/>
    <col min="12" max="12" width="14.1796875" style="5" customWidth="1"/>
    <col min="13" max="13" width="18.81640625" style="1" customWidth="1"/>
    <col min="14" max="14" width="12.26953125" customWidth="1"/>
    <col min="17" max="17" width="22.7265625" customWidth="1"/>
    <col min="18" max="18" width="21.7265625" customWidth="1"/>
    <col min="19" max="20" width="22.26953125" customWidth="1"/>
    <col min="21" max="21" width="22" customWidth="1"/>
    <col min="22" max="22" width="22.54296875" customWidth="1"/>
    <col min="24" max="24" width="23.08984375" bestFit="1" customWidth="1"/>
  </cols>
  <sheetData>
    <row r="1" spans="1:27" x14ac:dyDescent="0.35">
      <c r="A1" s="91" t="s">
        <v>0</v>
      </c>
      <c r="B1" s="91" t="s">
        <v>1</v>
      </c>
      <c r="C1" s="91"/>
    </row>
    <row r="2" spans="1:27" x14ac:dyDescent="0.35">
      <c r="A2" s="91"/>
      <c r="B2" s="91"/>
      <c r="C2" s="91"/>
    </row>
    <row r="3" spans="1:27" x14ac:dyDescent="0.35">
      <c r="A3" s="91"/>
      <c r="B3" s="91"/>
      <c r="C3" s="91"/>
    </row>
    <row r="4" spans="1:27" ht="18.5" x14ac:dyDescent="0.45">
      <c r="B4" s="92">
        <f>2.20462*B5</f>
        <v>20198.728439999999</v>
      </c>
      <c r="C4" s="93"/>
      <c r="D4" s="90" t="s">
        <v>2</v>
      </c>
      <c r="E4" s="90"/>
      <c r="F4" s="90"/>
      <c r="G4" s="90"/>
      <c r="H4" s="90"/>
      <c r="I4" s="90"/>
      <c r="J4" s="90"/>
      <c r="K4" s="90"/>
      <c r="L4" s="90"/>
      <c r="M4" s="90" t="s">
        <v>3</v>
      </c>
      <c r="N4" s="90"/>
      <c r="O4" s="90"/>
      <c r="P4" s="90"/>
      <c r="Q4" s="90"/>
      <c r="R4" s="90"/>
      <c r="S4" s="90"/>
      <c r="T4" s="90"/>
      <c r="U4" s="90"/>
      <c r="V4" s="90"/>
    </row>
    <row r="5" spans="1:27" ht="52.9" customHeight="1" x14ac:dyDescent="0.45">
      <c r="A5" s="3" t="s">
        <v>4</v>
      </c>
      <c r="B5" s="81">
        <v>9162</v>
      </c>
      <c r="C5" s="81"/>
      <c r="D5" s="38" t="s">
        <v>5</v>
      </c>
      <c r="E5" s="39" t="s">
        <v>6</v>
      </c>
      <c r="F5" s="40" t="s">
        <v>7</v>
      </c>
      <c r="G5" s="38" t="s">
        <v>8</v>
      </c>
      <c r="H5" s="38" t="s">
        <v>9</v>
      </c>
      <c r="I5" s="40" t="s">
        <v>10</v>
      </c>
      <c r="J5" s="40" t="s">
        <v>11</v>
      </c>
      <c r="K5" s="41" t="s">
        <v>12</v>
      </c>
      <c r="L5" s="42" t="s">
        <v>13</v>
      </c>
      <c r="M5" s="11" t="s">
        <v>14</v>
      </c>
      <c r="N5" s="11" t="s">
        <v>15</v>
      </c>
      <c r="O5" s="33" t="s">
        <v>16</v>
      </c>
      <c r="P5" s="12" t="s">
        <v>17</v>
      </c>
      <c r="Q5" s="11" t="s">
        <v>18</v>
      </c>
      <c r="R5" s="11" t="s">
        <v>19</v>
      </c>
      <c r="S5" s="11" t="s">
        <v>20</v>
      </c>
      <c r="T5" s="11" t="s">
        <v>21</v>
      </c>
      <c r="U5" s="11" t="s">
        <v>22</v>
      </c>
      <c r="V5" s="11" t="s">
        <v>23</v>
      </c>
      <c r="W5" s="13"/>
      <c r="X5" s="11" t="s">
        <v>101</v>
      </c>
      <c r="Y5" s="4"/>
      <c r="Z5" s="4"/>
      <c r="AA5" s="4"/>
    </row>
    <row r="6" spans="1:27" ht="18.5" x14ac:dyDescent="0.45">
      <c r="A6" s="3" t="s">
        <v>24</v>
      </c>
      <c r="B6" s="81">
        <v>0</v>
      </c>
      <c r="C6" s="81"/>
      <c r="D6" s="14">
        <v>0</v>
      </c>
      <c r="E6" s="14">
        <f>1.94384*D6</f>
        <v>0</v>
      </c>
      <c r="F6" s="14">
        <f>E6/$B$9</f>
        <v>0</v>
      </c>
      <c r="G6" s="14">
        <f>(0.5*$B$26*D6^2)*0.020885434273039</f>
        <v>0</v>
      </c>
      <c r="H6" s="32">
        <v>1</v>
      </c>
      <c r="I6" s="14">
        <f>H6*$B$10</f>
        <v>2.2000000000000002</v>
      </c>
      <c r="J6" s="14">
        <f>$B$28*$H$6</f>
        <v>-1.1000000000000001</v>
      </c>
      <c r="K6" s="14">
        <f>((G6/0.020885434273039)*I6*$B$13)/($B$5*$B$11)</f>
        <v>0</v>
      </c>
      <c r="L6" s="14">
        <f>((G6/0.020885434273039)*J6*$B$13)/($B$5*$B$11)</f>
        <v>0</v>
      </c>
      <c r="M6" s="32"/>
      <c r="N6" s="14"/>
      <c r="O6" s="14">
        <f>2*$B$5/($B$26*$B$27*$B$25*$B$13)</f>
        <v>39.378490121890302</v>
      </c>
      <c r="P6" s="32">
        <f>(0.88*O6)/(5.3+O6)</f>
        <v>0.77560972209947487</v>
      </c>
      <c r="Q6" s="68" t="s">
        <v>25</v>
      </c>
      <c r="R6" s="68" t="s">
        <v>25</v>
      </c>
      <c r="S6" s="32">
        <f>1+($P$6*56*0.3048*D6*$B$26*$B$25*$B$13)/(2*$B$5*$B$11)</f>
        <v>1</v>
      </c>
      <c r="T6" s="14">
        <f>1-($P$6*56*0.3048*D6*$B$26*$B$25*$B$13)/(2*$B$5*$B$11)</f>
        <v>1</v>
      </c>
      <c r="U6" s="14">
        <f>1+($P$6*28*0.3048*D6*$B$26*$B$25*$B$13)/(2*$B$5*$B$11)</f>
        <v>1</v>
      </c>
      <c r="V6" s="14">
        <f>1-($P$6*28*0.3048*D6*$B$26*$B$25*$B$13)/(2*$B$5*$B$11)</f>
        <v>1</v>
      </c>
      <c r="W6" s="4"/>
      <c r="X6" s="52">
        <f>((G6/0.020885434273039)*I6*1.15*$B$13)/($B$5*$B$11)</f>
        <v>0</v>
      </c>
      <c r="Y6" s="4"/>
      <c r="Z6" s="4"/>
      <c r="AA6" s="4"/>
    </row>
    <row r="7" spans="1:27" ht="18" customHeight="1" x14ac:dyDescent="0.45">
      <c r="A7" s="3" t="s">
        <v>26</v>
      </c>
      <c r="B7" s="82">
        <f>441</f>
        <v>441</v>
      </c>
      <c r="C7" s="82"/>
      <c r="D7" s="14">
        <v>10.29</v>
      </c>
      <c r="E7" s="14">
        <f t="shared" ref="E7:E28" si="0">1.94384*D7</f>
        <v>20.002113599999998</v>
      </c>
      <c r="F7" s="14">
        <f t="shared" ref="F7:F28" si="1">E7/$B$9</f>
        <v>3.0238425349216905E-2</v>
      </c>
      <c r="G7" s="14">
        <f t="shared" ref="G7:G28" si="2">(0.5*$B$26*D7^2)*0.020885434273039</f>
        <v>1.3545041893048069</v>
      </c>
      <c r="H7" s="32">
        <v>1</v>
      </c>
      <c r="I7" s="14">
        <f t="shared" ref="I7:I28" si="3">H7*$B$10</f>
        <v>2.2000000000000002</v>
      </c>
      <c r="J7" s="14">
        <f t="shared" ref="J7:J29" si="4">$B$28*$H$6</f>
        <v>-1.1000000000000001</v>
      </c>
      <c r="K7" s="14">
        <f t="shared" ref="K7:K28" si="5">((G7/0.020885434273039)*I7*$B$13)/($B$5*$B$11)</f>
        <v>5.4528929269329444E-2</v>
      </c>
      <c r="L7" s="14">
        <f t="shared" ref="L7:L28" si="6">((G7/0.020885434273039)*J7*$B$13)/($B$5*$B$11)</f>
        <v>-2.7264464634664722E-2</v>
      </c>
      <c r="M7" s="32"/>
      <c r="N7" s="14"/>
      <c r="O7" s="14">
        <f t="shared" ref="O7:O29" si="7">2*$B$5/($B$26*$B$27*$B$25*$B$13)</f>
        <v>39.378490121890302</v>
      </c>
      <c r="P7" s="32">
        <f t="shared" ref="P7:P28" si="8">(0.88*O7)/(5.3+O7)</f>
        <v>0.77560972209947487</v>
      </c>
      <c r="Q7" s="69"/>
      <c r="R7" s="69"/>
      <c r="S7" s="32">
        <f t="shared" ref="S7:S28" si="9">1+($P$6*56*0.3048*D7*$B$26*$B$25*$B$13)/(2*$B$5*$B$11)</f>
        <v>1.1668124873585168</v>
      </c>
      <c r="T7" s="14">
        <f t="shared" ref="T7:T28" si="10">1-($P$6*56*0.3048*D7*$B$26*$B$25*$B$13)/(2*$B$5*$B$11)</f>
        <v>0.83318751264148316</v>
      </c>
      <c r="U7" s="14">
        <f t="shared" ref="U7:U28" si="11">1+($P$6*28*0.3048*D7*$B$26*$B$25*$B$13)/(2*$B$5*$B$11)</f>
        <v>1.0834062436792584</v>
      </c>
      <c r="V7" s="14">
        <f t="shared" ref="V7:V28" si="12">1-($P$6*28*0.3048*D7*$B$26*$B$25*$B$13)/(2*$B$5*$B$11)</f>
        <v>0.91659375632074158</v>
      </c>
      <c r="W7" s="4"/>
      <c r="X7" s="52">
        <f t="shared" ref="X7:X29" si="13">((G7/0.020885434273039)*I7*1.15*$B$13)/($B$5*$B$11)</f>
        <v>6.2708268659728866E-2</v>
      </c>
      <c r="Y7" s="4"/>
      <c r="Z7" s="4"/>
      <c r="AA7" s="4"/>
    </row>
    <row r="8" spans="1:27" ht="18" customHeight="1" x14ac:dyDescent="0.45">
      <c r="A8" s="3" t="s">
        <v>27</v>
      </c>
      <c r="B8" s="82">
        <f>1.25*B7</f>
        <v>551.25</v>
      </c>
      <c r="C8" s="82"/>
      <c r="D8" s="14">
        <v>20</v>
      </c>
      <c r="E8" s="14">
        <f t="shared" si="0"/>
        <v>38.876800000000003</v>
      </c>
      <c r="F8" s="14">
        <f t="shared" si="1"/>
        <v>5.8772449658341906E-2</v>
      </c>
      <c r="G8" s="14">
        <f t="shared" si="2"/>
        <v>5.1169313968945556</v>
      </c>
      <c r="H8" s="32">
        <v>1</v>
      </c>
      <c r="I8" s="14">
        <f t="shared" si="3"/>
        <v>2.2000000000000002</v>
      </c>
      <c r="J8" s="14">
        <f t="shared" si="4"/>
        <v>-1.1000000000000001</v>
      </c>
      <c r="K8" s="14">
        <f t="shared" si="5"/>
        <v>0.20599477832584667</v>
      </c>
      <c r="L8" s="14">
        <f t="shared" si="6"/>
        <v>-0.10299738916292334</v>
      </c>
      <c r="M8" s="32"/>
      <c r="N8" s="14"/>
      <c r="O8" s="14">
        <f t="shared" si="7"/>
        <v>39.378490121890302</v>
      </c>
      <c r="P8" s="32">
        <f t="shared" si="8"/>
        <v>0.77560972209947487</v>
      </c>
      <c r="Q8" s="69"/>
      <c r="R8" s="69"/>
      <c r="S8" s="32">
        <f t="shared" si="9"/>
        <v>1.3242225215908978</v>
      </c>
      <c r="T8" s="14">
        <f t="shared" si="10"/>
        <v>0.67577747840910229</v>
      </c>
      <c r="U8" s="14">
        <f t="shared" si="11"/>
        <v>1.1621112607954489</v>
      </c>
      <c r="V8" s="14">
        <f t="shared" si="12"/>
        <v>0.83788873920455109</v>
      </c>
      <c r="W8" s="4"/>
      <c r="X8" s="52">
        <f t="shared" si="13"/>
        <v>0.2368939950747237</v>
      </c>
      <c r="Y8" s="4"/>
      <c r="Z8" s="4"/>
      <c r="AA8" s="4"/>
    </row>
    <row r="9" spans="1:27" ht="18.5" x14ac:dyDescent="0.45">
      <c r="A9" s="3" t="s">
        <v>28</v>
      </c>
      <c r="B9" s="81">
        <v>661.48</v>
      </c>
      <c r="C9" s="81"/>
      <c r="D9" s="14">
        <v>30</v>
      </c>
      <c r="E9" s="14">
        <f t="shared" si="0"/>
        <v>58.315199999999997</v>
      </c>
      <c r="F9" s="14">
        <f t="shared" si="1"/>
        <v>8.8158674487512842E-2</v>
      </c>
      <c r="G9" s="14">
        <f t="shared" si="2"/>
        <v>11.513095643012749</v>
      </c>
      <c r="H9" s="32">
        <v>1</v>
      </c>
      <c r="I9" s="14">
        <f t="shared" si="3"/>
        <v>2.2000000000000002</v>
      </c>
      <c r="J9" s="14">
        <f t="shared" si="4"/>
        <v>-1.1000000000000001</v>
      </c>
      <c r="K9" s="14">
        <f t="shared" si="5"/>
        <v>0.4634882512331549</v>
      </c>
      <c r="L9" s="14">
        <f t="shared" si="6"/>
        <v>-0.23174412561657745</v>
      </c>
      <c r="M9" s="32"/>
      <c r="N9" s="14"/>
      <c r="O9" s="14">
        <f t="shared" si="7"/>
        <v>39.378490121890302</v>
      </c>
      <c r="P9" s="32">
        <f t="shared" si="8"/>
        <v>0.77560972209947487</v>
      </c>
      <c r="Q9" s="69"/>
      <c r="R9" s="69"/>
      <c r="S9" s="32">
        <f t="shared" si="9"/>
        <v>1.4863337823863467</v>
      </c>
      <c r="T9" s="14">
        <f t="shared" si="10"/>
        <v>0.51366621761365328</v>
      </c>
      <c r="U9" s="14">
        <f t="shared" si="11"/>
        <v>1.2431668911931733</v>
      </c>
      <c r="V9" s="14">
        <f t="shared" si="12"/>
        <v>0.75683310880682664</v>
      </c>
      <c r="W9" s="4"/>
      <c r="X9" s="52">
        <f t="shared" si="13"/>
        <v>0.53301148891812811</v>
      </c>
      <c r="Y9" s="4"/>
      <c r="Z9" s="4"/>
      <c r="AA9" s="4"/>
    </row>
    <row r="10" spans="1:27" ht="18.5" x14ac:dyDescent="0.45">
      <c r="A10" s="3" t="s">
        <v>29</v>
      </c>
      <c r="B10" s="81">
        <v>2.2000000000000002</v>
      </c>
      <c r="C10" s="81"/>
      <c r="D10" s="14">
        <v>40</v>
      </c>
      <c r="E10" s="14">
        <f t="shared" si="0"/>
        <v>77.753600000000006</v>
      </c>
      <c r="F10" s="14">
        <f t="shared" si="1"/>
        <v>0.11754489931668381</v>
      </c>
      <c r="G10" s="14">
        <f t="shared" si="2"/>
        <v>20.467725587578222</v>
      </c>
      <c r="H10" s="32">
        <v>1</v>
      </c>
      <c r="I10" s="14">
        <f t="shared" si="3"/>
        <v>2.2000000000000002</v>
      </c>
      <c r="J10" s="14">
        <f t="shared" si="4"/>
        <v>-1.1000000000000001</v>
      </c>
      <c r="K10" s="14">
        <f t="shared" si="5"/>
        <v>0.82397911330338669</v>
      </c>
      <c r="L10" s="14">
        <f t="shared" si="6"/>
        <v>-0.41198955665169334</v>
      </c>
      <c r="M10" s="32"/>
      <c r="N10" s="14"/>
      <c r="O10" s="14">
        <f t="shared" si="7"/>
        <v>39.378490121890302</v>
      </c>
      <c r="P10" s="32">
        <f t="shared" si="8"/>
        <v>0.77560972209947487</v>
      </c>
      <c r="Q10" s="69"/>
      <c r="R10" s="69"/>
      <c r="S10" s="32">
        <f t="shared" si="9"/>
        <v>1.6484450431817954</v>
      </c>
      <c r="T10" s="14">
        <f t="shared" si="10"/>
        <v>0.35155495681820459</v>
      </c>
      <c r="U10" s="14">
        <f t="shared" si="11"/>
        <v>1.3242225215908978</v>
      </c>
      <c r="V10" s="14">
        <f t="shared" si="12"/>
        <v>0.67577747840910229</v>
      </c>
      <c r="W10" s="4"/>
      <c r="X10" s="52">
        <f t="shared" si="13"/>
        <v>0.94757598029889478</v>
      </c>
      <c r="Y10" s="4"/>
      <c r="Z10" s="4"/>
      <c r="AA10" s="4"/>
    </row>
    <row r="11" spans="1:27" ht="18.5" x14ac:dyDescent="0.45">
      <c r="A11" s="3" t="s">
        <v>30</v>
      </c>
      <c r="B11" s="81">
        <v>9.81</v>
      </c>
      <c r="C11" s="81"/>
      <c r="D11" s="14">
        <v>44.065946428788116</v>
      </c>
      <c r="E11" s="14">
        <f t="shared" si="0"/>
        <v>85.657149306135494</v>
      </c>
      <c r="F11" s="14">
        <f t="shared" si="1"/>
        <v>0.12949318090665704</v>
      </c>
      <c r="G11" s="14">
        <f t="shared" si="2"/>
        <v>24.840241131364976</v>
      </c>
      <c r="H11" s="32">
        <v>1</v>
      </c>
      <c r="I11" s="14">
        <f t="shared" si="3"/>
        <v>2.2000000000000002</v>
      </c>
      <c r="J11" s="14">
        <f t="shared" si="4"/>
        <v>-1.1000000000000001</v>
      </c>
      <c r="K11" s="14">
        <f t="shared" si="5"/>
        <v>1.0000055831355428</v>
      </c>
      <c r="L11" s="14">
        <f t="shared" si="6"/>
        <v>-0.50000279156777139</v>
      </c>
      <c r="M11" s="32"/>
      <c r="N11" s="14"/>
      <c r="O11" s="14">
        <f t="shared" si="7"/>
        <v>39.378490121890302</v>
      </c>
      <c r="P11" s="32">
        <f t="shared" si="8"/>
        <v>0.77560972209947487</v>
      </c>
      <c r="Q11" s="69"/>
      <c r="R11" s="69"/>
      <c r="S11" s="32">
        <f t="shared" si="9"/>
        <v>1.7143586133715549</v>
      </c>
      <c r="T11" s="14">
        <f t="shared" si="10"/>
        <v>0.28564138662844507</v>
      </c>
      <c r="U11" s="14">
        <f t="shared" si="11"/>
        <v>1.3571793066857776</v>
      </c>
      <c r="V11" s="14">
        <f t="shared" si="12"/>
        <v>0.64282069331422254</v>
      </c>
      <c r="W11" s="4"/>
      <c r="X11" s="52">
        <f t="shared" si="13"/>
        <v>1.150006420605874</v>
      </c>
      <c r="Y11" s="4"/>
      <c r="Z11" s="4"/>
      <c r="AA11" s="4"/>
    </row>
    <row r="12" spans="1:27" ht="18.5" x14ac:dyDescent="0.45">
      <c r="A12" s="3" t="s">
        <v>31</v>
      </c>
      <c r="B12" s="81">
        <v>16.97</v>
      </c>
      <c r="C12" s="81"/>
      <c r="D12" s="14">
        <v>58.115916439619397</v>
      </c>
      <c r="E12" s="14">
        <f t="shared" si="0"/>
        <v>112.96804301198976</v>
      </c>
      <c r="F12" s="14">
        <f t="shared" si="1"/>
        <v>0.17078073866479676</v>
      </c>
      <c r="G12" s="14">
        <f t="shared" si="2"/>
        <v>43.205574509650909</v>
      </c>
      <c r="H12" s="32">
        <v>1</v>
      </c>
      <c r="I12" s="14">
        <f t="shared" si="3"/>
        <v>2.2000000000000002</v>
      </c>
      <c r="J12" s="14">
        <f t="shared" si="4"/>
        <v>-1.1000000000000001</v>
      </c>
      <c r="K12" s="14">
        <f t="shared" si="5"/>
        <v>1.7393476779770467</v>
      </c>
      <c r="L12" s="14">
        <f t="shared" si="6"/>
        <v>-0.86967383898852335</v>
      </c>
      <c r="M12" s="32"/>
      <c r="N12" s="14"/>
      <c r="O12" s="14">
        <f t="shared" si="7"/>
        <v>39.378490121890302</v>
      </c>
      <c r="P12" s="32">
        <f t="shared" si="8"/>
        <v>0.77560972209947487</v>
      </c>
      <c r="Q12" s="69"/>
      <c r="R12" s="69"/>
      <c r="S12" s="32">
        <f t="shared" si="9"/>
        <v>1.9421244486309654</v>
      </c>
      <c r="T12" s="14">
        <f t="shared" si="10"/>
        <v>5.787555136903455E-2</v>
      </c>
      <c r="U12" s="14">
        <f t="shared" si="11"/>
        <v>1.4710622243154827</v>
      </c>
      <c r="V12" s="14">
        <f t="shared" si="12"/>
        <v>0.52893777568451728</v>
      </c>
      <c r="W12" s="4"/>
      <c r="X12" s="52">
        <f t="shared" si="13"/>
        <v>2.0002498296736038</v>
      </c>
      <c r="Y12" s="4"/>
      <c r="Z12" s="4"/>
      <c r="AA12" s="4"/>
    </row>
    <row r="13" spans="1:27" ht="18.5" x14ac:dyDescent="0.45">
      <c r="A13" s="3" t="s">
        <v>32</v>
      </c>
      <c r="B13" s="81">
        <v>34.35</v>
      </c>
      <c r="C13" s="81"/>
      <c r="D13" s="14">
        <v>62.338846611224064</v>
      </c>
      <c r="E13" s="14">
        <f t="shared" si="0"/>
        <v>121.17674359676178</v>
      </c>
      <c r="F13" s="14">
        <f t="shared" si="1"/>
        <v>0.18319033621086317</v>
      </c>
      <c r="G13" s="14">
        <f t="shared" si="2"/>
        <v>49.712674509017134</v>
      </c>
      <c r="H13" s="32">
        <v>1</v>
      </c>
      <c r="I13" s="14">
        <f t="shared" si="3"/>
        <v>2.2000000000000002</v>
      </c>
      <c r="J13" s="14">
        <f t="shared" si="4"/>
        <v>-1.1000000000000001</v>
      </c>
      <c r="K13" s="14">
        <f t="shared" si="5"/>
        <v>2.0013071450762272</v>
      </c>
      <c r="L13" s="14">
        <f t="shared" si="6"/>
        <v>-1.0006535725381136</v>
      </c>
      <c r="M13" s="32"/>
      <c r="N13" s="14"/>
      <c r="O13" s="14">
        <f t="shared" si="7"/>
        <v>39.378490121890302</v>
      </c>
      <c r="P13" s="32">
        <f t="shared" si="8"/>
        <v>0.77560972209947487</v>
      </c>
      <c r="Q13" s="69"/>
      <c r="R13" s="69"/>
      <c r="S13" s="32">
        <f t="shared" si="9"/>
        <v>2.0105829020679629</v>
      </c>
      <c r="T13" s="14">
        <f t="shared" si="10"/>
        <v>-1.0582902067962863E-2</v>
      </c>
      <c r="U13" s="14">
        <f t="shared" si="11"/>
        <v>1.5052914510339814</v>
      </c>
      <c r="V13" s="14">
        <f t="shared" si="12"/>
        <v>0.49470854896601857</v>
      </c>
      <c r="W13" s="4"/>
      <c r="X13" s="4"/>
      <c r="Y13" s="4"/>
      <c r="Z13" s="4"/>
      <c r="AA13" s="4"/>
    </row>
    <row r="14" spans="1:27" ht="18" customHeight="1" x14ac:dyDescent="0.45">
      <c r="A14" s="3" t="s">
        <v>33</v>
      </c>
      <c r="B14" s="83">
        <f>B5/B13</f>
        <v>266.72489082969429</v>
      </c>
      <c r="C14" s="84"/>
      <c r="D14" s="14">
        <v>74.912593215009963</v>
      </c>
      <c r="E14" s="14">
        <f t="shared" si="0"/>
        <v>145.61809519506497</v>
      </c>
      <c r="F14" s="14">
        <f t="shared" si="1"/>
        <v>0.22013983067525089</v>
      </c>
      <c r="G14" s="14">
        <f t="shared" si="2"/>
        <v>71.78922505562295</v>
      </c>
      <c r="H14" s="32">
        <v>1</v>
      </c>
      <c r="I14" s="14">
        <f t="shared" si="3"/>
        <v>2.2000000000000002</v>
      </c>
      <c r="J14" s="14">
        <f t="shared" si="4"/>
        <v>-1.1000000000000001</v>
      </c>
      <c r="K14" s="14">
        <f t="shared" si="5"/>
        <v>2.8900535016928837</v>
      </c>
      <c r="L14" s="14">
        <f t="shared" si="6"/>
        <v>-1.4450267508464418</v>
      </c>
      <c r="M14" s="32"/>
      <c r="N14" s="14"/>
      <c r="O14" s="14">
        <f t="shared" si="7"/>
        <v>39.378490121890302</v>
      </c>
      <c r="P14" s="32">
        <f t="shared" si="8"/>
        <v>0.77560972209947487</v>
      </c>
      <c r="Q14" s="69"/>
      <c r="R14" s="69"/>
      <c r="S14" s="32">
        <f t="shared" si="9"/>
        <v>2.2144174935541852</v>
      </c>
      <c r="T14" s="14">
        <f t="shared" si="10"/>
        <v>-0.21441749355418538</v>
      </c>
      <c r="U14" s="14">
        <f t="shared" si="11"/>
        <v>1.6072087467770926</v>
      </c>
      <c r="V14" s="14">
        <f t="shared" si="12"/>
        <v>0.39279125322290731</v>
      </c>
      <c r="W14" s="4"/>
      <c r="X14" s="4"/>
      <c r="Y14" s="4"/>
      <c r="Z14" s="4"/>
      <c r="AA14" s="4"/>
    </row>
    <row r="15" spans="1:27" ht="18" customHeight="1" x14ac:dyDescent="0.45">
      <c r="A15" s="3" t="s">
        <v>34</v>
      </c>
      <c r="B15" s="83">
        <f>2.1+(24000/(B4+10000))</f>
        <v>2.8947354488015655</v>
      </c>
      <c r="C15" s="84"/>
      <c r="D15" s="14">
        <v>90</v>
      </c>
      <c r="E15" s="14">
        <f t="shared" si="0"/>
        <v>174.94560000000001</v>
      </c>
      <c r="F15" s="14">
        <f t="shared" si="1"/>
        <v>0.26447602346253857</v>
      </c>
      <c r="G15" s="14">
        <f t="shared" si="2"/>
        <v>103.61786078711474</v>
      </c>
      <c r="H15" s="32">
        <v>1</v>
      </c>
      <c r="I15" s="14">
        <f t="shared" si="3"/>
        <v>2.2000000000000002</v>
      </c>
      <c r="J15" s="14">
        <f t="shared" si="4"/>
        <v>-1.1000000000000001</v>
      </c>
      <c r="K15" s="14">
        <f t="shared" si="5"/>
        <v>4.1713942610983947</v>
      </c>
      <c r="L15" s="14">
        <f t="shared" si="6"/>
        <v>-2.0856971305491974</v>
      </c>
      <c r="M15" s="32"/>
      <c r="N15" s="14"/>
      <c r="O15" s="14">
        <f t="shared" si="7"/>
        <v>39.378490121890302</v>
      </c>
      <c r="P15" s="32">
        <f t="shared" si="8"/>
        <v>0.77560972209947487</v>
      </c>
      <c r="Q15" s="69"/>
      <c r="R15" s="69"/>
      <c r="S15" s="32">
        <f t="shared" si="9"/>
        <v>2.45900134715904</v>
      </c>
      <c r="T15" s="14">
        <f t="shared" si="10"/>
        <v>-0.45900134715903995</v>
      </c>
      <c r="U15" s="14">
        <f t="shared" si="11"/>
        <v>1.72950067357952</v>
      </c>
      <c r="V15" s="14">
        <f t="shared" si="12"/>
        <v>0.27049932642048002</v>
      </c>
      <c r="W15" s="4"/>
      <c r="X15" s="4"/>
      <c r="Y15" s="4"/>
      <c r="Z15" s="4"/>
      <c r="AA15" s="4"/>
    </row>
    <row r="16" spans="1:27" ht="18.5" x14ac:dyDescent="0.45">
      <c r="A16" s="3" t="s">
        <v>35</v>
      </c>
      <c r="B16" s="83">
        <v>-1</v>
      </c>
      <c r="C16" s="84"/>
      <c r="D16" s="14">
        <v>100</v>
      </c>
      <c r="E16" s="14">
        <f t="shared" si="0"/>
        <v>194.38400000000001</v>
      </c>
      <c r="F16" s="14">
        <f t="shared" si="1"/>
        <v>0.29386224829170954</v>
      </c>
      <c r="G16" s="14">
        <f t="shared" si="2"/>
        <v>127.92328492236386</v>
      </c>
      <c r="H16" s="32">
        <v>1</v>
      </c>
      <c r="I16" s="14">
        <f t="shared" si="3"/>
        <v>2.2000000000000002</v>
      </c>
      <c r="J16" s="14">
        <f t="shared" si="4"/>
        <v>-1.1000000000000001</v>
      </c>
      <c r="K16" s="14">
        <f t="shared" si="5"/>
        <v>5.1498694581461661</v>
      </c>
      <c r="L16" s="14">
        <f t="shared" si="6"/>
        <v>-2.5749347290730831</v>
      </c>
      <c r="M16" s="32"/>
      <c r="N16" s="14"/>
      <c r="O16" s="14">
        <f t="shared" si="7"/>
        <v>39.378490121890302</v>
      </c>
      <c r="P16" s="32">
        <f t="shared" si="8"/>
        <v>0.77560972209947487</v>
      </c>
      <c r="Q16" s="69"/>
      <c r="R16" s="69"/>
      <c r="S16" s="32">
        <f t="shared" si="9"/>
        <v>2.6211126079544886</v>
      </c>
      <c r="T16" s="14">
        <f t="shared" si="10"/>
        <v>-0.62111260795448864</v>
      </c>
      <c r="U16" s="14">
        <f t="shared" si="11"/>
        <v>1.8105563039772443</v>
      </c>
      <c r="V16" s="14">
        <f t="shared" si="12"/>
        <v>0.18944369602275568</v>
      </c>
      <c r="W16" s="4"/>
      <c r="X16" s="4"/>
      <c r="Y16" s="4"/>
      <c r="Z16" s="4"/>
      <c r="AA16" s="4"/>
    </row>
    <row r="17" spans="1:27" ht="18.5" x14ac:dyDescent="0.45">
      <c r="A17" s="3" t="s">
        <v>36</v>
      </c>
      <c r="B17" s="81">
        <v>8.4</v>
      </c>
      <c r="C17" s="81"/>
      <c r="D17" s="14">
        <v>110</v>
      </c>
      <c r="E17" s="14">
        <f t="shared" si="0"/>
        <v>213.82239999999999</v>
      </c>
      <c r="F17" s="14">
        <f t="shared" si="1"/>
        <v>0.3232484731208804</v>
      </c>
      <c r="G17" s="14">
        <f t="shared" si="2"/>
        <v>154.7871747560603</v>
      </c>
      <c r="H17" s="32">
        <v>1</v>
      </c>
      <c r="I17" s="14">
        <f t="shared" si="3"/>
        <v>2.2000000000000002</v>
      </c>
      <c r="J17" s="14">
        <f t="shared" si="4"/>
        <v>-1.1000000000000001</v>
      </c>
      <c r="K17" s="14">
        <f t="shared" si="5"/>
        <v>6.231342044356861</v>
      </c>
      <c r="L17" s="14">
        <f t="shared" si="6"/>
        <v>-3.1156710221784305</v>
      </c>
      <c r="M17" s="32"/>
      <c r="N17" s="14"/>
      <c r="O17" s="14">
        <f t="shared" si="7"/>
        <v>39.378490121890302</v>
      </c>
      <c r="P17" s="32">
        <f t="shared" si="8"/>
        <v>0.77560972209947487</v>
      </c>
      <c r="Q17" s="69"/>
      <c r="R17" s="69"/>
      <c r="S17" s="32">
        <f t="shared" si="9"/>
        <v>2.7832238687499373</v>
      </c>
      <c r="T17" s="14">
        <f t="shared" si="10"/>
        <v>-0.78322386874993755</v>
      </c>
      <c r="U17" s="14">
        <f t="shared" si="11"/>
        <v>1.8916119343749687</v>
      </c>
      <c r="V17" s="14">
        <f t="shared" si="12"/>
        <v>0.10838806562503123</v>
      </c>
      <c r="W17" s="4"/>
      <c r="X17" s="4"/>
      <c r="Y17" s="4"/>
      <c r="Z17" s="4"/>
      <c r="AA17" s="4"/>
    </row>
    <row r="18" spans="1:27" ht="18.5" x14ac:dyDescent="0.45">
      <c r="A18" s="3" t="s">
        <v>37</v>
      </c>
      <c r="B18" s="83">
        <v>0.2</v>
      </c>
      <c r="C18" s="84"/>
      <c r="D18" s="14">
        <v>120</v>
      </c>
      <c r="E18" s="14">
        <f t="shared" si="0"/>
        <v>233.26079999999999</v>
      </c>
      <c r="F18" s="14">
        <f t="shared" si="1"/>
        <v>0.35263469795005137</v>
      </c>
      <c r="G18" s="14">
        <f t="shared" si="2"/>
        <v>184.20953028820398</v>
      </c>
      <c r="H18" s="32">
        <v>1</v>
      </c>
      <c r="I18" s="14">
        <f t="shared" si="3"/>
        <v>2.2000000000000002</v>
      </c>
      <c r="J18" s="14">
        <f t="shared" si="4"/>
        <v>-1.1000000000000001</v>
      </c>
      <c r="K18" s="14">
        <f t="shared" si="5"/>
        <v>7.4158120197304784</v>
      </c>
      <c r="L18" s="14">
        <f t="shared" si="6"/>
        <v>-3.7079060098652392</v>
      </c>
      <c r="M18" s="32"/>
      <c r="N18" s="14"/>
      <c r="O18" s="14">
        <f t="shared" si="7"/>
        <v>39.378490121890302</v>
      </c>
      <c r="P18" s="32">
        <f t="shared" si="8"/>
        <v>0.77560972209947487</v>
      </c>
      <c r="Q18" s="69"/>
      <c r="R18" s="69"/>
      <c r="S18" s="32">
        <f t="shared" si="9"/>
        <v>2.9453351295453869</v>
      </c>
      <c r="T18" s="14">
        <f t="shared" si="10"/>
        <v>-0.94533512954538668</v>
      </c>
      <c r="U18" s="14">
        <f t="shared" si="11"/>
        <v>1.9726675647726934</v>
      </c>
      <c r="V18" s="14">
        <f t="shared" si="12"/>
        <v>2.7332435227306662E-2</v>
      </c>
      <c r="W18" s="4"/>
      <c r="X18" s="4"/>
      <c r="Y18" s="4"/>
      <c r="Z18" s="4"/>
      <c r="AA18" s="4"/>
    </row>
    <row r="19" spans="1:27" ht="18.5" x14ac:dyDescent="0.45">
      <c r="A19" s="3" t="s">
        <v>38</v>
      </c>
      <c r="B19" s="81">
        <v>0</v>
      </c>
      <c r="C19" s="81"/>
      <c r="D19" s="14">
        <v>130</v>
      </c>
      <c r="E19" s="14">
        <f t="shared" si="0"/>
        <v>252.69919999999999</v>
      </c>
      <c r="F19" s="14">
        <f t="shared" si="1"/>
        <v>0.38202092277922234</v>
      </c>
      <c r="G19" s="14">
        <f t="shared" si="2"/>
        <v>216.19035151879493</v>
      </c>
      <c r="H19" s="32">
        <v>1</v>
      </c>
      <c r="I19" s="14">
        <f t="shared" si="3"/>
        <v>2.2000000000000002</v>
      </c>
      <c r="J19" s="14">
        <f t="shared" si="4"/>
        <v>-1.1000000000000001</v>
      </c>
      <c r="K19" s="14">
        <f t="shared" si="5"/>
        <v>8.703279384267022</v>
      </c>
      <c r="L19" s="14">
        <f t="shared" si="6"/>
        <v>-4.351639692133511</v>
      </c>
      <c r="M19" s="14"/>
      <c r="N19" s="14"/>
      <c r="O19" s="14">
        <f t="shared" si="7"/>
        <v>39.378490121890302</v>
      </c>
      <c r="P19" s="32">
        <f t="shared" si="8"/>
        <v>0.77560972209947487</v>
      </c>
      <c r="Q19" s="69"/>
      <c r="R19" s="69"/>
      <c r="S19" s="32">
        <f t="shared" si="9"/>
        <v>3.1074463903408351</v>
      </c>
      <c r="T19" s="14">
        <f t="shared" si="10"/>
        <v>-1.1074463903408351</v>
      </c>
      <c r="U19" s="14">
        <f t="shared" si="11"/>
        <v>2.0537231951704173</v>
      </c>
      <c r="V19" s="14">
        <f t="shared" si="12"/>
        <v>-5.372319517041757E-2</v>
      </c>
      <c r="W19" s="6"/>
      <c r="X19" s="4"/>
      <c r="Y19" s="4"/>
      <c r="Z19" s="4"/>
      <c r="AA19" s="4"/>
    </row>
    <row r="20" spans="1:27" ht="18.5" x14ac:dyDescent="0.45">
      <c r="A20" s="3" t="s">
        <v>39</v>
      </c>
      <c r="B20" s="81">
        <v>1</v>
      </c>
      <c r="C20" s="81"/>
      <c r="D20" s="14">
        <v>140</v>
      </c>
      <c r="E20" s="14">
        <f t="shared" si="0"/>
        <v>272.13760000000002</v>
      </c>
      <c r="F20" s="14">
        <f t="shared" si="1"/>
        <v>0.41140714760839331</v>
      </c>
      <c r="G20" s="14">
        <f t="shared" si="2"/>
        <v>250.7296384478332</v>
      </c>
      <c r="H20" s="32">
        <v>1</v>
      </c>
      <c r="I20" s="14">
        <f t="shared" si="3"/>
        <v>2.2000000000000002</v>
      </c>
      <c r="J20" s="14">
        <f t="shared" si="4"/>
        <v>-1.1000000000000001</v>
      </c>
      <c r="K20" s="14">
        <f t="shared" si="5"/>
        <v>10.093744137966487</v>
      </c>
      <c r="L20" s="14">
        <f t="shared" si="6"/>
        <v>-5.0468720689832436</v>
      </c>
      <c r="M20" s="14"/>
      <c r="N20" s="14"/>
      <c r="O20" s="14">
        <f t="shared" si="7"/>
        <v>39.378490121890302</v>
      </c>
      <c r="P20" s="32">
        <f t="shared" si="8"/>
        <v>0.77560972209947487</v>
      </c>
      <c r="Q20" s="69"/>
      <c r="R20" s="69"/>
      <c r="S20" s="32">
        <f t="shared" si="9"/>
        <v>3.2695576511362847</v>
      </c>
      <c r="T20" s="14">
        <f t="shared" si="10"/>
        <v>-1.2695576511362847</v>
      </c>
      <c r="U20" s="14">
        <f t="shared" si="11"/>
        <v>2.1347788255681426</v>
      </c>
      <c r="V20" s="14">
        <f t="shared" si="12"/>
        <v>-0.13477882556814236</v>
      </c>
      <c r="W20" s="6"/>
      <c r="X20" s="4"/>
      <c r="Y20" s="4"/>
      <c r="Z20" s="4"/>
      <c r="AA20" s="4"/>
    </row>
    <row r="21" spans="1:27" ht="18" customHeight="1" x14ac:dyDescent="0.45">
      <c r="A21" s="3" t="s">
        <v>40</v>
      </c>
      <c r="B21" s="81">
        <v>0</v>
      </c>
      <c r="C21" s="81"/>
      <c r="D21" s="14">
        <v>150</v>
      </c>
      <c r="E21" s="14">
        <f t="shared" si="0"/>
        <v>291.57600000000002</v>
      </c>
      <c r="F21" s="14">
        <f t="shared" si="1"/>
        <v>0.44079337243756428</v>
      </c>
      <c r="G21" s="14">
        <f t="shared" si="2"/>
        <v>287.82739107531876</v>
      </c>
      <c r="H21" s="32">
        <v>1</v>
      </c>
      <c r="I21" s="14">
        <f t="shared" si="3"/>
        <v>2.2000000000000002</v>
      </c>
      <c r="J21" s="14">
        <f t="shared" si="4"/>
        <v>-1.1000000000000001</v>
      </c>
      <c r="K21" s="14">
        <f t="shared" si="5"/>
        <v>11.587206280828877</v>
      </c>
      <c r="L21" s="14">
        <f t="shared" si="6"/>
        <v>-5.7936031404144384</v>
      </c>
      <c r="M21" s="14"/>
      <c r="N21" s="14"/>
      <c r="O21" s="14">
        <f t="shared" si="7"/>
        <v>39.378490121890302</v>
      </c>
      <c r="P21" s="32">
        <f t="shared" si="8"/>
        <v>0.77560972209947487</v>
      </c>
      <c r="Q21" s="69"/>
      <c r="R21" s="69"/>
      <c r="S21" s="32">
        <f t="shared" si="9"/>
        <v>3.4316689119317334</v>
      </c>
      <c r="T21" s="14">
        <f t="shared" si="10"/>
        <v>-1.4316689119317334</v>
      </c>
      <c r="U21" s="14">
        <f t="shared" si="11"/>
        <v>2.2158344559658669</v>
      </c>
      <c r="V21" s="14">
        <f t="shared" si="12"/>
        <v>-0.2158344559658667</v>
      </c>
      <c r="W21" s="6"/>
      <c r="X21" s="4"/>
      <c r="Y21" s="4"/>
      <c r="Z21" s="4"/>
      <c r="AA21" s="4"/>
    </row>
    <row r="22" spans="1:27" ht="18.5" x14ac:dyDescent="0.45">
      <c r="A22" s="3" t="s">
        <v>41</v>
      </c>
      <c r="B22" s="81">
        <v>1</v>
      </c>
      <c r="C22" s="81"/>
      <c r="D22" s="14">
        <v>160</v>
      </c>
      <c r="E22" s="14">
        <f t="shared" si="0"/>
        <v>311.01440000000002</v>
      </c>
      <c r="F22" s="14">
        <f t="shared" si="1"/>
        <v>0.47017959726673525</v>
      </c>
      <c r="G22" s="14">
        <f t="shared" si="2"/>
        <v>327.48360940125156</v>
      </c>
      <c r="H22" s="32">
        <v>1</v>
      </c>
      <c r="I22" s="14">
        <f t="shared" si="3"/>
        <v>2.2000000000000002</v>
      </c>
      <c r="J22" s="14">
        <f t="shared" si="4"/>
        <v>-1.1000000000000001</v>
      </c>
      <c r="K22" s="14">
        <f t="shared" si="5"/>
        <v>13.183665812854187</v>
      </c>
      <c r="L22" s="14">
        <f t="shared" si="6"/>
        <v>-6.5918329064270935</v>
      </c>
      <c r="M22" s="14"/>
      <c r="N22" s="14"/>
      <c r="O22" s="14">
        <f t="shared" si="7"/>
        <v>39.378490121890302</v>
      </c>
      <c r="P22" s="32">
        <f t="shared" si="8"/>
        <v>0.77560972209947487</v>
      </c>
      <c r="Q22" s="69"/>
      <c r="R22" s="69"/>
      <c r="S22" s="32">
        <f t="shared" si="9"/>
        <v>3.5937801727271816</v>
      </c>
      <c r="T22" s="14">
        <f t="shared" si="10"/>
        <v>-1.5937801727271816</v>
      </c>
      <c r="U22" s="14">
        <f t="shared" si="11"/>
        <v>2.2968900863635908</v>
      </c>
      <c r="V22" s="14">
        <f t="shared" si="12"/>
        <v>-0.29689008636359082</v>
      </c>
      <c r="W22" s="6"/>
      <c r="X22" s="4"/>
      <c r="Y22" s="4"/>
      <c r="Z22" s="4"/>
      <c r="AA22" s="4"/>
    </row>
    <row r="23" spans="1:27" ht="18.5" x14ac:dyDescent="0.45">
      <c r="A23" s="3" t="s">
        <v>42</v>
      </c>
      <c r="B23" s="81">
        <f>B20*B17/B22</f>
        <v>8.4</v>
      </c>
      <c r="C23" s="81"/>
      <c r="D23" s="14">
        <v>170</v>
      </c>
      <c r="E23" s="14">
        <f t="shared" si="0"/>
        <v>330.45280000000002</v>
      </c>
      <c r="F23" s="14">
        <f t="shared" si="1"/>
        <v>0.49956582209590616</v>
      </c>
      <c r="G23" s="14">
        <f t="shared" si="2"/>
        <v>369.69829342563156</v>
      </c>
      <c r="H23" s="32">
        <v>1</v>
      </c>
      <c r="I23" s="14">
        <f t="shared" si="3"/>
        <v>2.2000000000000002</v>
      </c>
      <c r="J23" s="14">
        <f t="shared" si="4"/>
        <v>-1.1000000000000001</v>
      </c>
      <c r="K23" s="14">
        <f t="shared" si="5"/>
        <v>14.88312273404242</v>
      </c>
      <c r="L23" s="14">
        <f t="shared" si="6"/>
        <v>-7.44156136702121</v>
      </c>
      <c r="M23" s="14"/>
      <c r="N23" s="14"/>
      <c r="O23" s="14">
        <f t="shared" si="7"/>
        <v>39.378490121890302</v>
      </c>
      <c r="P23" s="32">
        <f t="shared" si="8"/>
        <v>0.77560972209947487</v>
      </c>
      <c r="Q23" s="69"/>
      <c r="R23" s="69"/>
      <c r="S23" s="32">
        <f t="shared" si="9"/>
        <v>3.7558914335226308</v>
      </c>
      <c r="T23" s="14">
        <f t="shared" si="10"/>
        <v>-1.7558914335226308</v>
      </c>
      <c r="U23" s="14">
        <f t="shared" si="11"/>
        <v>2.3779457167613156</v>
      </c>
      <c r="V23" s="14">
        <f t="shared" si="12"/>
        <v>-0.37794571676131539</v>
      </c>
      <c r="W23" s="6"/>
      <c r="X23" s="4"/>
      <c r="Y23" s="4"/>
      <c r="Z23" s="4"/>
      <c r="AA23" s="4"/>
    </row>
    <row r="24" spans="1:27" ht="18.5" x14ac:dyDescent="0.45">
      <c r="A24" s="3" t="s">
        <v>43</v>
      </c>
      <c r="B24" s="86">
        <f>0.083*180/PI()</f>
        <v>4.7555496995858331</v>
      </c>
      <c r="C24" s="86"/>
      <c r="D24" s="14">
        <v>180</v>
      </c>
      <c r="E24" s="14">
        <f t="shared" si="0"/>
        <v>349.89120000000003</v>
      </c>
      <c r="F24" s="14">
        <f t="shared" si="1"/>
        <v>0.52895204692507714</v>
      </c>
      <c r="G24" s="14">
        <f t="shared" si="2"/>
        <v>414.47144314845895</v>
      </c>
      <c r="H24" s="32">
        <v>1</v>
      </c>
      <c r="I24" s="14">
        <f t="shared" si="3"/>
        <v>2.2000000000000002</v>
      </c>
      <c r="J24" s="14">
        <f t="shared" si="4"/>
        <v>-1.1000000000000001</v>
      </c>
      <c r="K24" s="14">
        <f t="shared" si="5"/>
        <v>16.685577044393579</v>
      </c>
      <c r="L24" s="14">
        <f t="shared" si="6"/>
        <v>-8.3427885221967895</v>
      </c>
      <c r="M24" s="14"/>
      <c r="N24" s="14"/>
      <c r="O24" s="14">
        <f t="shared" si="7"/>
        <v>39.378490121890302</v>
      </c>
      <c r="P24" s="32">
        <f t="shared" si="8"/>
        <v>0.77560972209947487</v>
      </c>
      <c r="Q24" s="69"/>
      <c r="R24" s="69"/>
      <c r="S24" s="32">
        <f t="shared" si="9"/>
        <v>3.9180026943180799</v>
      </c>
      <c r="T24" s="14">
        <f t="shared" si="10"/>
        <v>-1.9180026943180799</v>
      </c>
      <c r="U24" s="14">
        <f t="shared" si="11"/>
        <v>2.45900134715904</v>
      </c>
      <c r="V24" s="14">
        <f t="shared" si="12"/>
        <v>-0.45900134715903995</v>
      </c>
      <c r="W24" s="6"/>
      <c r="X24" s="4"/>
      <c r="Y24" s="4"/>
      <c r="Z24" s="4"/>
      <c r="AA24" s="4"/>
    </row>
    <row r="25" spans="1:27" ht="18.5" x14ac:dyDescent="0.45">
      <c r="A25" s="3" t="s">
        <v>44</v>
      </c>
      <c r="B25" s="86">
        <f>1.1*B24</f>
        <v>5.2311046695444166</v>
      </c>
      <c r="C25" s="86"/>
      <c r="D25" s="14">
        <v>190</v>
      </c>
      <c r="E25" s="14">
        <f t="shared" si="0"/>
        <v>369.32960000000003</v>
      </c>
      <c r="F25" s="14">
        <f t="shared" si="1"/>
        <v>0.55833827175424811</v>
      </c>
      <c r="G25" s="14">
        <f t="shared" si="2"/>
        <v>461.80305856973359</v>
      </c>
      <c r="H25" s="32">
        <v>1</v>
      </c>
      <c r="I25" s="14">
        <f t="shared" si="3"/>
        <v>2.2000000000000002</v>
      </c>
      <c r="J25" s="14">
        <f t="shared" si="4"/>
        <v>-1.1000000000000001</v>
      </c>
      <c r="K25" s="14">
        <f t="shared" si="5"/>
        <v>18.59102874390766</v>
      </c>
      <c r="L25" s="14">
        <f t="shared" si="6"/>
        <v>-9.2955143719538302</v>
      </c>
      <c r="M25" s="14"/>
      <c r="N25" s="14"/>
      <c r="O25" s="14">
        <f t="shared" si="7"/>
        <v>39.378490121890302</v>
      </c>
      <c r="P25" s="32">
        <f t="shared" si="8"/>
        <v>0.77560972209947487</v>
      </c>
      <c r="Q25" s="69"/>
      <c r="R25" s="69"/>
      <c r="S25" s="32">
        <f t="shared" si="9"/>
        <v>4.0801139551135286</v>
      </c>
      <c r="T25" s="14">
        <f t="shared" si="10"/>
        <v>-2.080113955113529</v>
      </c>
      <c r="U25" s="14">
        <f t="shared" si="11"/>
        <v>2.5400569775567643</v>
      </c>
      <c r="V25" s="14">
        <f t="shared" si="12"/>
        <v>-0.54005697755676452</v>
      </c>
      <c r="W25" s="6"/>
      <c r="X25" s="4"/>
      <c r="Y25" s="4"/>
      <c r="Z25" s="4"/>
      <c r="AA25" s="4"/>
    </row>
    <row r="26" spans="1:27" ht="18.5" x14ac:dyDescent="0.45">
      <c r="A26" s="3" t="s">
        <v>45</v>
      </c>
      <c r="B26" s="87">
        <v>1.2250000000000001</v>
      </c>
      <c r="C26" s="88"/>
      <c r="D26" s="14">
        <v>200</v>
      </c>
      <c r="E26" s="14">
        <f t="shared" si="0"/>
        <v>388.76800000000003</v>
      </c>
      <c r="F26" s="14">
        <f t="shared" si="1"/>
        <v>0.58772449658341908</v>
      </c>
      <c r="G26" s="14">
        <f t="shared" si="2"/>
        <v>511.69313968945545</v>
      </c>
      <c r="H26" s="32">
        <v>1</v>
      </c>
      <c r="I26" s="14">
        <f t="shared" si="3"/>
        <v>2.2000000000000002</v>
      </c>
      <c r="J26" s="14">
        <f t="shared" si="4"/>
        <v>-1.1000000000000001</v>
      </c>
      <c r="K26" s="14">
        <f t="shared" si="5"/>
        <v>20.599477832584665</v>
      </c>
      <c r="L26" s="14">
        <f t="shared" si="6"/>
        <v>-10.299738916292332</v>
      </c>
      <c r="M26" s="14"/>
      <c r="N26" s="14"/>
      <c r="O26" s="14">
        <f t="shared" si="7"/>
        <v>39.378490121890302</v>
      </c>
      <c r="P26" s="32">
        <f t="shared" si="8"/>
        <v>0.77560972209947487</v>
      </c>
      <c r="Q26" s="69"/>
      <c r="R26" s="69"/>
      <c r="S26" s="32">
        <f t="shared" si="9"/>
        <v>4.2422252159089773</v>
      </c>
      <c r="T26" s="14">
        <f t="shared" si="10"/>
        <v>-2.2422252159089773</v>
      </c>
      <c r="U26" s="14">
        <f t="shared" si="11"/>
        <v>2.6211126079544886</v>
      </c>
      <c r="V26" s="14">
        <f t="shared" si="12"/>
        <v>-0.62111260795448864</v>
      </c>
      <c r="W26" s="6"/>
      <c r="X26" s="4"/>
      <c r="Y26" s="4"/>
      <c r="Z26" s="4"/>
      <c r="AA26" s="4"/>
    </row>
    <row r="27" spans="1:27" ht="23.5" x14ac:dyDescent="0.55000000000000004">
      <c r="A27" s="3" t="s">
        <v>46</v>
      </c>
      <c r="B27" s="81">
        <v>2.1139999999999999</v>
      </c>
      <c r="C27" s="81"/>
      <c r="D27" s="14">
        <v>210</v>
      </c>
      <c r="E27" s="14">
        <f t="shared" si="0"/>
        <v>408.20640000000003</v>
      </c>
      <c r="F27" s="14">
        <f t="shared" si="1"/>
        <v>0.61711072141258994</v>
      </c>
      <c r="G27" s="14">
        <f t="shared" si="2"/>
        <v>564.14168650762474</v>
      </c>
      <c r="H27" s="32">
        <v>1</v>
      </c>
      <c r="I27" s="14">
        <f t="shared" si="3"/>
        <v>2.2000000000000002</v>
      </c>
      <c r="J27" s="14">
        <f t="shared" si="4"/>
        <v>-1.1000000000000001</v>
      </c>
      <c r="K27" s="14">
        <f t="shared" si="5"/>
        <v>22.710924310424595</v>
      </c>
      <c r="L27" s="14">
        <f t="shared" si="6"/>
        <v>-11.355462155212297</v>
      </c>
      <c r="M27" s="14"/>
      <c r="N27" s="14"/>
      <c r="O27" s="14">
        <f t="shared" si="7"/>
        <v>39.378490121890302</v>
      </c>
      <c r="P27" s="32">
        <f t="shared" si="8"/>
        <v>0.77560972209947487</v>
      </c>
      <c r="Q27" s="69"/>
      <c r="R27" s="69"/>
      <c r="S27" s="32">
        <f t="shared" si="9"/>
        <v>4.404336476704426</v>
      </c>
      <c r="T27" s="14">
        <f t="shared" si="10"/>
        <v>-2.4043364767044264</v>
      </c>
      <c r="U27" s="14">
        <f t="shared" si="11"/>
        <v>2.702168238352213</v>
      </c>
      <c r="V27" s="14">
        <f t="shared" si="12"/>
        <v>-0.7021682383522132</v>
      </c>
      <c r="W27" s="36"/>
      <c r="X27" s="4"/>
      <c r="Y27" s="4"/>
      <c r="Z27" s="4"/>
      <c r="AA27" s="4"/>
    </row>
    <row r="28" spans="1:27" ht="23.25" customHeight="1" x14ac:dyDescent="0.45">
      <c r="A28" s="3" t="s">
        <v>47</v>
      </c>
      <c r="B28" s="81">
        <f>-0.5*B10</f>
        <v>-1.1000000000000001</v>
      </c>
      <c r="C28" s="81"/>
      <c r="D28" s="14">
        <f>0.514444*B7</f>
        <v>226.86980400000002</v>
      </c>
      <c r="E28" s="14">
        <f t="shared" si="0"/>
        <v>440.99859980736005</v>
      </c>
      <c r="F28" s="14">
        <f t="shared" si="1"/>
        <v>0.66668470672939473</v>
      </c>
      <c r="G28" s="14">
        <f t="shared" si="2"/>
        <v>658.41997017901861</v>
      </c>
      <c r="H28" s="32">
        <v>1</v>
      </c>
      <c r="I28" s="14">
        <f t="shared" si="3"/>
        <v>2.2000000000000002</v>
      </c>
      <c r="J28" s="14">
        <f t="shared" si="4"/>
        <v>-1.1000000000000001</v>
      </c>
      <c r="K28" s="14">
        <f t="shared" si="5"/>
        <v>26.506330705283926</v>
      </c>
      <c r="L28" s="14">
        <f t="shared" si="6"/>
        <v>-13.253165352641963</v>
      </c>
      <c r="M28" s="14"/>
      <c r="N28" s="14"/>
      <c r="O28" s="14">
        <f t="shared" si="7"/>
        <v>39.378490121890302</v>
      </c>
      <c r="P28" s="32">
        <f t="shared" si="8"/>
        <v>0.77560972209947487</v>
      </c>
      <c r="Q28" s="69"/>
      <c r="R28" s="69"/>
      <c r="S28" s="32">
        <f t="shared" si="9"/>
        <v>4.6778149962856368</v>
      </c>
      <c r="T28" s="14">
        <f t="shared" si="10"/>
        <v>-2.6778149962856372</v>
      </c>
      <c r="U28" s="14">
        <f t="shared" si="11"/>
        <v>2.8389074981428184</v>
      </c>
      <c r="V28" s="14">
        <f t="shared" si="12"/>
        <v>-0.83890749814281862</v>
      </c>
      <c r="W28" s="4"/>
      <c r="X28" s="4"/>
      <c r="Y28" s="4"/>
      <c r="Z28" s="4"/>
      <c r="AA28" s="4"/>
    </row>
    <row r="29" spans="1:27" ht="18.5" x14ac:dyDescent="0.45">
      <c r="A29" s="7"/>
      <c r="B29" s="8"/>
      <c r="C29" s="8"/>
      <c r="D29" s="14">
        <v>283.58749999999998</v>
      </c>
      <c r="E29" s="14">
        <v>551.25</v>
      </c>
      <c r="F29" s="14">
        <f t="shared" ref="F29" si="14">E29/$B$9</f>
        <v>0.83335852935840837</v>
      </c>
      <c r="G29" s="14">
        <f t="shared" ref="G29" si="15">(0.5*$B$26*D29^2)*0.020885434273039</f>
        <v>1028.782980998732</v>
      </c>
      <c r="H29" s="32">
        <v>2</v>
      </c>
      <c r="I29" s="14">
        <f t="shared" ref="I29" si="16">H29*$B$10</f>
        <v>4.4000000000000004</v>
      </c>
      <c r="J29" s="14">
        <f t="shared" si="4"/>
        <v>-1.1000000000000001</v>
      </c>
      <c r="K29" s="14">
        <f t="shared" ref="K29" si="17">((G29/0.020885434273039)*I29*$B$13)/($B$5*$B$11)</f>
        <v>82.832426576933699</v>
      </c>
      <c r="L29" s="14">
        <f t="shared" ref="L29" si="18">((G29/0.020885434273039)*J29*$B$13)/($B$5*$B$11)</f>
        <v>-20.708106644233425</v>
      </c>
      <c r="M29" s="14"/>
      <c r="N29" s="14"/>
      <c r="O29" s="14">
        <f t="shared" si="7"/>
        <v>39.378490121890302</v>
      </c>
      <c r="P29" s="32">
        <f t="shared" ref="P29" si="19">(0.88*O29)/(5.3+O29)</f>
        <v>0.77560972209947487</v>
      </c>
      <c r="Q29" s="14"/>
      <c r="S29" s="6"/>
      <c r="T29" s="14"/>
      <c r="U29" s="14">
        <f t="shared" ref="U29" si="20">1+($P$6*28*0.3048*D29*$B$26*$B$25*$B$13)/(2*$B$5*$B$11)</f>
        <v>3.2986363585414673</v>
      </c>
      <c r="V29" s="14">
        <f t="shared" ref="V29" si="21">1-($P$6*28*0.3048*D29*$B$26*$B$25*$B$13)/(2*$B$5*$B$11)</f>
        <v>-1.2986363585414673</v>
      </c>
      <c r="W29" s="4"/>
      <c r="X29" s="4"/>
      <c r="Y29" s="4"/>
      <c r="Z29" s="4"/>
      <c r="AA29" s="4"/>
    </row>
    <row r="30" spans="1:27" ht="23.5" x14ac:dyDescent="0.55000000000000004">
      <c r="A30" s="45" t="s">
        <v>48</v>
      </c>
      <c r="B30" s="89" t="s">
        <v>49</v>
      </c>
      <c r="C30" s="89"/>
      <c r="D30" s="46" t="s">
        <v>50</v>
      </c>
      <c r="E30" s="14"/>
      <c r="F30" s="14"/>
      <c r="G30" s="14" t="s">
        <v>49</v>
      </c>
      <c r="H30" s="14" t="s">
        <v>50</v>
      </c>
      <c r="I30" s="14"/>
      <c r="J30" s="14"/>
      <c r="K30" s="14"/>
      <c r="L30" s="29"/>
      <c r="M30" s="14"/>
      <c r="N30" s="14"/>
      <c r="O30" s="14"/>
      <c r="P30" s="14"/>
      <c r="Q30" s="14"/>
      <c r="R30" s="34"/>
      <c r="S30" s="37"/>
      <c r="T30" s="14"/>
      <c r="U30" s="14"/>
      <c r="V30" s="14"/>
      <c r="W30" s="4"/>
      <c r="X30" s="4"/>
      <c r="Y30" s="4"/>
      <c r="Z30" s="4"/>
      <c r="AA30" s="4"/>
    </row>
    <row r="31" spans="1:27" ht="18.5" x14ac:dyDescent="0.45">
      <c r="A31" s="47" t="s">
        <v>51</v>
      </c>
      <c r="B31" s="85">
        <f>SQRT((2*B5*B11)/(B26*B13*B10))*1.94384</f>
        <v>85.656910189399369</v>
      </c>
      <c r="C31" s="85"/>
      <c r="D31" s="31">
        <f>SQRT((2*B5*B11)/(B26*B13*-B28))*1.94384</f>
        <v>121.13716410082274</v>
      </c>
      <c r="E31" s="30"/>
      <c r="F31" s="30" t="s">
        <v>52</v>
      </c>
      <c r="G31" s="14">
        <f>SQRT((2*B5*B11)/(B26*B13*2.2))</f>
        <v>44.065823416227346</v>
      </c>
      <c r="H31" s="14">
        <f>SQRT((2*B5*B11)/(B26*B13*1.1))</f>
        <v>62.318485112366623</v>
      </c>
      <c r="I31" s="14"/>
      <c r="J31" s="14"/>
      <c r="K31" s="14"/>
      <c r="L31" s="29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4"/>
      <c r="X31" s="4"/>
      <c r="Y31" s="4"/>
      <c r="Z31" s="4"/>
      <c r="AA31" s="4"/>
    </row>
    <row r="32" spans="1:27" ht="23.5" x14ac:dyDescent="0.55000000000000004">
      <c r="A32" s="48" t="s">
        <v>53</v>
      </c>
      <c r="B32" s="85">
        <f>SQRT((2*B5*B11)/(B26*B13*B10*1.15))*1.94384</f>
        <v>79.87548061062364</v>
      </c>
      <c r="C32" s="85"/>
      <c r="D32" s="14"/>
      <c r="E32" s="14"/>
      <c r="F32" s="14" t="s">
        <v>54</v>
      </c>
      <c r="G32" s="14">
        <f>SQRT((2*B5*B11)/(B26*B13*2.2*1.15))</f>
        <v>41.091592214700611</v>
      </c>
      <c r="H32" s="14"/>
      <c r="I32" s="14"/>
      <c r="J32" s="14"/>
      <c r="K32" s="14"/>
      <c r="L32" s="29"/>
      <c r="M32" s="14"/>
      <c r="N32" s="14"/>
      <c r="O32" s="14"/>
      <c r="P32" s="14"/>
      <c r="Q32" s="14"/>
      <c r="R32" s="35"/>
      <c r="S32" s="15"/>
      <c r="T32" s="14"/>
      <c r="U32" s="14"/>
      <c r="V32" s="14"/>
      <c r="W32" s="4"/>
      <c r="X32" s="4"/>
      <c r="Y32" s="4"/>
      <c r="Z32" s="4"/>
      <c r="AA32" s="4"/>
    </row>
    <row r="33" spans="1:27" ht="18.5" x14ac:dyDescent="0.45">
      <c r="A33" s="48" t="s">
        <v>55</v>
      </c>
      <c r="B33" s="85">
        <f>SQRT(B15)*B31</f>
        <v>145.7359996421408</v>
      </c>
      <c r="C33" s="85"/>
      <c r="D33" s="31">
        <f>D31*SQRT(B16*-1)</f>
        <v>121.13716410082274</v>
      </c>
      <c r="E33" s="14"/>
      <c r="F33" s="14"/>
      <c r="G33" s="14"/>
      <c r="H33" s="14"/>
      <c r="I33" s="14"/>
      <c r="J33" s="14"/>
      <c r="K33" s="14"/>
      <c r="L33" s="29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4"/>
      <c r="X33" s="4"/>
      <c r="Y33" s="4"/>
      <c r="Z33" s="4"/>
      <c r="AA33" s="4"/>
    </row>
    <row r="34" spans="1:27" ht="23.5" x14ac:dyDescent="0.55000000000000004">
      <c r="A34" s="48" t="s">
        <v>56</v>
      </c>
      <c r="B34" s="85">
        <f>B7</f>
        <v>441</v>
      </c>
      <c r="C34" s="85"/>
      <c r="D34" s="14"/>
      <c r="E34" s="14"/>
      <c r="F34" s="48" t="s">
        <v>57</v>
      </c>
      <c r="G34" s="14">
        <f>B34/1.94384</f>
        <v>226.87052432298955</v>
      </c>
      <c r="H34" s="14"/>
      <c r="I34" s="14"/>
      <c r="J34" s="14"/>
      <c r="K34" s="14"/>
      <c r="L34" s="29"/>
      <c r="M34" s="14"/>
      <c r="N34" s="14"/>
      <c r="O34" s="14"/>
      <c r="P34" s="14"/>
      <c r="Q34" s="14"/>
      <c r="R34" s="35"/>
      <c r="S34" s="15"/>
      <c r="T34" s="14"/>
      <c r="U34" s="14"/>
      <c r="V34" s="14"/>
      <c r="W34" s="4"/>
      <c r="X34" s="4"/>
      <c r="Y34" s="4"/>
      <c r="Z34" s="4"/>
      <c r="AA34" s="4"/>
    </row>
    <row r="35" spans="1:27" ht="18.5" x14ac:dyDescent="0.45">
      <c r="A35" s="48" t="s">
        <v>58</v>
      </c>
      <c r="B35" s="95">
        <f>B8*0.9</f>
        <v>496.125</v>
      </c>
      <c r="C35" s="96"/>
      <c r="D35" s="14"/>
      <c r="E35" s="14"/>
      <c r="F35" s="14" t="s">
        <v>59</v>
      </c>
      <c r="G35" s="14">
        <v>10.903439712000001</v>
      </c>
      <c r="H35" s="14"/>
      <c r="I35" s="14"/>
      <c r="J35" s="14"/>
      <c r="K35" s="14"/>
      <c r="L35" s="29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4"/>
      <c r="X35" s="4"/>
      <c r="Y35" s="4"/>
      <c r="Z35" s="4"/>
      <c r="AA35" s="4"/>
    </row>
    <row r="36" spans="1:27" ht="18.5" x14ac:dyDescent="0.45">
      <c r="A36" s="48" t="s">
        <v>60</v>
      </c>
      <c r="B36" s="85">
        <f>B8</f>
        <v>551.25</v>
      </c>
      <c r="C36" s="85"/>
      <c r="D36" s="14"/>
      <c r="E36" s="14"/>
      <c r="F36" s="14"/>
      <c r="G36" s="14"/>
      <c r="H36" s="14"/>
      <c r="I36" s="14"/>
      <c r="J36" s="14"/>
      <c r="K36" s="14"/>
      <c r="L36" s="29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4"/>
      <c r="X36" s="4"/>
      <c r="Y36" s="4"/>
      <c r="Z36" s="4"/>
      <c r="AA36" s="4"/>
    </row>
    <row r="37" spans="1:27" ht="18.5" x14ac:dyDescent="0.45">
      <c r="A37" s="48" t="s">
        <v>61</v>
      </c>
      <c r="B37" s="85">
        <f>B31*(1+(P10*56*0.3048*B7*0.514444*B26*B25*B13)/(2*B5*B11))^0.5</f>
        <v>185.26096649676111</v>
      </c>
      <c r="C37" s="85"/>
      <c r="D37" s="31">
        <f>D31*(1+(P23*56*0.3048*B7*0.514444*B26*B25*B13)/(2*B5*B11))^0.5</f>
        <v>261.99857139806716</v>
      </c>
      <c r="E37" s="14"/>
      <c r="F37" s="14"/>
      <c r="G37" s="14"/>
      <c r="H37" s="14"/>
      <c r="I37" s="14"/>
      <c r="J37" s="14"/>
      <c r="K37" s="14"/>
      <c r="L37" s="29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4"/>
      <c r="X37" s="4"/>
      <c r="Y37" s="4"/>
      <c r="Z37" s="4"/>
      <c r="AA37" s="4"/>
    </row>
    <row r="38" spans="1:27" ht="18.5" x14ac:dyDescent="0.45">
      <c r="A38" s="9"/>
      <c r="B38" s="10"/>
      <c r="C38" s="10"/>
      <c r="D38" s="14"/>
      <c r="E38" s="14"/>
      <c r="F38" s="14"/>
      <c r="G38" s="14"/>
      <c r="H38" s="14"/>
      <c r="I38" s="14"/>
      <c r="J38" s="14"/>
      <c r="K38" s="14"/>
      <c r="L38" s="29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4"/>
      <c r="X38" s="4"/>
      <c r="Y38" s="4"/>
      <c r="Z38" s="4"/>
      <c r="AA38" s="4"/>
    </row>
    <row r="39" spans="1:27" ht="18.5" x14ac:dyDescent="0.45">
      <c r="A39" s="50" t="s">
        <v>62</v>
      </c>
      <c r="B39" s="97"/>
      <c r="C39" s="98"/>
      <c r="D39" s="14"/>
      <c r="E39" s="14"/>
      <c r="F39" s="14"/>
      <c r="G39" s="14"/>
      <c r="H39" s="14"/>
      <c r="I39" s="14"/>
      <c r="J39" s="14"/>
      <c r="K39" s="14"/>
      <c r="L39" s="29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4"/>
      <c r="X39" s="4"/>
      <c r="Y39" s="4"/>
      <c r="Z39" s="4"/>
      <c r="AA39" s="4"/>
    </row>
    <row r="40" spans="1:27" ht="18" customHeight="1" x14ac:dyDescent="0.45">
      <c r="A40" s="11" t="s">
        <v>63</v>
      </c>
      <c r="B40" s="94">
        <f>0.75*B15</f>
        <v>2.1710515866011741</v>
      </c>
      <c r="C40" s="94"/>
      <c r="D40" s="14"/>
      <c r="E40" s="14"/>
      <c r="F40" s="14"/>
      <c r="G40" s="14"/>
      <c r="H40" s="14"/>
      <c r="I40" s="14"/>
      <c r="J40" s="14"/>
      <c r="K40" s="14"/>
      <c r="L40" s="29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4"/>
      <c r="X40" s="4"/>
      <c r="Y40" s="4"/>
      <c r="Z40" s="4"/>
      <c r="AA40" s="4"/>
    </row>
    <row r="41" spans="1:27" ht="18" customHeight="1" x14ac:dyDescent="0.45">
      <c r="A41" s="49" t="s">
        <v>64</v>
      </c>
      <c r="B41" s="94">
        <f>1.25*B15</f>
        <v>3.6184193110019569</v>
      </c>
      <c r="C41" s="94"/>
      <c r="D41" s="14"/>
      <c r="E41" s="14"/>
      <c r="F41" s="14"/>
      <c r="G41" s="14"/>
      <c r="H41" s="14"/>
      <c r="I41" s="14"/>
      <c r="J41" s="14"/>
      <c r="K41" s="14"/>
      <c r="L41" s="29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4"/>
      <c r="X41" s="4"/>
      <c r="Y41" s="4"/>
      <c r="Z41" s="4"/>
      <c r="AA41" s="4"/>
    </row>
    <row r="42" spans="1:27" ht="18" customHeight="1" x14ac:dyDescent="0.45">
      <c r="A42" s="49" t="s">
        <v>65</v>
      </c>
      <c r="B42" s="94">
        <f>1.5*B15</f>
        <v>4.3421031732023483</v>
      </c>
      <c r="C42" s="94"/>
      <c r="D42" s="14"/>
      <c r="E42" s="14"/>
      <c r="F42" s="14"/>
      <c r="G42" s="14"/>
      <c r="H42" s="14"/>
      <c r="I42" s="14"/>
      <c r="J42" s="14"/>
      <c r="K42" s="14"/>
      <c r="L42" s="29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4"/>
      <c r="X42" s="4"/>
      <c r="Y42" s="4"/>
      <c r="Z42" s="4"/>
      <c r="AA42" s="4"/>
    </row>
    <row r="43" spans="1:27" ht="18.5" x14ac:dyDescent="0.45">
      <c r="A43" s="4"/>
      <c r="B43" s="4"/>
      <c r="C43" s="4"/>
      <c r="D43" s="14"/>
      <c r="E43" s="14"/>
      <c r="F43" s="14"/>
      <c r="G43" s="14"/>
      <c r="H43" s="14"/>
      <c r="I43" s="14"/>
      <c r="J43" s="14"/>
      <c r="K43" s="14"/>
      <c r="L43" s="29"/>
      <c r="M43" s="14"/>
      <c r="N43" s="14"/>
      <c r="O43" s="14"/>
      <c r="P43" s="14"/>
      <c r="Q43" s="16"/>
      <c r="R43" s="14"/>
      <c r="S43" s="14"/>
      <c r="T43" s="14"/>
      <c r="U43" s="14"/>
      <c r="V43" s="14"/>
      <c r="W43" s="4"/>
      <c r="X43" s="4"/>
      <c r="Y43" s="4"/>
      <c r="Z43" s="4"/>
      <c r="AA43" s="4"/>
    </row>
    <row r="44" spans="1:27" ht="18.5" x14ac:dyDescent="0.45">
      <c r="A44" s="4"/>
      <c r="B44" s="4"/>
      <c r="C44" s="4"/>
      <c r="D44" s="14"/>
      <c r="E44" s="14"/>
      <c r="F44" s="14"/>
      <c r="G44" s="14"/>
      <c r="H44" s="14"/>
      <c r="I44" s="14"/>
      <c r="J44" s="14"/>
      <c r="K44" s="14"/>
      <c r="L44" s="29"/>
      <c r="M44" s="14"/>
      <c r="N44" s="14"/>
      <c r="O44" s="14"/>
      <c r="P44" s="14"/>
      <c r="Q44" s="17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8.5" x14ac:dyDescent="0.45">
      <c r="A45" s="18" t="s">
        <v>66</v>
      </c>
      <c r="B45" s="19" t="s">
        <v>67</v>
      </c>
      <c r="C45" s="19" t="s">
        <v>68</v>
      </c>
      <c r="D45" s="14"/>
      <c r="E45" s="14"/>
      <c r="F45" s="14"/>
      <c r="G45" s="14"/>
      <c r="H45" s="14"/>
      <c r="I45" s="14"/>
      <c r="J45" s="14"/>
      <c r="K45" s="14"/>
      <c r="L45" s="29"/>
      <c r="M45" s="14"/>
      <c r="N45" s="14"/>
      <c r="O45" s="14"/>
      <c r="P45" s="14"/>
      <c r="Q45" s="17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24" customHeight="1" x14ac:dyDescent="0.45">
      <c r="A46" s="72" t="s">
        <v>69</v>
      </c>
      <c r="B46" s="20">
        <f>B31</f>
        <v>85.656910189399369</v>
      </c>
      <c r="C46" s="21">
        <v>1</v>
      </c>
      <c r="D46" s="14"/>
      <c r="E46" s="14"/>
      <c r="F46" s="14"/>
      <c r="G46" s="14"/>
      <c r="H46" s="14"/>
      <c r="I46" s="14"/>
      <c r="J46" s="14"/>
      <c r="K46" s="14"/>
      <c r="L46" s="23"/>
      <c r="M46" s="14"/>
      <c r="N46" s="14"/>
      <c r="O46" s="14"/>
      <c r="P46" s="1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8.5" x14ac:dyDescent="0.45">
      <c r="A47" s="73"/>
      <c r="B47" s="20">
        <f>B31</f>
        <v>85.656910189399369</v>
      </c>
      <c r="C47" s="22">
        <v>0</v>
      </c>
      <c r="D47" s="4"/>
      <c r="E47" s="4"/>
      <c r="F47" s="14"/>
      <c r="G47" s="14"/>
      <c r="H47" s="4"/>
      <c r="I47" s="14"/>
      <c r="J47" s="14"/>
      <c r="K47" s="14"/>
      <c r="L47" s="23"/>
      <c r="M47" s="14"/>
      <c r="N47" s="4"/>
      <c r="O47" s="14"/>
      <c r="P47" s="1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8.5" x14ac:dyDescent="0.45">
      <c r="A48" s="72" t="s">
        <v>70</v>
      </c>
      <c r="B48" s="20">
        <f>D31</f>
        <v>121.13716410082274</v>
      </c>
      <c r="C48" s="22">
        <v>0</v>
      </c>
      <c r="D48" s="4"/>
      <c r="E48" s="4"/>
      <c r="F48" s="14"/>
      <c r="G48" s="14"/>
      <c r="H48" s="4"/>
      <c r="I48" s="14"/>
      <c r="J48" s="14"/>
      <c r="K48" s="14"/>
      <c r="L48" s="23"/>
      <c r="M48" s="14"/>
      <c r="N48" s="4"/>
      <c r="O48" s="14"/>
      <c r="P48" s="1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8.5" x14ac:dyDescent="0.45">
      <c r="A49" s="73"/>
      <c r="B49" s="20">
        <f>D31</f>
        <v>121.13716410082274</v>
      </c>
      <c r="C49" s="22">
        <f>B16</f>
        <v>-1</v>
      </c>
      <c r="D49" s="4"/>
      <c r="E49" s="4"/>
      <c r="F49" s="14"/>
      <c r="G49" s="14"/>
      <c r="H49" s="4"/>
      <c r="I49" s="14"/>
      <c r="J49" s="14"/>
      <c r="K49" s="14"/>
      <c r="L49" s="23"/>
      <c r="M49" s="14"/>
      <c r="N49" s="4"/>
      <c r="O49" s="14"/>
      <c r="P49" s="1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30" customHeight="1" x14ac:dyDescent="0.45">
      <c r="A50" s="74" t="s">
        <v>71</v>
      </c>
      <c r="B50" s="24">
        <f>B33</f>
        <v>145.7359996421408</v>
      </c>
      <c r="C50" s="25">
        <f>B15</f>
        <v>2.8947354488015655</v>
      </c>
      <c r="D50" s="4"/>
      <c r="E50" s="4"/>
      <c r="F50" s="14"/>
      <c r="G50" s="14"/>
      <c r="H50" s="4"/>
      <c r="I50" s="14"/>
      <c r="J50" s="14"/>
      <c r="K50" s="14"/>
      <c r="L50" s="23"/>
      <c r="M50" s="14"/>
      <c r="N50" s="4"/>
      <c r="O50" s="14"/>
      <c r="P50" s="1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8.5" x14ac:dyDescent="0.45">
      <c r="A51" s="75"/>
      <c r="B51" s="24">
        <f>B8</f>
        <v>551.25</v>
      </c>
      <c r="C51" s="25">
        <f>B15</f>
        <v>2.8947354488015655</v>
      </c>
      <c r="D51" s="4"/>
      <c r="E51" s="4"/>
      <c r="F51" s="14"/>
      <c r="G51" s="14"/>
      <c r="H51" s="4"/>
      <c r="I51" s="14"/>
      <c r="J51" s="14"/>
      <c r="K51" s="14"/>
      <c r="L51" s="23"/>
      <c r="M51" s="14"/>
      <c r="N51" s="4"/>
      <c r="O51" s="14"/>
      <c r="P51" s="1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8.5" x14ac:dyDescent="0.45">
      <c r="A52" s="74" t="s">
        <v>72</v>
      </c>
      <c r="B52" s="24">
        <f>D33</f>
        <v>121.13716410082274</v>
      </c>
      <c r="C52" s="25">
        <v>-1</v>
      </c>
      <c r="D52" s="4"/>
      <c r="E52" s="4"/>
      <c r="F52" s="14"/>
      <c r="G52" s="14"/>
      <c r="H52" s="4"/>
      <c r="I52" s="14"/>
      <c r="J52" s="14"/>
      <c r="K52" s="14"/>
      <c r="L52" s="23"/>
      <c r="M52" s="14"/>
      <c r="N52" s="4"/>
      <c r="O52" s="14"/>
      <c r="P52" s="1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54" customHeight="1" x14ac:dyDescent="0.45">
      <c r="A53" s="76"/>
      <c r="B53" s="26">
        <f>B34</f>
        <v>441</v>
      </c>
      <c r="C53" s="25">
        <v>-1</v>
      </c>
      <c r="D53" s="4"/>
      <c r="E53" s="4"/>
      <c r="F53" s="14"/>
      <c r="G53" s="14"/>
      <c r="H53" s="4"/>
      <c r="I53" s="14"/>
      <c r="J53" s="14"/>
      <c r="K53" s="14"/>
      <c r="L53" s="23"/>
      <c r="M53" s="14"/>
      <c r="N53" s="4"/>
      <c r="O53" s="14"/>
      <c r="P53" s="1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8.5" x14ac:dyDescent="0.45">
      <c r="A54" s="77" t="s">
        <v>73</v>
      </c>
      <c r="B54" s="20">
        <f>B32</f>
        <v>79.87548061062364</v>
      </c>
      <c r="C54" s="21">
        <v>0</v>
      </c>
      <c r="D54" s="4"/>
      <c r="E54" s="4"/>
      <c r="F54" s="14"/>
      <c r="G54" s="14"/>
      <c r="H54" s="4"/>
      <c r="I54" s="14"/>
      <c r="J54" s="14"/>
      <c r="K54" s="14"/>
      <c r="L54" s="23"/>
      <c r="M54" s="14"/>
      <c r="N54" s="4"/>
      <c r="O54" s="14"/>
      <c r="P54" s="1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8.5" x14ac:dyDescent="0.45">
      <c r="A55" s="78"/>
      <c r="B55" s="20">
        <f>B32</f>
        <v>79.87548061062364</v>
      </c>
      <c r="C55" s="27"/>
      <c r="D55" s="4"/>
      <c r="E55" s="4"/>
      <c r="F55" s="14"/>
      <c r="G55" s="14"/>
      <c r="H55" s="4"/>
      <c r="I55" s="14"/>
      <c r="J55" s="14"/>
      <c r="K55" s="14"/>
      <c r="L55" s="23"/>
      <c r="M55" s="14"/>
      <c r="N55" s="4"/>
      <c r="O55" s="14"/>
      <c r="P55" s="1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8.5" x14ac:dyDescent="0.45">
      <c r="A56" s="79" t="s">
        <v>74</v>
      </c>
      <c r="B56" s="20">
        <f>B33</f>
        <v>145.7359996421408</v>
      </c>
      <c r="C56" s="21">
        <v>0</v>
      </c>
      <c r="D56" s="20">
        <f>B33</f>
        <v>145.7359996421408</v>
      </c>
      <c r="E56" s="21">
        <v>0</v>
      </c>
      <c r="F56" s="14"/>
      <c r="G56" s="14"/>
      <c r="H56" s="4"/>
      <c r="I56" s="14"/>
      <c r="J56" s="14"/>
      <c r="K56" s="14"/>
      <c r="L56" s="23"/>
      <c r="M56" s="14"/>
      <c r="N56" s="4"/>
      <c r="O56" s="14"/>
      <c r="P56" s="1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8.5" x14ac:dyDescent="0.45">
      <c r="A57" s="79"/>
      <c r="B57" s="20">
        <f>B33</f>
        <v>145.7359996421408</v>
      </c>
      <c r="C57" s="22">
        <f>B15</f>
        <v>2.8947354488015655</v>
      </c>
      <c r="D57" s="20">
        <f>B33</f>
        <v>145.7359996421408</v>
      </c>
      <c r="E57" s="20">
        <f>B16</f>
        <v>-1</v>
      </c>
      <c r="F57" s="14"/>
      <c r="G57" s="14"/>
      <c r="H57" s="4"/>
      <c r="I57" s="14"/>
      <c r="J57" s="14"/>
      <c r="K57" s="14"/>
      <c r="L57" s="23"/>
      <c r="M57" s="14"/>
      <c r="N57" s="4"/>
      <c r="O57" s="14"/>
      <c r="P57" s="1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8.5" x14ac:dyDescent="0.45">
      <c r="A58" s="77" t="s">
        <v>75</v>
      </c>
      <c r="B58" s="20">
        <f>B34</f>
        <v>441</v>
      </c>
      <c r="C58" s="21">
        <v>-1</v>
      </c>
      <c r="D58" s="20">
        <f>B34</f>
        <v>441</v>
      </c>
      <c r="E58" s="21">
        <v>0</v>
      </c>
      <c r="F58" s="14"/>
      <c r="G58" s="14"/>
      <c r="H58" s="4"/>
      <c r="I58" s="14"/>
      <c r="J58" s="14"/>
      <c r="K58" s="14"/>
      <c r="L58" s="23"/>
      <c r="M58" s="14"/>
      <c r="N58" s="4"/>
      <c r="O58" s="14"/>
      <c r="P58" s="1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8.5" x14ac:dyDescent="0.45">
      <c r="A59" s="79"/>
      <c r="B59" s="20">
        <f>B34</f>
        <v>441</v>
      </c>
      <c r="C59" s="22">
        <f>B15</f>
        <v>2.8947354488015655</v>
      </c>
      <c r="D59" s="20">
        <f>B34</f>
        <v>441</v>
      </c>
      <c r="E59" s="20">
        <f>B16</f>
        <v>-1</v>
      </c>
      <c r="F59" s="14"/>
      <c r="G59" s="14"/>
      <c r="H59" s="4"/>
      <c r="I59" s="14"/>
      <c r="J59" s="14"/>
      <c r="K59" s="14"/>
      <c r="L59" s="23"/>
      <c r="M59" s="14"/>
      <c r="N59" s="4"/>
      <c r="O59" s="14"/>
      <c r="P59" s="1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8.5" x14ac:dyDescent="0.45">
      <c r="A60" s="77" t="s">
        <v>76</v>
      </c>
      <c r="B60" s="20">
        <f>B35</f>
        <v>496.125</v>
      </c>
      <c r="C60" s="21">
        <v>0</v>
      </c>
      <c r="D60" s="4"/>
      <c r="E60" s="4"/>
      <c r="F60" s="14"/>
      <c r="G60" s="14"/>
      <c r="H60" s="4"/>
      <c r="I60" s="14"/>
      <c r="J60" s="14"/>
      <c r="K60" s="14"/>
      <c r="L60" s="23"/>
      <c r="M60" s="14"/>
      <c r="N60" s="4"/>
      <c r="O60" s="14"/>
      <c r="P60" s="1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8.5" x14ac:dyDescent="0.45">
      <c r="A61" s="78"/>
      <c r="B61" s="20">
        <f>B35</f>
        <v>496.125</v>
      </c>
      <c r="C61" s="22">
        <f>B15</f>
        <v>2.8947354488015655</v>
      </c>
      <c r="D61" s="4"/>
      <c r="E61" s="4"/>
      <c r="F61" s="14"/>
      <c r="G61" s="14"/>
      <c r="H61" s="4"/>
      <c r="I61" s="14"/>
      <c r="J61" s="14"/>
      <c r="K61" s="14"/>
      <c r="L61" s="23"/>
      <c r="M61" s="14"/>
      <c r="N61" s="4"/>
      <c r="O61" s="14"/>
      <c r="P61" s="1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8.5" x14ac:dyDescent="0.45">
      <c r="A62" s="79" t="s">
        <v>77</v>
      </c>
      <c r="B62" s="20">
        <f>B36</f>
        <v>551.25</v>
      </c>
      <c r="C62" s="20">
        <v>0</v>
      </c>
      <c r="D62" s="4"/>
      <c r="E62" s="4"/>
      <c r="F62" s="14"/>
      <c r="G62" s="14"/>
      <c r="H62" s="4"/>
      <c r="I62" s="14"/>
      <c r="J62" s="14"/>
      <c r="K62" s="14"/>
      <c r="L62" s="23"/>
      <c r="M62" s="14"/>
      <c r="N62" s="4"/>
      <c r="O62" s="14"/>
      <c r="P62" s="1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8.5" x14ac:dyDescent="0.45">
      <c r="A63" s="78"/>
      <c r="B63" s="20">
        <f>B36</f>
        <v>551.25</v>
      </c>
      <c r="C63" s="22">
        <f>B15</f>
        <v>2.8947354488015655</v>
      </c>
      <c r="D63" s="4"/>
      <c r="E63" s="4"/>
      <c r="F63" s="14"/>
      <c r="G63" s="14"/>
      <c r="H63" s="4"/>
      <c r="I63" s="14"/>
      <c r="J63" s="14"/>
      <c r="K63" s="14"/>
      <c r="L63" s="23"/>
      <c r="M63" s="14"/>
      <c r="N63" s="4"/>
      <c r="O63" s="14"/>
      <c r="P63" s="1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8.5" x14ac:dyDescent="0.45">
      <c r="A64" s="109" t="s">
        <v>100</v>
      </c>
      <c r="B64" s="24">
        <f>B34</f>
        <v>441</v>
      </c>
      <c r="C64" s="25">
        <f>B16</f>
        <v>-1</v>
      </c>
      <c r="D64" s="4"/>
      <c r="E64" s="4"/>
      <c r="F64" s="14"/>
      <c r="G64" s="14"/>
      <c r="H64" s="4"/>
      <c r="I64" s="14"/>
      <c r="J64" s="14"/>
      <c r="K64" s="14"/>
      <c r="L64" s="23"/>
      <c r="M64" s="14"/>
      <c r="N64" s="4"/>
      <c r="O64" s="14"/>
      <c r="P64" s="1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8.5" x14ac:dyDescent="0.45">
      <c r="A65" s="110"/>
      <c r="B65" s="24">
        <f>B36</f>
        <v>551.25</v>
      </c>
      <c r="C65" s="24">
        <v>0</v>
      </c>
      <c r="D65" s="4"/>
      <c r="E65" s="4"/>
      <c r="F65" s="14"/>
      <c r="G65" s="14"/>
      <c r="H65" s="4"/>
      <c r="I65" s="14"/>
      <c r="J65" s="14"/>
      <c r="K65" s="14"/>
      <c r="L65" s="23"/>
      <c r="M65" s="14"/>
      <c r="N65" s="4"/>
      <c r="O65" s="14"/>
      <c r="P65" s="1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8.5" x14ac:dyDescent="0.45">
      <c r="A66" s="109" t="s">
        <v>78</v>
      </c>
      <c r="B66" s="24">
        <f>B7</f>
        <v>441</v>
      </c>
      <c r="C66" s="25"/>
      <c r="D66" s="4"/>
      <c r="E66" s="4"/>
      <c r="F66" s="14"/>
      <c r="G66" s="14"/>
      <c r="H66" s="4"/>
      <c r="I66" s="14"/>
      <c r="J66" s="14"/>
      <c r="K66" s="14"/>
      <c r="L66" s="23"/>
      <c r="M66" s="14"/>
      <c r="N66" s="4"/>
      <c r="O66" s="14"/>
      <c r="P66" s="1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8.5" x14ac:dyDescent="0.45">
      <c r="A67" s="110"/>
      <c r="B67" s="24">
        <f>B38</f>
        <v>0</v>
      </c>
      <c r="C67" s="25"/>
      <c r="D67" s="4"/>
      <c r="E67" s="4"/>
      <c r="F67" s="14"/>
      <c r="G67" s="14"/>
      <c r="H67" s="4"/>
      <c r="I67" s="14"/>
      <c r="J67" s="14"/>
      <c r="K67" s="14"/>
      <c r="L67" s="23"/>
      <c r="M67" s="14"/>
      <c r="N67" s="4"/>
      <c r="O67" s="14"/>
      <c r="P67" s="1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8.5" x14ac:dyDescent="0.45">
      <c r="A68" s="80" t="s">
        <v>64</v>
      </c>
      <c r="B68" s="26">
        <v>0</v>
      </c>
      <c r="C68" s="26">
        <f>B41</f>
        <v>3.6184193110019569</v>
      </c>
      <c r="D68" s="4"/>
      <c r="E68" s="4"/>
      <c r="F68" s="14"/>
      <c r="G68" s="14"/>
      <c r="H68" s="4"/>
      <c r="I68" s="14"/>
      <c r="J68" s="14"/>
      <c r="K68" s="14"/>
      <c r="L68" s="23"/>
      <c r="M68" s="14"/>
      <c r="N68" s="4"/>
      <c r="O68" s="14"/>
      <c r="P68" s="1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8.5" x14ac:dyDescent="0.45">
      <c r="A69" s="71"/>
      <c r="B69" s="26">
        <f>B36</f>
        <v>551.25</v>
      </c>
      <c r="C69" s="26">
        <f>B41</f>
        <v>3.6184193110019569</v>
      </c>
      <c r="D69" s="4"/>
      <c r="E69" s="4"/>
      <c r="F69" s="14"/>
      <c r="G69" s="14"/>
      <c r="H69" s="4"/>
      <c r="I69" s="14"/>
      <c r="J69" s="14"/>
      <c r="K69" s="14"/>
      <c r="L69" s="23"/>
      <c r="M69" s="14"/>
      <c r="N69" s="4"/>
      <c r="O69" s="14"/>
      <c r="P69" s="1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8.5" x14ac:dyDescent="0.45">
      <c r="A70" s="70" t="s">
        <v>79</v>
      </c>
      <c r="B70" s="28">
        <v>0</v>
      </c>
      <c r="C70" s="26">
        <f>B42</f>
        <v>4.3421031732023483</v>
      </c>
      <c r="D70" s="4"/>
      <c r="E70" s="4"/>
      <c r="F70" s="14"/>
      <c r="G70" s="14"/>
      <c r="H70" s="4"/>
      <c r="I70" s="14"/>
      <c r="J70" s="14"/>
      <c r="K70" s="14"/>
      <c r="L70" s="23"/>
      <c r="M70" s="14"/>
      <c r="N70" s="4"/>
      <c r="O70" s="14"/>
      <c r="P70" s="1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8.5" x14ac:dyDescent="0.45">
      <c r="A71" s="71"/>
      <c r="B71" s="26">
        <f>B36</f>
        <v>551.25</v>
      </c>
      <c r="C71" s="26">
        <f>B42</f>
        <v>4.3421031732023483</v>
      </c>
      <c r="D71" s="4"/>
      <c r="E71" s="4"/>
      <c r="F71" s="14"/>
      <c r="G71" s="14"/>
      <c r="H71" s="4"/>
      <c r="I71" s="14"/>
      <c r="J71" s="14"/>
      <c r="K71" s="14"/>
      <c r="L71" s="23"/>
      <c r="M71" s="14"/>
      <c r="N71" s="4"/>
      <c r="O71" s="14"/>
      <c r="P71" s="1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8.5" x14ac:dyDescent="0.45">
      <c r="A72" s="4"/>
      <c r="B72" s="4"/>
      <c r="C72" s="4"/>
      <c r="D72" s="4"/>
      <c r="E72" s="4"/>
      <c r="F72" s="4"/>
      <c r="G72" s="4"/>
      <c r="H72" s="4"/>
      <c r="I72" s="4"/>
      <c r="J72" s="4"/>
      <c r="K72" s="14"/>
      <c r="L72" s="23"/>
      <c r="M72" s="6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8.5" x14ac:dyDescent="0.45">
      <c r="A73" s="4"/>
      <c r="B73" s="4"/>
      <c r="C73" s="4"/>
      <c r="D73" s="4"/>
      <c r="E73" s="4"/>
      <c r="F73" s="4"/>
      <c r="G73" s="4"/>
      <c r="H73" s="4"/>
      <c r="I73" s="4"/>
      <c r="J73" s="4"/>
      <c r="K73" s="14"/>
      <c r="L73" s="23"/>
      <c r="M73" s="6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8.5" x14ac:dyDescent="0.45">
      <c r="A74" s="51"/>
      <c r="B74" s="4"/>
      <c r="C74" s="4"/>
      <c r="D74" s="4"/>
      <c r="E74" s="4"/>
      <c r="F74" s="4"/>
      <c r="G74" s="4"/>
      <c r="H74" s="4"/>
      <c r="I74" s="4"/>
      <c r="J74" s="4"/>
      <c r="K74" s="14"/>
      <c r="L74" s="23"/>
      <c r="M74" s="6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8.5" x14ac:dyDescent="0.45">
      <c r="A75" s="51"/>
      <c r="B75" s="52"/>
      <c r="C75" s="52"/>
      <c r="D75" s="4"/>
      <c r="E75" s="4"/>
      <c r="F75" s="4"/>
      <c r="G75" s="4"/>
      <c r="H75" s="4"/>
      <c r="I75" s="4"/>
      <c r="J75" s="4"/>
      <c r="K75" s="14"/>
      <c r="L75" s="23"/>
      <c r="M75" s="6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8.5" x14ac:dyDescent="0.45">
      <c r="A76" s="4"/>
      <c r="B76" s="4"/>
      <c r="C76" s="4"/>
      <c r="D76" s="4"/>
      <c r="E76" s="4"/>
      <c r="F76" s="4"/>
      <c r="G76" s="4"/>
      <c r="H76" s="4"/>
      <c r="I76" s="4"/>
      <c r="J76" s="4"/>
      <c r="K76" s="14"/>
      <c r="L76" s="23"/>
      <c r="M76" s="6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8.5" x14ac:dyDescent="0.45">
      <c r="A77" s="4"/>
      <c r="B77" s="4"/>
      <c r="C77" s="4"/>
      <c r="D77" s="4"/>
      <c r="E77" s="4"/>
      <c r="F77" s="4"/>
      <c r="G77" s="4"/>
      <c r="H77" s="4"/>
      <c r="I77" s="4"/>
      <c r="J77" s="4"/>
      <c r="K77" s="14"/>
      <c r="L77" s="23"/>
      <c r="M77" s="6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8.5" x14ac:dyDescent="0.45">
      <c r="A78" s="4"/>
      <c r="B78" s="4"/>
      <c r="C78" s="4"/>
      <c r="D78" s="4"/>
      <c r="E78" s="4"/>
      <c r="F78" s="4"/>
      <c r="G78" s="4"/>
      <c r="H78" s="4"/>
      <c r="I78" s="4"/>
      <c r="J78" s="4"/>
      <c r="K78" s="14"/>
      <c r="L78" s="23"/>
      <c r="M78" s="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8.5" x14ac:dyDescent="0.45">
      <c r="A79" s="4"/>
      <c r="B79" s="4"/>
      <c r="C79" s="4"/>
      <c r="D79" s="4"/>
      <c r="E79" s="4"/>
      <c r="F79" s="4"/>
      <c r="G79" s="4"/>
      <c r="H79" s="4"/>
      <c r="I79" s="4"/>
      <c r="J79" s="4"/>
      <c r="K79" s="14"/>
      <c r="L79" s="23"/>
      <c r="M79" s="6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8.5" x14ac:dyDescent="0.45">
      <c r="A80" s="51"/>
      <c r="B80" s="4"/>
      <c r="C80" s="4"/>
      <c r="D80" s="4"/>
      <c r="E80" s="4"/>
      <c r="F80" s="4"/>
      <c r="G80" s="4"/>
      <c r="H80" s="4"/>
      <c r="I80" s="4"/>
      <c r="J80" s="4"/>
      <c r="K80" s="14"/>
      <c r="L80" s="23"/>
      <c r="M80" s="6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8.5" x14ac:dyDescent="0.45">
      <c r="A81" s="51"/>
      <c r="B81" s="4"/>
      <c r="C81" s="4"/>
      <c r="D81" s="4"/>
      <c r="E81" s="4"/>
      <c r="F81" s="4"/>
      <c r="G81" s="4"/>
      <c r="H81" s="4"/>
      <c r="I81" s="4"/>
      <c r="J81" s="4"/>
      <c r="K81" s="14"/>
      <c r="L81" s="23"/>
      <c r="M81" s="6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8.5" x14ac:dyDescent="0.45">
      <c r="A82" s="4"/>
      <c r="B82" s="4"/>
      <c r="C82" s="4"/>
      <c r="D82" s="4"/>
      <c r="E82" s="4"/>
      <c r="F82" s="4"/>
      <c r="G82" s="4"/>
      <c r="H82" s="4"/>
      <c r="I82" s="4"/>
      <c r="J82" s="4"/>
      <c r="K82" s="14"/>
      <c r="L82" s="23"/>
      <c r="M82" s="6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8.5" x14ac:dyDescent="0.45">
      <c r="A83" s="4"/>
      <c r="B83" s="4"/>
      <c r="C83" s="4"/>
      <c r="D83" s="4"/>
      <c r="E83" s="4"/>
      <c r="F83" s="4"/>
      <c r="G83" s="4"/>
      <c r="H83" s="4"/>
      <c r="I83" s="4"/>
      <c r="J83" s="4"/>
      <c r="K83" s="14"/>
      <c r="L83" s="23"/>
      <c r="M83" s="6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8.5" x14ac:dyDescent="0.45">
      <c r="A84" s="4"/>
      <c r="B84" s="4"/>
      <c r="C84" s="4"/>
      <c r="D84" s="4"/>
      <c r="E84" s="4"/>
      <c r="F84" s="4"/>
      <c r="G84" s="4"/>
      <c r="H84" s="4"/>
      <c r="I84" s="4"/>
      <c r="J84" s="4"/>
      <c r="K84" s="14"/>
      <c r="L84" s="23"/>
      <c r="M84" s="6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8.5" x14ac:dyDescent="0.45">
      <c r="A85" s="4"/>
      <c r="B85" s="4"/>
      <c r="C85" s="4"/>
      <c r="D85" s="4"/>
      <c r="E85" s="4"/>
      <c r="F85" s="4"/>
      <c r="G85" s="4"/>
      <c r="H85" s="4"/>
      <c r="I85" s="4"/>
      <c r="J85" s="4"/>
      <c r="K85" s="14"/>
      <c r="L85" s="23"/>
      <c r="M85" s="6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</sheetData>
  <mergeCells count="56">
    <mergeCell ref="A64:A65"/>
    <mergeCell ref="A66:A67"/>
    <mergeCell ref="B42:C42"/>
    <mergeCell ref="B35:C35"/>
    <mergeCell ref="B36:C36"/>
    <mergeCell ref="B37:C37"/>
    <mergeCell ref="B40:C40"/>
    <mergeCell ref="B41:C41"/>
    <mergeCell ref="B39:C39"/>
    <mergeCell ref="D4:L4"/>
    <mergeCell ref="M4:V4"/>
    <mergeCell ref="A1:A3"/>
    <mergeCell ref="B1:C3"/>
    <mergeCell ref="B4:C4"/>
    <mergeCell ref="B33:C33"/>
    <mergeCell ref="B34:C34"/>
    <mergeCell ref="B23:C23"/>
    <mergeCell ref="B24:C24"/>
    <mergeCell ref="B25:C25"/>
    <mergeCell ref="B26:C26"/>
    <mergeCell ref="B27:C27"/>
    <mergeCell ref="B30:C30"/>
    <mergeCell ref="B28:C28"/>
    <mergeCell ref="B31:C31"/>
    <mergeCell ref="B32:C32"/>
    <mergeCell ref="B21:C21"/>
    <mergeCell ref="B22:C22"/>
    <mergeCell ref="B10:C10"/>
    <mergeCell ref="B11:C11"/>
    <mergeCell ref="B12:C12"/>
    <mergeCell ref="B13:C13"/>
    <mergeCell ref="B17:C17"/>
    <mergeCell ref="B14:C14"/>
    <mergeCell ref="B15:C15"/>
    <mergeCell ref="B16:C16"/>
    <mergeCell ref="B18:C18"/>
    <mergeCell ref="B5:C5"/>
    <mergeCell ref="B6:C6"/>
    <mergeCell ref="B7:C7"/>
    <mergeCell ref="B8:C8"/>
    <mergeCell ref="B9:C9"/>
    <mergeCell ref="Q6:Q28"/>
    <mergeCell ref="R6:R28"/>
    <mergeCell ref="A70:A71"/>
    <mergeCell ref="A46:A47"/>
    <mergeCell ref="A50:A51"/>
    <mergeCell ref="A52:A53"/>
    <mergeCell ref="A54:A55"/>
    <mergeCell ref="A56:A57"/>
    <mergeCell ref="A58:A59"/>
    <mergeCell ref="A60:A61"/>
    <mergeCell ref="A62:A63"/>
    <mergeCell ref="A68:A69"/>
    <mergeCell ref="A48:A49"/>
    <mergeCell ref="B19:C19"/>
    <mergeCell ref="B20:C2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A923-CF77-4E6E-9CF9-092F723F9B8C}">
  <dimension ref="A1:AA83"/>
  <sheetViews>
    <sheetView tabSelected="1" topLeftCell="A10" zoomScale="73" zoomScaleNormal="100" workbookViewId="0">
      <selection activeCell="B7" sqref="B7:C7"/>
    </sheetView>
  </sheetViews>
  <sheetFormatPr baseColWidth="10" defaultColWidth="11.453125" defaultRowHeight="14.5" x14ac:dyDescent="0.35"/>
  <cols>
    <col min="1" max="1" width="49.26953125" customWidth="1"/>
    <col min="2" max="2" width="11.1796875" customWidth="1"/>
    <col min="3" max="3" width="11.26953125" customWidth="1"/>
    <col min="4" max="5" width="14.26953125" customWidth="1"/>
    <col min="6" max="6" width="22.81640625" customWidth="1"/>
    <col min="7" max="7" width="16.453125" customWidth="1"/>
    <col min="8" max="8" width="22.54296875" customWidth="1"/>
    <col min="9" max="9" width="12" customWidth="1"/>
    <col min="10" max="10" width="14.54296875" bestFit="1" customWidth="1"/>
    <col min="11" max="11" width="16.453125" style="2" customWidth="1"/>
    <col min="12" max="12" width="14.1796875" style="5" customWidth="1"/>
    <col min="13" max="13" width="18.81640625" style="1" customWidth="1"/>
    <col min="14" max="14" width="12.26953125" customWidth="1"/>
    <col min="17" max="17" width="22.7265625" customWidth="1"/>
    <col min="18" max="18" width="21.7265625" customWidth="1"/>
    <col min="19" max="20" width="22.26953125" customWidth="1"/>
    <col min="21" max="21" width="22" customWidth="1"/>
    <col min="22" max="22" width="22.54296875" customWidth="1"/>
  </cols>
  <sheetData>
    <row r="1" spans="1:27" x14ac:dyDescent="0.35">
      <c r="A1" s="91" t="s">
        <v>0</v>
      </c>
      <c r="B1" s="91" t="s">
        <v>1</v>
      </c>
      <c r="C1" s="91"/>
    </row>
    <row r="2" spans="1:27" x14ac:dyDescent="0.35">
      <c r="A2" s="91"/>
      <c r="B2" s="91"/>
      <c r="C2" s="91"/>
    </row>
    <row r="3" spans="1:27" x14ac:dyDescent="0.35">
      <c r="A3" s="103"/>
      <c r="B3" s="103"/>
      <c r="C3" s="103"/>
    </row>
    <row r="4" spans="1:27" ht="18.5" x14ac:dyDescent="0.45">
      <c r="A4" s="53" t="s">
        <v>80</v>
      </c>
      <c r="B4" s="104">
        <f>B5/0.453592</f>
        <v>20198.768937723769</v>
      </c>
      <c r="C4" s="104"/>
      <c r="D4" s="105" t="s">
        <v>2</v>
      </c>
      <c r="E4" s="90"/>
      <c r="F4" s="90"/>
      <c r="G4" s="90"/>
      <c r="H4" s="90"/>
      <c r="I4" s="90"/>
      <c r="J4" s="90"/>
      <c r="K4" s="90"/>
      <c r="L4" s="90"/>
      <c r="M4" s="90" t="s">
        <v>3</v>
      </c>
      <c r="N4" s="90"/>
      <c r="O4" s="90"/>
      <c r="P4" s="90"/>
      <c r="Q4" s="90"/>
      <c r="R4" s="90"/>
      <c r="S4" s="90"/>
      <c r="T4" s="90"/>
      <c r="U4" s="90"/>
      <c r="V4" s="90"/>
    </row>
    <row r="5" spans="1:27" ht="52.9" customHeight="1" x14ac:dyDescent="0.45">
      <c r="A5" s="54" t="s">
        <v>4</v>
      </c>
      <c r="B5" s="102">
        <v>9162</v>
      </c>
      <c r="C5" s="102"/>
      <c r="D5" s="38" t="s">
        <v>5</v>
      </c>
      <c r="E5" s="39" t="s">
        <v>6</v>
      </c>
      <c r="F5" s="40" t="s">
        <v>7</v>
      </c>
      <c r="G5" s="38" t="s">
        <v>8</v>
      </c>
      <c r="H5" s="38" t="s">
        <v>9</v>
      </c>
      <c r="I5" s="40" t="s">
        <v>10</v>
      </c>
      <c r="J5" s="40" t="s">
        <v>11</v>
      </c>
      <c r="K5" s="41" t="s">
        <v>12</v>
      </c>
      <c r="L5" s="42" t="s">
        <v>13</v>
      </c>
      <c r="M5" s="11" t="s">
        <v>14</v>
      </c>
      <c r="N5" s="11" t="s">
        <v>15</v>
      </c>
      <c r="O5" s="33" t="s">
        <v>16</v>
      </c>
      <c r="P5" s="12" t="s">
        <v>17</v>
      </c>
      <c r="Q5" s="11" t="s">
        <v>18</v>
      </c>
      <c r="R5" s="11" t="s">
        <v>19</v>
      </c>
      <c r="S5" s="11" t="s">
        <v>20</v>
      </c>
      <c r="T5" s="11" t="s">
        <v>21</v>
      </c>
      <c r="U5" s="11" t="s">
        <v>22</v>
      </c>
      <c r="V5" s="11" t="s">
        <v>23</v>
      </c>
      <c r="W5" s="13"/>
      <c r="X5" s="11" t="s">
        <v>101</v>
      </c>
      <c r="Y5" s="4"/>
      <c r="Z5" s="4"/>
      <c r="AA5" s="4"/>
    </row>
    <row r="6" spans="1:27" ht="18.5" x14ac:dyDescent="0.45">
      <c r="A6" s="3" t="s">
        <v>24</v>
      </c>
      <c r="B6" s="82">
        <v>31000</v>
      </c>
      <c r="C6" s="82"/>
      <c r="D6" s="14">
        <v>0</v>
      </c>
      <c r="E6" s="14">
        <f>1.94384*D6</f>
        <v>0</v>
      </c>
      <c r="F6" s="14">
        <f>E6/$B$9</f>
        <v>0</v>
      </c>
      <c r="G6" s="14">
        <f>(0.5*$B$26*D6^2)*0.020885434273039</f>
        <v>0</v>
      </c>
      <c r="H6" s="32">
        <v>1</v>
      </c>
      <c r="I6" s="14">
        <f>H6*$B$10</f>
        <v>2.2000000000000002</v>
      </c>
      <c r="J6" s="14">
        <f>$B$28*$H$6</f>
        <v>-1.1000000000000001</v>
      </c>
      <c r="K6" s="14">
        <f>((G6/0.020885434273039)*I6*$B$13)/($B$5*$B$11)</f>
        <v>0</v>
      </c>
      <c r="L6" s="14">
        <f>((G6/0.020885434273039)*J6*$B$13)/($B$5*$B$11)</f>
        <v>0</v>
      </c>
      <c r="M6" s="32"/>
      <c r="N6" s="14"/>
      <c r="O6" s="14">
        <f>2*$B$5/($B$26*$B$27*$B$25*$B$13)</f>
        <v>39.378490121855798</v>
      </c>
      <c r="P6" s="32">
        <f>(0.88*O6)/(5.3+O6)</f>
        <v>0.77560972209939427</v>
      </c>
      <c r="Q6" s="68" t="s">
        <v>25</v>
      </c>
      <c r="R6" s="68" t="s">
        <v>25</v>
      </c>
      <c r="S6" s="32">
        <f>1+($P$6*56*0.3048*D6*$B$26*$B$25*$B$13)/(2*$B$5*$B$11)</f>
        <v>1</v>
      </c>
      <c r="T6" s="14">
        <f>1-($P$6*56*0.3048*D6*$B$26*$B$25*$B$13)/(2*$B$5*$B$11)</f>
        <v>1</v>
      </c>
      <c r="U6" s="14">
        <f>1+($P$6*28*0.3048*D6*$B$26*$B$25*$B$13)/(2*$B$5*$B$11)</f>
        <v>1</v>
      </c>
      <c r="V6" s="14">
        <f>1-($P$6*28*0.3048*D6*$B$26*$B$25*$B$13)/(2*$B$5*$B$11)</f>
        <v>1</v>
      </c>
      <c r="W6" s="4"/>
      <c r="X6" s="52">
        <f>((G6/0.020885434273039)*I6*1.15*$B$13)/($B$5*$B$11)</f>
        <v>0</v>
      </c>
      <c r="Y6" s="4"/>
      <c r="Z6" s="4"/>
      <c r="AA6" s="4"/>
    </row>
    <row r="7" spans="1:27" ht="18.5" x14ac:dyDescent="0.45">
      <c r="A7" s="3" t="s">
        <v>26</v>
      </c>
      <c r="B7" s="82">
        <f>441*SQRT(0.36115)</f>
        <v>265.0222880249886</v>
      </c>
      <c r="C7" s="82"/>
      <c r="D7" s="14">
        <v>10.29</v>
      </c>
      <c r="E7" s="14">
        <f t="shared" ref="E7:E28" si="0">1.94384*D7</f>
        <v>20.002113599999998</v>
      </c>
      <c r="F7" s="14">
        <f t="shared" ref="F7:F29" si="1">E7/$B$9</f>
        <v>5.6713015963027018E-2</v>
      </c>
      <c r="G7" s="14">
        <f t="shared" ref="G7:G29" si="2">(0.5*$B$26*D7^2)*0.020885434273039</f>
        <v>1.3545041893048069</v>
      </c>
      <c r="H7" s="32">
        <v>1</v>
      </c>
      <c r="I7" s="14">
        <f t="shared" ref="I7:I29" si="3">H7*$B$10</f>
        <v>2.2000000000000002</v>
      </c>
      <c r="J7" s="14">
        <f t="shared" ref="J7:J29" si="4">$B$28*$H$6</f>
        <v>-1.1000000000000001</v>
      </c>
      <c r="K7" s="14">
        <f t="shared" ref="K7:K29" si="5">((G7/0.020885434273039)*I7*$B$13)/($B$5*$B$11)</f>
        <v>5.4528929269329444E-2</v>
      </c>
      <c r="L7" s="14">
        <f t="shared" ref="L7:L29" si="6">((G7/0.020885434273039)*J7*$B$13)/($B$5*$B$11)</f>
        <v>-2.7264464634664722E-2</v>
      </c>
      <c r="M7" s="32"/>
      <c r="N7" s="14"/>
      <c r="O7" s="14">
        <f t="shared" ref="O7:O29" si="7">2*$B$5/($B$26*$B$27*$B$25*$B$13)</f>
        <v>39.378490121855798</v>
      </c>
      <c r="P7" s="32">
        <f t="shared" ref="P7:P29" si="8">(0.88*O7)/(5.3+O7)</f>
        <v>0.77560972209939427</v>
      </c>
      <c r="Q7" s="69"/>
      <c r="R7" s="69"/>
      <c r="S7" s="32">
        <f t="shared" ref="S7:S28" si="9">1+($P$6*56*0.3048*D7*$B$26*$B$25*$B$13)/(2*$B$5*$B$11)</f>
        <v>1.1668124873586456</v>
      </c>
      <c r="T7" s="14">
        <f t="shared" ref="T7:T28" si="10">1-($P$6*56*0.3048*D7*$B$26*$B$25*$B$13)/(2*$B$5*$B$11)</f>
        <v>0.83318751264135438</v>
      </c>
      <c r="U7" s="14">
        <f t="shared" ref="U7:U29" si="11">1+($P$6*28*0.3048*D7*$B$26*$B$25*$B$13)/(2*$B$5*$B$11)</f>
        <v>1.0834062436793228</v>
      </c>
      <c r="V7" s="14">
        <f t="shared" ref="V7:V29" si="12">1-($P$6*28*0.3048*D7*$B$26*$B$25*$B$13)/(2*$B$5*$B$11)</f>
        <v>0.91659375632067719</v>
      </c>
      <c r="W7" s="4"/>
      <c r="X7" s="52">
        <f t="shared" ref="X7:X29" si="13">((G7/0.020885434273039)*I7*1.15*$B$13)/($B$5*$B$11)</f>
        <v>6.2708268659728866E-2</v>
      </c>
      <c r="Y7" s="4"/>
      <c r="Z7" s="4"/>
      <c r="AA7" s="4"/>
    </row>
    <row r="8" spans="1:27" ht="18.5" x14ac:dyDescent="0.45">
      <c r="A8" s="3" t="s">
        <v>27</v>
      </c>
      <c r="B8" s="82">
        <f>1.25*B7</f>
        <v>331.27786003123572</v>
      </c>
      <c r="C8" s="82"/>
      <c r="D8" s="14">
        <v>20</v>
      </c>
      <c r="E8" s="14">
        <f t="shared" si="0"/>
        <v>38.876800000000003</v>
      </c>
      <c r="F8" s="14">
        <f t="shared" si="1"/>
        <v>0.1102293799087017</v>
      </c>
      <c r="G8" s="14">
        <f t="shared" si="2"/>
        <v>5.1169313968945556</v>
      </c>
      <c r="H8" s="32">
        <v>1</v>
      </c>
      <c r="I8" s="14">
        <f t="shared" si="3"/>
        <v>2.2000000000000002</v>
      </c>
      <c r="J8" s="14">
        <f t="shared" si="4"/>
        <v>-1.1000000000000001</v>
      </c>
      <c r="K8" s="14">
        <f t="shared" si="5"/>
        <v>0.20599477832584667</v>
      </c>
      <c r="L8" s="14">
        <f t="shared" si="6"/>
        <v>-0.10299738916292334</v>
      </c>
      <c r="M8" s="32"/>
      <c r="N8" s="14"/>
      <c r="O8" s="14">
        <f t="shared" si="7"/>
        <v>39.378490121855798</v>
      </c>
      <c r="P8" s="32">
        <f t="shared" si="8"/>
        <v>0.77560972209939427</v>
      </c>
      <c r="Q8" s="69"/>
      <c r="R8" s="69"/>
      <c r="S8" s="32">
        <f t="shared" si="9"/>
        <v>1.3242225215911481</v>
      </c>
      <c r="T8" s="14">
        <f t="shared" si="10"/>
        <v>0.67577747840885194</v>
      </c>
      <c r="U8" s="14">
        <f t="shared" si="11"/>
        <v>1.1621112607955741</v>
      </c>
      <c r="V8" s="14">
        <f t="shared" si="12"/>
        <v>0.83788873920442597</v>
      </c>
      <c r="W8" s="4"/>
      <c r="X8" s="52">
        <f t="shared" si="13"/>
        <v>0.2368939950747237</v>
      </c>
      <c r="Y8" s="4"/>
      <c r="Z8" s="4"/>
      <c r="AA8" s="4"/>
    </row>
    <row r="9" spans="1:27" ht="18.5" x14ac:dyDescent="0.45">
      <c r="A9" s="3" t="s">
        <v>28</v>
      </c>
      <c r="B9" s="82">
        <v>352.69</v>
      </c>
      <c r="C9" s="82"/>
      <c r="D9" s="14">
        <v>30</v>
      </c>
      <c r="E9" s="14">
        <f t="shared" si="0"/>
        <v>58.315199999999997</v>
      </c>
      <c r="F9" s="14">
        <f t="shared" si="1"/>
        <v>0.16534406986305253</v>
      </c>
      <c r="G9" s="14">
        <f t="shared" si="2"/>
        <v>11.513095643012749</v>
      </c>
      <c r="H9" s="32">
        <v>1</v>
      </c>
      <c r="I9" s="14">
        <f t="shared" si="3"/>
        <v>2.2000000000000002</v>
      </c>
      <c r="J9" s="14">
        <f t="shared" si="4"/>
        <v>-1.1000000000000001</v>
      </c>
      <c r="K9" s="14">
        <f t="shared" si="5"/>
        <v>0.4634882512331549</v>
      </c>
      <c r="L9" s="14">
        <f t="shared" si="6"/>
        <v>-0.23174412561657745</v>
      </c>
      <c r="M9" s="32"/>
      <c r="N9" s="14"/>
      <c r="O9" s="14">
        <f t="shared" si="7"/>
        <v>39.378490121855798</v>
      </c>
      <c r="P9" s="32">
        <f t="shared" si="8"/>
        <v>0.77560972209939427</v>
      </c>
      <c r="Q9" s="69"/>
      <c r="R9" s="69"/>
      <c r="S9" s="32">
        <f t="shared" si="9"/>
        <v>1.4863337823867222</v>
      </c>
      <c r="T9" s="14">
        <f t="shared" si="10"/>
        <v>0.5136662176132778</v>
      </c>
      <c r="U9" s="14">
        <f t="shared" si="11"/>
        <v>1.2431668911933611</v>
      </c>
      <c r="V9" s="14">
        <f t="shared" si="12"/>
        <v>0.7568331088066389</v>
      </c>
      <c r="W9" s="4"/>
      <c r="X9" s="52">
        <f t="shared" si="13"/>
        <v>0.53301148891812811</v>
      </c>
      <c r="Y9" s="4"/>
      <c r="Z9" s="4"/>
      <c r="AA9" s="4"/>
    </row>
    <row r="10" spans="1:27" ht="18.5" x14ac:dyDescent="0.45">
      <c r="A10" s="3" t="s">
        <v>29</v>
      </c>
      <c r="B10" s="82">
        <v>2.2000000000000002</v>
      </c>
      <c r="C10" s="82"/>
      <c r="D10" s="14">
        <v>40</v>
      </c>
      <c r="E10" s="14">
        <f t="shared" si="0"/>
        <v>77.753600000000006</v>
      </c>
      <c r="F10" s="14">
        <f t="shared" si="1"/>
        <v>0.2204587598174034</v>
      </c>
      <c r="G10" s="14">
        <f t="shared" si="2"/>
        <v>20.467725587578222</v>
      </c>
      <c r="H10" s="32">
        <v>1</v>
      </c>
      <c r="I10" s="14">
        <f t="shared" si="3"/>
        <v>2.2000000000000002</v>
      </c>
      <c r="J10" s="14">
        <f t="shared" si="4"/>
        <v>-1.1000000000000001</v>
      </c>
      <c r="K10" s="14">
        <f t="shared" si="5"/>
        <v>0.82397911330338669</v>
      </c>
      <c r="L10" s="14">
        <f t="shared" si="6"/>
        <v>-0.41198955665169334</v>
      </c>
      <c r="M10" s="32"/>
      <c r="N10" s="14"/>
      <c r="O10" s="14">
        <f t="shared" si="7"/>
        <v>39.378490121855798</v>
      </c>
      <c r="P10" s="32">
        <f t="shared" si="8"/>
        <v>0.77560972209939427</v>
      </c>
      <c r="Q10" s="69"/>
      <c r="R10" s="69"/>
      <c r="S10" s="32">
        <f t="shared" si="9"/>
        <v>1.6484450431822961</v>
      </c>
      <c r="T10" s="14">
        <f t="shared" si="10"/>
        <v>0.35155495681770377</v>
      </c>
      <c r="U10" s="14">
        <f t="shared" si="11"/>
        <v>1.3242225215911481</v>
      </c>
      <c r="V10" s="14">
        <f t="shared" si="12"/>
        <v>0.67577747840885194</v>
      </c>
      <c r="W10" s="4"/>
      <c r="X10" s="52">
        <f t="shared" si="13"/>
        <v>0.94757598029889478</v>
      </c>
      <c r="Y10" s="4"/>
      <c r="Z10" s="4"/>
      <c r="AA10" s="4"/>
    </row>
    <row r="11" spans="1:27" ht="18.5" x14ac:dyDescent="0.45">
      <c r="A11" s="3" t="s">
        <v>30</v>
      </c>
      <c r="B11" s="82">
        <v>9.81</v>
      </c>
      <c r="C11" s="82"/>
      <c r="D11" s="14">
        <v>44.065946428788116</v>
      </c>
      <c r="E11" s="14">
        <f t="shared" si="0"/>
        <v>85.657149306135494</v>
      </c>
      <c r="F11" s="14">
        <f t="shared" si="1"/>
        <v>0.2428680974967691</v>
      </c>
      <c r="G11" s="14">
        <f t="shared" si="2"/>
        <v>24.840241131364976</v>
      </c>
      <c r="H11" s="32">
        <v>1</v>
      </c>
      <c r="I11" s="14">
        <f t="shared" si="3"/>
        <v>2.2000000000000002</v>
      </c>
      <c r="J11" s="14">
        <f t="shared" si="4"/>
        <v>-1.1000000000000001</v>
      </c>
      <c r="K11" s="14">
        <f t="shared" si="5"/>
        <v>1.0000055831355428</v>
      </c>
      <c r="L11" s="14">
        <f t="shared" si="6"/>
        <v>-0.50000279156777139</v>
      </c>
      <c r="M11" s="32"/>
      <c r="N11" s="14"/>
      <c r="O11" s="14">
        <f t="shared" si="7"/>
        <v>39.378490121855798</v>
      </c>
      <c r="P11" s="32">
        <f t="shared" si="8"/>
        <v>0.77560972209939427</v>
      </c>
      <c r="Q11" s="69"/>
      <c r="R11" s="69"/>
      <c r="S11" s="32">
        <f t="shared" si="9"/>
        <v>1.7143586133721067</v>
      </c>
      <c r="T11" s="14">
        <f t="shared" si="10"/>
        <v>0.2856413866278934</v>
      </c>
      <c r="U11" s="14">
        <f t="shared" si="11"/>
        <v>1.3571793066860534</v>
      </c>
      <c r="V11" s="14">
        <f t="shared" si="12"/>
        <v>0.64282069331394665</v>
      </c>
      <c r="W11" s="4"/>
      <c r="X11" s="52">
        <f t="shared" si="13"/>
        <v>1.150006420605874</v>
      </c>
      <c r="Y11" s="4"/>
      <c r="Z11" s="4"/>
      <c r="AA11" s="4"/>
    </row>
    <row r="12" spans="1:27" ht="18.5" x14ac:dyDescent="0.45">
      <c r="A12" s="3" t="s">
        <v>31</v>
      </c>
      <c r="B12" s="82">
        <v>16.97</v>
      </c>
      <c r="C12" s="82"/>
      <c r="D12" s="14">
        <v>58.115916439619397</v>
      </c>
      <c r="E12" s="14">
        <f t="shared" si="0"/>
        <v>112.96804301198976</v>
      </c>
      <c r="F12" s="14">
        <f t="shared" si="1"/>
        <v>0.32030407159825841</v>
      </c>
      <c r="G12" s="14">
        <f t="shared" si="2"/>
        <v>43.205574509650909</v>
      </c>
      <c r="H12" s="32">
        <v>1</v>
      </c>
      <c r="I12" s="14">
        <f t="shared" si="3"/>
        <v>2.2000000000000002</v>
      </c>
      <c r="J12" s="14">
        <f t="shared" si="4"/>
        <v>-1.1000000000000001</v>
      </c>
      <c r="K12" s="14">
        <f t="shared" si="5"/>
        <v>1.7393476779770467</v>
      </c>
      <c r="L12" s="14">
        <f t="shared" si="6"/>
        <v>-0.86967383898852335</v>
      </c>
      <c r="M12" s="32"/>
      <c r="N12" s="14"/>
      <c r="O12" s="14">
        <f t="shared" si="7"/>
        <v>39.378490121855798</v>
      </c>
      <c r="P12" s="32">
        <f t="shared" si="8"/>
        <v>0.77560972209939427</v>
      </c>
      <c r="Q12" s="69"/>
      <c r="R12" s="69"/>
      <c r="S12" s="32">
        <f t="shared" si="9"/>
        <v>1.9421244486316929</v>
      </c>
      <c r="T12" s="14">
        <f t="shared" si="10"/>
        <v>5.7875551368307021E-2</v>
      </c>
      <c r="U12" s="14">
        <f t="shared" si="11"/>
        <v>1.4710622243158464</v>
      </c>
      <c r="V12" s="14">
        <f t="shared" si="12"/>
        <v>0.52893777568415357</v>
      </c>
      <c r="W12" s="4"/>
      <c r="X12" s="52">
        <f t="shared" si="13"/>
        <v>2.0002498296736038</v>
      </c>
      <c r="Y12" s="4"/>
      <c r="Z12" s="4"/>
      <c r="AA12" s="4"/>
    </row>
    <row r="13" spans="1:27" ht="18.5" x14ac:dyDescent="0.45">
      <c r="A13" s="3" t="s">
        <v>32</v>
      </c>
      <c r="B13" s="82">
        <v>34.35</v>
      </c>
      <c r="C13" s="82"/>
      <c r="D13" s="14">
        <v>62.338846611224064</v>
      </c>
      <c r="E13" s="14">
        <f t="shared" si="0"/>
        <v>121.17674359676178</v>
      </c>
      <c r="F13" s="14">
        <f t="shared" si="1"/>
        <v>0.34357862030894493</v>
      </c>
      <c r="G13" s="14">
        <f t="shared" si="2"/>
        <v>49.712674509017134</v>
      </c>
      <c r="H13" s="32">
        <v>1</v>
      </c>
      <c r="I13" s="14">
        <f t="shared" si="3"/>
        <v>2.2000000000000002</v>
      </c>
      <c r="J13" s="14">
        <f t="shared" si="4"/>
        <v>-1.1000000000000001</v>
      </c>
      <c r="K13" s="14">
        <f t="shared" si="5"/>
        <v>2.0013071450762272</v>
      </c>
      <c r="L13" s="14">
        <f t="shared" si="6"/>
        <v>-1.0006535725381136</v>
      </c>
      <c r="M13" s="32"/>
      <c r="N13" s="14"/>
      <c r="O13" s="14">
        <f t="shared" si="7"/>
        <v>39.378490121855798</v>
      </c>
      <c r="P13" s="32">
        <f t="shared" si="8"/>
        <v>0.77560972209939427</v>
      </c>
      <c r="Q13" s="69"/>
      <c r="R13" s="69"/>
      <c r="S13" s="32">
        <f t="shared" si="9"/>
        <v>2.0105829020687436</v>
      </c>
      <c r="T13" s="14">
        <f t="shared" si="10"/>
        <v>-1.0582902068743572E-2</v>
      </c>
      <c r="U13" s="14">
        <f t="shared" si="11"/>
        <v>1.5052914510343718</v>
      </c>
      <c r="V13" s="14">
        <f t="shared" si="12"/>
        <v>0.49470854896562821</v>
      </c>
      <c r="W13" s="4"/>
      <c r="X13" s="4"/>
      <c r="Y13" s="4"/>
      <c r="Z13" s="4"/>
      <c r="AA13" s="4"/>
    </row>
    <row r="14" spans="1:27" ht="18.5" x14ac:dyDescent="0.45">
      <c r="A14" s="3" t="s">
        <v>33</v>
      </c>
      <c r="B14" s="100">
        <f>B5/B13</f>
        <v>266.72489082969429</v>
      </c>
      <c r="C14" s="101"/>
      <c r="D14" s="14">
        <v>74.912593215009963</v>
      </c>
      <c r="E14" s="14">
        <f t="shared" si="0"/>
        <v>145.61809519506497</v>
      </c>
      <c r="F14" s="14">
        <f t="shared" si="1"/>
        <v>0.41287843487216808</v>
      </c>
      <c r="G14" s="14">
        <f t="shared" si="2"/>
        <v>71.78922505562295</v>
      </c>
      <c r="H14" s="32">
        <v>1</v>
      </c>
      <c r="I14" s="14">
        <f t="shared" si="3"/>
        <v>2.2000000000000002</v>
      </c>
      <c r="J14" s="14">
        <f t="shared" si="4"/>
        <v>-1.1000000000000001</v>
      </c>
      <c r="K14" s="14">
        <f t="shared" si="5"/>
        <v>2.8900535016928837</v>
      </c>
      <c r="L14" s="14">
        <f t="shared" si="6"/>
        <v>-1.4450267508464418</v>
      </c>
      <c r="M14" s="32"/>
      <c r="N14" s="14"/>
      <c r="O14" s="14">
        <f t="shared" si="7"/>
        <v>39.378490121855798</v>
      </c>
      <c r="P14" s="32">
        <f t="shared" si="8"/>
        <v>0.77560972209939427</v>
      </c>
      <c r="Q14" s="69"/>
      <c r="R14" s="69"/>
      <c r="S14" s="32">
        <f t="shared" si="9"/>
        <v>2.2144174935551231</v>
      </c>
      <c r="T14" s="14">
        <f t="shared" si="10"/>
        <v>-0.2144174935551233</v>
      </c>
      <c r="U14" s="14">
        <f t="shared" si="11"/>
        <v>1.6072087467775615</v>
      </c>
      <c r="V14" s="14">
        <f t="shared" si="12"/>
        <v>0.39279125322243835</v>
      </c>
      <c r="W14" s="4"/>
      <c r="X14" s="4"/>
      <c r="Y14" s="4"/>
      <c r="Z14" s="4"/>
      <c r="AA14" s="4"/>
    </row>
    <row r="15" spans="1:27" ht="18.5" x14ac:dyDescent="0.45">
      <c r="A15" s="3" t="s">
        <v>34</v>
      </c>
      <c r="B15" s="100">
        <f>2.1+(24000/(B4+10000))</f>
        <v>2.8947343830304164</v>
      </c>
      <c r="C15" s="101"/>
      <c r="D15" s="14">
        <v>90</v>
      </c>
      <c r="E15" s="14">
        <f t="shared" si="0"/>
        <v>174.94560000000001</v>
      </c>
      <c r="F15" s="14">
        <f t="shared" si="1"/>
        <v>0.49603220958915767</v>
      </c>
      <c r="G15" s="14">
        <f t="shared" si="2"/>
        <v>103.61786078711474</v>
      </c>
      <c r="H15" s="32">
        <v>1</v>
      </c>
      <c r="I15" s="14">
        <f t="shared" si="3"/>
        <v>2.2000000000000002</v>
      </c>
      <c r="J15" s="14">
        <f t="shared" si="4"/>
        <v>-1.1000000000000001</v>
      </c>
      <c r="K15" s="14">
        <f t="shared" si="5"/>
        <v>4.1713942610983947</v>
      </c>
      <c r="L15" s="14">
        <f t="shared" si="6"/>
        <v>-2.0856971305491974</v>
      </c>
      <c r="M15" s="32"/>
      <c r="N15" s="14"/>
      <c r="O15" s="14">
        <f t="shared" si="7"/>
        <v>39.378490121855798</v>
      </c>
      <c r="P15" s="32">
        <f t="shared" si="8"/>
        <v>0.77560972209939427</v>
      </c>
      <c r="Q15" s="69"/>
      <c r="R15" s="69"/>
      <c r="S15" s="32">
        <f t="shared" si="9"/>
        <v>2.4590013471601662</v>
      </c>
      <c r="T15" s="14">
        <f t="shared" si="10"/>
        <v>-0.45900134716016638</v>
      </c>
      <c r="U15" s="14">
        <f t="shared" si="11"/>
        <v>1.7295006735800831</v>
      </c>
      <c r="V15" s="14">
        <f t="shared" si="12"/>
        <v>0.27049932641991681</v>
      </c>
      <c r="W15" s="4"/>
      <c r="X15" s="4"/>
      <c r="Y15" s="4"/>
      <c r="Z15" s="4"/>
      <c r="AA15" s="4"/>
    </row>
    <row r="16" spans="1:27" ht="18.5" x14ac:dyDescent="0.45">
      <c r="A16" s="3" t="s">
        <v>35</v>
      </c>
      <c r="B16" s="100">
        <v>-1</v>
      </c>
      <c r="C16" s="101"/>
      <c r="D16" s="14">
        <v>100</v>
      </c>
      <c r="E16" s="14">
        <f t="shared" si="0"/>
        <v>194.38400000000001</v>
      </c>
      <c r="F16" s="14">
        <f t="shared" si="1"/>
        <v>0.55114689954350848</v>
      </c>
      <c r="G16" s="14">
        <f t="shared" si="2"/>
        <v>127.92328492236386</v>
      </c>
      <c r="H16" s="32">
        <v>1</v>
      </c>
      <c r="I16" s="14">
        <f t="shared" si="3"/>
        <v>2.2000000000000002</v>
      </c>
      <c r="J16" s="14">
        <f t="shared" si="4"/>
        <v>-1.1000000000000001</v>
      </c>
      <c r="K16" s="14">
        <f t="shared" si="5"/>
        <v>5.1498694581461661</v>
      </c>
      <c r="L16" s="14">
        <f t="shared" si="6"/>
        <v>-2.5749347290730831</v>
      </c>
      <c r="M16" s="32"/>
      <c r="N16" s="14"/>
      <c r="O16" s="14">
        <f t="shared" si="7"/>
        <v>39.378490121855798</v>
      </c>
      <c r="P16" s="32">
        <f t="shared" si="8"/>
        <v>0.77560972209939427</v>
      </c>
      <c r="Q16" s="69"/>
      <c r="R16" s="69"/>
      <c r="S16" s="32">
        <f t="shared" si="9"/>
        <v>2.6211126079557405</v>
      </c>
      <c r="T16" s="14">
        <f t="shared" si="10"/>
        <v>-0.62111260795574053</v>
      </c>
      <c r="U16" s="14">
        <f t="shared" si="11"/>
        <v>1.8105563039778703</v>
      </c>
      <c r="V16" s="14">
        <f t="shared" si="12"/>
        <v>0.18944369602212974</v>
      </c>
      <c r="W16" s="4"/>
      <c r="X16" s="4"/>
      <c r="Y16" s="4"/>
      <c r="Z16" s="4"/>
      <c r="AA16" s="4"/>
    </row>
    <row r="17" spans="1:27" ht="18.5" x14ac:dyDescent="0.45">
      <c r="A17" s="3" t="s">
        <v>36</v>
      </c>
      <c r="B17" s="82">
        <v>8.4</v>
      </c>
      <c r="C17" s="82"/>
      <c r="D17" s="14">
        <v>110</v>
      </c>
      <c r="E17" s="14">
        <f t="shared" si="0"/>
        <v>213.82239999999999</v>
      </c>
      <c r="F17" s="14">
        <f t="shared" si="1"/>
        <v>0.60626158949785924</v>
      </c>
      <c r="G17" s="14">
        <f t="shared" si="2"/>
        <v>154.7871747560603</v>
      </c>
      <c r="H17" s="32">
        <v>1</v>
      </c>
      <c r="I17" s="14">
        <f t="shared" si="3"/>
        <v>2.2000000000000002</v>
      </c>
      <c r="J17" s="14">
        <f t="shared" si="4"/>
        <v>-1.1000000000000001</v>
      </c>
      <c r="K17" s="14">
        <f t="shared" si="5"/>
        <v>6.231342044356861</v>
      </c>
      <c r="L17" s="14">
        <f t="shared" si="6"/>
        <v>-3.1156710221784305</v>
      </c>
      <c r="M17" s="32"/>
      <c r="N17" s="14"/>
      <c r="O17" s="14">
        <f t="shared" si="7"/>
        <v>39.378490121855798</v>
      </c>
      <c r="P17" s="32">
        <f t="shared" si="8"/>
        <v>0.77560972209939427</v>
      </c>
      <c r="Q17" s="69"/>
      <c r="R17" s="69"/>
      <c r="S17" s="32">
        <f t="shared" si="9"/>
        <v>2.7832238687513149</v>
      </c>
      <c r="T17" s="14">
        <f t="shared" si="10"/>
        <v>-0.78322386875131467</v>
      </c>
      <c r="U17" s="14">
        <f t="shared" si="11"/>
        <v>1.8916119343756574</v>
      </c>
      <c r="V17" s="14">
        <f t="shared" si="12"/>
        <v>0.10838806562434267</v>
      </c>
      <c r="W17" s="4"/>
      <c r="X17" s="4"/>
      <c r="Y17" s="4"/>
      <c r="Z17" s="4"/>
      <c r="AA17" s="4"/>
    </row>
    <row r="18" spans="1:27" ht="18.5" x14ac:dyDescent="0.45">
      <c r="A18" s="3" t="s">
        <v>37</v>
      </c>
      <c r="B18" s="100">
        <v>0.2</v>
      </c>
      <c r="C18" s="101"/>
      <c r="D18" s="14">
        <v>120</v>
      </c>
      <c r="E18" s="14">
        <f t="shared" si="0"/>
        <v>233.26079999999999</v>
      </c>
      <c r="F18" s="14">
        <f t="shared" si="1"/>
        <v>0.66137627945221011</v>
      </c>
      <c r="G18" s="14">
        <f t="shared" si="2"/>
        <v>184.20953028820398</v>
      </c>
      <c r="H18" s="32">
        <v>1</v>
      </c>
      <c r="I18" s="14">
        <f t="shared" si="3"/>
        <v>2.2000000000000002</v>
      </c>
      <c r="J18" s="14">
        <f t="shared" si="4"/>
        <v>-1.1000000000000001</v>
      </c>
      <c r="K18" s="14">
        <f t="shared" si="5"/>
        <v>7.4158120197304784</v>
      </c>
      <c r="L18" s="14">
        <f t="shared" si="6"/>
        <v>-3.7079060098652392</v>
      </c>
      <c r="M18" s="32"/>
      <c r="N18" s="14"/>
      <c r="O18" s="14">
        <f t="shared" si="7"/>
        <v>39.378490121855798</v>
      </c>
      <c r="P18" s="32">
        <f t="shared" si="8"/>
        <v>0.77560972209939427</v>
      </c>
      <c r="Q18" s="69"/>
      <c r="R18" s="69"/>
      <c r="S18" s="32">
        <f t="shared" si="9"/>
        <v>2.9453351295468888</v>
      </c>
      <c r="T18" s="14">
        <f t="shared" si="10"/>
        <v>-0.94533512954688881</v>
      </c>
      <c r="U18" s="14">
        <f t="shared" si="11"/>
        <v>1.9726675647734444</v>
      </c>
      <c r="V18" s="14">
        <f t="shared" si="12"/>
        <v>2.7332435226555596E-2</v>
      </c>
      <c r="W18" s="4"/>
      <c r="X18" s="4"/>
      <c r="Y18" s="4"/>
      <c r="Z18" s="4"/>
      <c r="AA18" s="4"/>
    </row>
    <row r="19" spans="1:27" ht="18.5" x14ac:dyDescent="0.45">
      <c r="A19" s="3" t="s">
        <v>38</v>
      </c>
      <c r="B19" s="82">
        <v>0</v>
      </c>
      <c r="C19" s="82"/>
      <c r="D19" s="14">
        <v>130</v>
      </c>
      <c r="E19" s="14">
        <f t="shared" si="0"/>
        <v>252.69919999999999</v>
      </c>
      <c r="F19" s="14">
        <f t="shared" si="1"/>
        <v>0.71649096940656098</v>
      </c>
      <c r="G19" s="14">
        <f t="shared" si="2"/>
        <v>216.19035151879493</v>
      </c>
      <c r="H19" s="32">
        <v>1</v>
      </c>
      <c r="I19" s="14">
        <f t="shared" si="3"/>
        <v>2.2000000000000002</v>
      </c>
      <c r="J19" s="14">
        <f t="shared" si="4"/>
        <v>-1.1000000000000001</v>
      </c>
      <c r="K19" s="14">
        <f t="shared" si="5"/>
        <v>8.703279384267022</v>
      </c>
      <c r="L19" s="14">
        <f t="shared" si="6"/>
        <v>-4.351639692133511</v>
      </c>
      <c r="M19" s="14"/>
      <c r="N19" s="14"/>
      <c r="O19" s="14">
        <f t="shared" si="7"/>
        <v>39.378490121855798</v>
      </c>
      <c r="P19" s="32">
        <f t="shared" si="8"/>
        <v>0.77560972209939427</v>
      </c>
      <c r="Q19" s="69"/>
      <c r="R19" s="69"/>
      <c r="S19" s="32">
        <f t="shared" si="9"/>
        <v>3.1074463903424632</v>
      </c>
      <c r="T19" s="14">
        <f t="shared" si="10"/>
        <v>-1.1074463903424632</v>
      </c>
      <c r="U19" s="14">
        <f t="shared" si="11"/>
        <v>2.0537231951712318</v>
      </c>
      <c r="V19" s="14">
        <f t="shared" si="12"/>
        <v>-5.3723195171231586E-2</v>
      </c>
      <c r="W19" s="6"/>
      <c r="X19" s="4"/>
      <c r="Y19" s="4"/>
      <c r="Z19" s="4"/>
      <c r="AA19" s="4"/>
    </row>
    <row r="20" spans="1:27" ht="18.5" x14ac:dyDescent="0.45">
      <c r="A20" s="3" t="s">
        <v>39</v>
      </c>
      <c r="B20" s="82">
        <v>1</v>
      </c>
      <c r="C20" s="82"/>
      <c r="D20" s="14">
        <v>140</v>
      </c>
      <c r="E20" s="14">
        <f t="shared" si="0"/>
        <v>272.13760000000002</v>
      </c>
      <c r="F20" s="14">
        <f t="shared" si="1"/>
        <v>0.77160565936091197</v>
      </c>
      <c r="G20" s="14">
        <f t="shared" si="2"/>
        <v>250.7296384478332</v>
      </c>
      <c r="H20" s="32">
        <v>1</v>
      </c>
      <c r="I20" s="14">
        <f t="shared" si="3"/>
        <v>2.2000000000000002</v>
      </c>
      <c r="J20" s="14">
        <f t="shared" si="4"/>
        <v>-1.1000000000000001</v>
      </c>
      <c r="K20" s="14">
        <f t="shared" si="5"/>
        <v>10.093744137966487</v>
      </c>
      <c r="L20" s="14">
        <f t="shared" si="6"/>
        <v>-5.0468720689832436</v>
      </c>
      <c r="M20" s="14"/>
      <c r="N20" s="14"/>
      <c r="O20" s="14">
        <f t="shared" si="7"/>
        <v>39.378490121855798</v>
      </c>
      <c r="P20" s="32">
        <f t="shared" si="8"/>
        <v>0.77560972209939427</v>
      </c>
      <c r="Q20" s="69"/>
      <c r="R20" s="69"/>
      <c r="S20" s="32">
        <f t="shared" si="9"/>
        <v>3.2695576511380366</v>
      </c>
      <c r="T20" s="14">
        <f t="shared" si="10"/>
        <v>-1.2695576511380366</v>
      </c>
      <c r="U20" s="14">
        <f t="shared" si="11"/>
        <v>2.1347788255690183</v>
      </c>
      <c r="V20" s="14">
        <f t="shared" si="12"/>
        <v>-0.13477882556901832</v>
      </c>
      <c r="W20" s="6"/>
      <c r="X20" s="4"/>
      <c r="Y20" s="4"/>
      <c r="Z20" s="4"/>
      <c r="AA20" s="4"/>
    </row>
    <row r="21" spans="1:27" ht="18" customHeight="1" x14ac:dyDescent="0.45">
      <c r="A21" s="3" t="s">
        <v>40</v>
      </c>
      <c r="B21" s="82">
        <v>0</v>
      </c>
      <c r="C21" s="82"/>
      <c r="D21" s="14">
        <v>150</v>
      </c>
      <c r="E21" s="14">
        <f t="shared" si="0"/>
        <v>291.57600000000002</v>
      </c>
      <c r="F21" s="14">
        <f t="shared" si="1"/>
        <v>0.82672034931526273</v>
      </c>
      <c r="G21" s="14">
        <f t="shared" si="2"/>
        <v>287.82739107531876</v>
      </c>
      <c r="H21" s="32">
        <v>1</v>
      </c>
      <c r="I21" s="14">
        <f t="shared" si="3"/>
        <v>2.2000000000000002</v>
      </c>
      <c r="J21" s="14">
        <f t="shared" si="4"/>
        <v>-1.1000000000000001</v>
      </c>
      <c r="K21" s="14">
        <f t="shared" si="5"/>
        <v>11.587206280828877</v>
      </c>
      <c r="L21" s="14">
        <f t="shared" si="6"/>
        <v>-5.7936031404144384</v>
      </c>
      <c r="M21" s="14"/>
      <c r="N21" s="14"/>
      <c r="O21" s="14">
        <f t="shared" si="7"/>
        <v>39.378490121855798</v>
      </c>
      <c r="P21" s="32">
        <f t="shared" si="8"/>
        <v>0.77560972209939427</v>
      </c>
      <c r="Q21" s="69"/>
      <c r="R21" s="69"/>
      <c r="S21" s="32">
        <f t="shared" si="9"/>
        <v>3.4316689119336115</v>
      </c>
      <c r="T21" s="14">
        <f t="shared" si="10"/>
        <v>-1.4316689119336115</v>
      </c>
      <c r="U21" s="14">
        <f t="shared" si="11"/>
        <v>2.2158344559668057</v>
      </c>
      <c r="V21" s="14">
        <f t="shared" si="12"/>
        <v>-0.21583445596680573</v>
      </c>
      <c r="W21" s="6"/>
      <c r="X21" s="4"/>
      <c r="Y21" s="4"/>
      <c r="Z21" s="4"/>
      <c r="AA21" s="4"/>
    </row>
    <row r="22" spans="1:27" ht="18.5" x14ac:dyDescent="0.45">
      <c r="A22" s="3" t="s">
        <v>41</v>
      </c>
      <c r="B22" s="82">
        <v>1</v>
      </c>
      <c r="C22" s="82"/>
      <c r="D22" s="14">
        <v>160</v>
      </c>
      <c r="E22" s="14">
        <f t="shared" si="0"/>
        <v>311.01440000000002</v>
      </c>
      <c r="F22" s="14">
        <f t="shared" si="1"/>
        <v>0.8818350392696136</v>
      </c>
      <c r="G22" s="14">
        <f t="shared" si="2"/>
        <v>327.48360940125156</v>
      </c>
      <c r="H22" s="32">
        <v>1</v>
      </c>
      <c r="I22" s="14">
        <f t="shared" si="3"/>
        <v>2.2000000000000002</v>
      </c>
      <c r="J22" s="14">
        <f t="shared" si="4"/>
        <v>-1.1000000000000001</v>
      </c>
      <c r="K22" s="14">
        <f t="shared" si="5"/>
        <v>13.183665812854187</v>
      </c>
      <c r="L22" s="14">
        <f t="shared" si="6"/>
        <v>-6.5918329064270935</v>
      </c>
      <c r="M22" s="14"/>
      <c r="N22" s="14"/>
      <c r="O22" s="14">
        <f t="shared" si="7"/>
        <v>39.378490121855798</v>
      </c>
      <c r="P22" s="32">
        <f t="shared" si="8"/>
        <v>0.77560972209939427</v>
      </c>
      <c r="Q22" s="69"/>
      <c r="R22" s="69"/>
      <c r="S22" s="32">
        <f t="shared" si="9"/>
        <v>3.5937801727291849</v>
      </c>
      <c r="T22" s="14">
        <f t="shared" si="10"/>
        <v>-1.5937801727291849</v>
      </c>
      <c r="U22" s="14">
        <f t="shared" si="11"/>
        <v>2.2968900863645922</v>
      </c>
      <c r="V22" s="14">
        <f t="shared" si="12"/>
        <v>-0.29689008636459246</v>
      </c>
      <c r="W22" s="6"/>
      <c r="X22" s="4"/>
      <c r="Y22" s="4"/>
      <c r="Z22" s="4"/>
      <c r="AA22" s="4"/>
    </row>
    <row r="23" spans="1:27" ht="18.5" x14ac:dyDescent="0.45">
      <c r="A23" s="3" t="s">
        <v>42</v>
      </c>
      <c r="B23" s="82">
        <f>B20*B17/B22</f>
        <v>8.4</v>
      </c>
      <c r="C23" s="82"/>
      <c r="D23" s="14">
        <v>170</v>
      </c>
      <c r="E23" s="14">
        <f t="shared" si="0"/>
        <v>330.45280000000002</v>
      </c>
      <c r="F23" s="14">
        <f t="shared" si="1"/>
        <v>0.93694972922396447</v>
      </c>
      <c r="G23" s="14">
        <f t="shared" si="2"/>
        <v>369.69829342563156</v>
      </c>
      <c r="H23" s="32">
        <v>1</v>
      </c>
      <c r="I23" s="14">
        <f t="shared" si="3"/>
        <v>2.2000000000000002</v>
      </c>
      <c r="J23" s="14">
        <f t="shared" si="4"/>
        <v>-1.1000000000000001</v>
      </c>
      <c r="K23" s="14">
        <f t="shared" si="5"/>
        <v>14.88312273404242</v>
      </c>
      <c r="L23" s="14">
        <f t="shared" si="6"/>
        <v>-7.44156136702121</v>
      </c>
      <c r="M23" s="14"/>
      <c r="N23" s="14"/>
      <c r="O23" s="14">
        <f t="shared" si="7"/>
        <v>39.378490121855798</v>
      </c>
      <c r="P23" s="32">
        <f t="shared" si="8"/>
        <v>0.77560972209939427</v>
      </c>
      <c r="Q23" s="69"/>
      <c r="R23" s="69"/>
      <c r="S23" s="32">
        <f t="shared" si="9"/>
        <v>3.7558914335247593</v>
      </c>
      <c r="T23" s="14">
        <f t="shared" si="10"/>
        <v>-1.7558914335247593</v>
      </c>
      <c r="U23" s="14">
        <f t="shared" si="11"/>
        <v>2.3779457167623796</v>
      </c>
      <c r="V23" s="14">
        <f t="shared" si="12"/>
        <v>-0.37794571676237965</v>
      </c>
      <c r="W23" s="6"/>
      <c r="X23" s="4"/>
      <c r="Y23" s="4"/>
      <c r="Z23" s="4"/>
      <c r="AA23" s="4"/>
    </row>
    <row r="24" spans="1:27" ht="18.5" x14ac:dyDescent="0.45">
      <c r="A24" s="3" t="s">
        <v>43</v>
      </c>
      <c r="B24" s="82">
        <v>4.7555496995900004</v>
      </c>
      <c r="C24" s="82"/>
      <c r="D24" s="14">
        <v>180</v>
      </c>
      <c r="E24" s="14">
        <f t="shared" si="0"/>
        <v>349.89120000000003</v>
      </c>
      <c r="F24" s="14">
        <f t="shared" si="1"/>
        <v>0.99206441917831534</v>
      </c>
      <c r="G24" s="14">
        <f t="shared" si="2"/>
        <v>414.47144314845895</v>
      </c>
      <c r="H24" s="32">
        <v>1</v>
      </c>
      <c r="I24" s="14">
        <f t="shared" si="3"/>
        <v>2.2000000000000002</v>
      </c>
      <c r="J24" s="14">
        <f t="shared" si="4"/>
        <v>-1.1000000000000001</v>
      </c>
      <c r="K24" s="14">
        <f t="shared" si="5"/>
        <v>16.685577044393579</v>
      </c>
      <c r="L24" s="14">
        <f t="shared" si="6"/>
        <v>-8.3427885221967895</v>
      </c>
      <c r="M24" s="14"/>
      <c r="N24" s="14"/>
      <c r="O24" s="14">
        <f t="shared" si="7"/>
        <v>39.378490121855798</v>
      </c>
      <c r="P24" s="32">
        <f t="shared" si="8"/>
        <v>0.77560972209939427</v>
      </c>
      <c r="Q24" s="69"/>
      <c r="R24" s="69"/>
      <c r="S24" s="32">
        <f t="shared" si="9"/>
        <v>3.9180026943203328</v>
      </c>
      <c r="T24" s="14">
        <f t="shared" si="10"/>
        <v>-1.9180026943203328</v>
      </c>
      <c r="U24" s="14">
        <f t="shared" si="11"/>
        <v>2.4590013471601662</v>
      </c>
      <c r="V24" s="14">
        <f t="shared" si="12"/>
        <v>-0.45900134716016638</v>
      </c>
      <c r="W24" s="6"/>
      <c r="X24" s="4"/>
      <c r="Y24" s="4"/>
      <c r="Z24" s="4"/>
      <c r="AA24" s="4"/>
    </row>
    <row r="25" spans="1:27" ht="18.5" x14ac:dyDescent="0.45">
      <c r="A25" s="3" t="s">
        <v>44</v>
      </c>
      <c r="B25" s="82">
        <f>1.1*B24</f>
        <v>5.2311046695490004</v>
      </c>
      <c r="C25" s="82"/>
      <c r="D25" s="14">
        <v>190</v>
      </c>
      <c r="E25" s="14">
        <f t="shared" si="0"/>
        <v>369.32960000000003</v>
      </c>
      <c r="F25" s="14">
        <f t="shared" si="1"/>
        <v>1.0471791091326661</v>
      </c>
      <c r="G25" s="14">
        <f t="shared" si="2"/>
        <v>461.80305856973359</v>
      </c>
      <c r="H25" s="32">
        <v>1</v>
      </c>
      <c r="I25" s="14">
        <f t="shared" si="3"/>
        <v>2.2000000000000002</v>
      </c>
      <c r="J25" s="14">
        <f t="shared" si="4"/>
        <v>-1.1000000000000001</v>
      </c>
      <c r="K25" s="14">
        <f t="shared" si="5"/>
        <v>18.59102874390766</v>
      </c>
      <c r="L25" s="14">
        <f t="shared" si="6"/>
        <v>-9.2955143719538302</v>
      </c>
      <c r="M25" s="14"/>
      <c r="N25" s="14"/>
      <c r="O25" s="14">
        <f t="shared" si="7"/>
        <v>39.378490121855798</v>
      </c>
      <c r="P25" s="32">
        <f t="shared" si="8"/>
        <v>0.77560972209939427</v>
      </c>
      <c r="Q25" s="69"/>
      <c r="R25" s="69"/>
      <c r="S25" s="32">
        <f t="shared" si="9"/>
        <v>4.0801139551159071</v>
      </c>
      <c r="T25" s="14">
        <f t="shared" si="10"/>
        <v>-2.0801139551159076</v>
      </c>
      <c r="U25" s="14">
        <f t="shared" si="11"/>
        <v>2.5400569775579536</v>
      </c>
      <c r="V25" s="14">
        <f t="shared" si="12"/>
        <v>-0.54005697755795379</v>
      </c>
      <c r="W25" s="6"/>
      <c r="X25" s="4"/>
      <c r="Y25" s="4"/>
      <c r="Z25" s="4"/>
      <c r="AA25" s="4"/>
    </row>
    <row r="26" spans="1:27" ht="18.5" x14ac:dyDescent="0.45">
      <c r="A26" s="3" t="s">
        <v>45</v>
      </c>
      <c r="B26" s="99">
        <v>1.2250000000000001</v>
      </c>
      <c r="C26" s="99"/>
      <c r="D26" s="14">
        <v>200</v>
      </c>
      <c r="E26" s="14">
        <f t="shared" si="0"/>
        <v>388.76800000000003</v>
      </c>
      <c r="F26" s="14">
        <f t="shared" si="1"/>
        <v>1.102293799087017</v>
      </c>
      <c r="G26" s="14">
        <f t="shared" si="2"/>
        <v>511.69313968945545</v>
      </c>
      <c r="H26" s="32">
        <v>1</v>
      </c>
      <c r="I26" s="14">
        <f t="shared" si="3"/>
        <v>2.2000000000000002</v>
      </c>
      <c r="J26" s="14">
        <f t="shared" si="4"/>
        <v>-1.1000000000000001</v>
      </c>
      <c r="K26" s="14">
        <f t="shared" si="5"/>
        <v>20.599477832584665</v>
      </c>
      <c r="L26" s="14">
        <f t="shared" si="6"/>
        <v>-10.299738916292332</v>
      </c>
      <c r="M26" s="14"/>
      <c r="N26" s="14"/>
      <c r="O26" s="14">
        <f t="shared" si="7"/>
        <v>39.378490121855798</v>
      </c>
      <c r="P26" s="32">
        <f t="shared" si="8"/>
        <v>0.77560972209939427</v>
      </c>
      <c r="Q26" s="69"/>
      <c r="R26" s="69"/>
      <c r="S26" s="32">
        <f t="shared" si="9"/>
        <v>4.2422252159114811</v>
      </c>
      <c r="T26" s="14">
        <f t="shared" si="10"/>
        <v>-2.2422252159114811</v>
      </c>
      <c r="U26" s="14">
        <f t="shared" si="11"/>
        <v>2.6211126079557405</v>
      </c>
      <c r="V26" s="14">
        <f t="shared" si="12"/>
        <v>-0.62111260795574053</v>
      </c>
      <c r="W26" s="6"/>
      <c r="X26" s="4"/>
      <c r="Y26" s="4"/>
      <c r="Z26" s="4"/>
      <c r="AA26" s="4"/>
    </row>
    <row r="27" spans="1:27" ht="23.5" x14ac:dyDescent="0.55000000000000004">
      <c r="A27" s="3" t="s">
        <v>46</v>
      </c>
      <c r="B27" s="82">
        <v>2.1139999999999999</v>
      </c>
      <c r="C27" s="82"/>
      <c r="D27" s="14">
        <v>210</v>
      </c>
      <c r="E27" s="14">
        <f t="shared" si="0"/>
        <v>408.20640000000003</v>
      </c>
      <c r="F27" s="14">
        <f t="shared" si="1"/>
        <v>1.1574084890413678</v>
      </c>
      <c r="G27" s="14">
        <f t="shared" si="2"/>
        <v>564.14168650762474</v>
      </c>
      <c r="H27" s="32">
        <v>1</v>
      </c>
      <c r="I27" s="14">
        <f t="shared" si="3"/>
        <v>2.2000000000000002</v>
      </c>
      <c r="J27" s="14">
        <f t="shared" si="4"/>
        <v>-1.1000000000000001</v>
      </c>
      <c r="K27" s="14">
        <f t="shared" si="5"/>
        <v>22.710924310424595</v>
      </c>
      <c r="L27" s="14">
        <f t="shared" si="6"/>
        <v>-11.355462155212297</v>
      </c>
      <c r="M27" s="14"/>
      <c r="N27" s="14"/>
      <c r="O27" s="14">
        <f t="shared" si="7"/>
        <v>39.378490121855798</v>
      </c>
      <c r="P27" s="32">
        <f t="shared" si="8"/>
        <v>0.77560972209939427</v>
      </c>
      <c r="Q27" s="69"/>
      <c r="R27" s="69"/>
      <c r="S27" s="32">
        <f t="shared" si="9"/>
        <v>4.404336476707055</v>
      </c>
      <c r="T27" s="14">
        <f t="shared" si="10"/>
        <v>-2.4043364767070554</v>
      </c>
      <c r="U27" s="14">
        <f t="shared" si="11"/>
        <v>2.7021682383535275</v>
      </c>
      <c r="V27" s="14">
        <f t="shared" si="12"/>
        <v>-0.70216823835352771</v>
      </c>
      <c r="W27" s="36"/>
      <c r="X27" s="4"/>
      <c r="Y27" s="4"/>
      <c r="Z27" s="4"/>
      <c r="AA27" s="4"/>
    </row>
    <row r="28" spans="1:27" ht="18.5" x14ac:dyDescent="0.45">
      <c r="A28" s="3" t="s">
        <v>47</v>
      </c>
      <c r="B28" s="82">
        <v>-1.1000000000000001</v>
      </c>
      <c r="C28" s="82"/>
      <c r="D28" s="14">
        <f>0.514444*B7</f>
        <v>136.33912594072723</v>
      </c>
      <c r="E28" s="14">
        <f t="shared" si="0"/>
        <v>265.02144656862322</v>
      </c>
      <c r="F28" s="14">
        <f t="shared" si="1"/>
        <v>0.75142886548703736</v>
      </c>
      <c r="G28" s="14">
        <f t="shared" si="2"/>
        <v>237.78837223015253</v>
      </c>
      <c r="H28" s="32">
        <v>1</v>
      </c>
      <c r="I28" s="14">
        <f t="shared" si="3"/>
        <v>2.2000000000000002</v>
      </c>
      <c r="J28" s="14">
        <f t="shared" si="4"/>
        <v>-1.1000000000000001</v>
      </c>
      <c r="K28" s="14">
        <f t="shared" si="5"/>
        <v>9.572761334213288</v>
      </c>
      <c r="L28" s="14">
        <f t="shared" si="6"/>
        <v>-4.786380667106644</v>
      </c>
      <c r="M28" s="14"/>
      <c r="N28" s="14"/>
      <c r="O28" s="14">
        <f t="shared" si="7"/>
        <v>39.378490121855798</v>
      </c>
      <c r="P28" s="32">
        <f t="shared" si="8"/>
        <v>0.77560972209939427</v>
      </c>
      <c r="Q28" s="69"/>
      <c r="R28" s="69"/>
      <c r="S28" s="32">
        <f t="shared" si="9"/>
        <v>3.2102107602017851</v>
      </c>
      <c r="T28" s="14">
        <f t="shared" si="10"/>
        <v>-1.2102107602017851</v>
      </c>
      <c r="U28" s="14">
        <f t="shared" si="11"/>
        <v>2.1051053801008925</v>
      </c>
      <c r="V28" s="14">
        <f t="shared" si="12"/>
        <v>-0.10510538010089254</v>
      </c>
      <c r="W28" s="4"/>
      <c r="X28" s="4"/>
      <c r="Y28" s="4"/>
      <c r="Z28" s="4"/>
      <c r="AA28" s="4"/>
    </row>
    <row r="29" spans="1:27" ht="18.5" x14ac:dyDescent="0.45">
      <c r="A29" s="7"/>
      <c r="B29" s="8"/>
      <c r="C29" s="8"/>
      <c r="D29" s="14">
        <v>283.58749999999998</v>
      </c>
      <c r="E29" s="14">
        <v>551.25</v>
      </c>
      <c r="F29" s="14">
        <f t="shared" si="1"/>
        <v>1.5629873259803226</v>
      </c>
      <c r="G29" s="14">
        <f t="shared" si="2"/>
        <v>1028.782980998732</v>
      </c>
      <c r="H29" s="32">
        <v>2</v>
      </c>
      <c r="I29" s="14">
        <f t="shared" si="3"/>
        <v>4.4000000000000004</v>
      </c>
      <c r="J29" s="14">
        <f t="shared" si="4"/>
        <v>-1.1000000000000001</v>
      </c>
      <c r="K29" s="14">
        <f t="shared" si="5"/>
        <v>82.832426576933699</v>
      </c>
      <c r="L29" s="14">
        <f t="shared" si="6"/>
        <v>-20.708106644233425</v>
      </c>
      <c r="M29" s="14"/>
      <c r="N29" s="14"/>
      <c r="O29" s="14">
        <f t="shared" si="7"/>
        <v>39.378490121855798</v>
      </c>
      <c r="P29" s="32">
        <f t="shared" si="8"/>
        <v>0.77560972209939427</v>
      </c>
      <c r="Q29" s="14"/>
      <c r="S29" s="6"/>
      <c r="T29" s="14"/>
      <c r="U29" s="14">
        <f t="shared" si="11"/>
        <v>3.2986363585432432</v>
      </c>
      <c r="V29" s="14">
        <f t="shared" si="12"/>
        <v>-1.2986363585432432</v>
      </c>
      <c r="W29" s="4"/>
      <c r="X29" s="4"/>
      <c r="Y29" s="4"/>
      <c r="Z29" s="4"/>
      <c r="AA29" s="4"/>
    </row>
    <row r="30" spans="1:27" ht="23.5" x14ac:dyDescent="0.55000000000000004">
      <c r="A30" s="45" t="s">
        <v>48</v>
      </c>
      <c r="B30" s="89" t="s">
        <v>49</v>
      </c>
      <c r="C30" s="89"/>
      <c r="D30" s="46" t="s">
        <v>50</v>
      </c>
      <c r="E30" s="14"/>
      <c r="F30" s="14"/>
      <c r="G30" s="14" t="s">
        <v>49</v>
      </c>
      <c r="H30" s="14" t="s">
        <v>50</v>
      </c>
      <c r="I30" s="14"/>
      <c r="J30" s="14"/>
      <c r="K30" s="14"/>
      <c r="L30" s="29"/>
      <c r="M30" s="14"/>
      <c r="N30" s="14"/>
      <c r="O30" s="14"/>
      <c r="P30" s="14"/>
      <c r="Q30" s="14"/>
      <c r="R30" s="34"/>
      <c r="S30" s="37"/>
      <c r="T30" s="14"/>
      <c r="U30" s="14"/>
      <c r="V30" s="14"/>
      <c r="W30" s="4"/>
      <c r="X30" s="4"/>
      <c r="Y30" s="4"/>
      <c r="Z30" s="4"/>
      <c r="AA30" s="4"/>
    </row>
    <row r="31" spans="1:27" ht="18.5" x14ac:dyDescent="0.45">
      <c r="A31" s="47" t="s">
        <v>51</v>
      </c>
      <c r="B31" s="85">
        <f>SQRT((2*B5*B11)/(B26*B13*B10))*1.94384</f>
        <v>85.656910189399369</v>
      </c>
      <c r="C31" s="85"/>
      <c r="D31" s="31">
        <f>SQRT((2*B5*B11)/(B26*B13*-B28))*1.94384</f>
        <v>121.13716410082274</v>
      </c>
      <c r="E31" s="30"/>
      <c r="F31" s="30" t="s">
        <v>52</v>
      </c>
      <c r="G31" s="14">
        <f>SQRT((2*B5*B11)/(B26*B13*2.2))</f>
        <v>44.065823416227346</v>
      </c>
      <c r="H31" s="14">
        <f>SQRT((2*B5*B11)/(B26*B13*1.1))</f>
        <v>62.318485112366623</v>
      </c>
      <c r="I31" s="14"/>
      <c r="J31" s="14"/>
      <c r="K31" s="14"/>
      <c r="L31" s="29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4"/>
      <c r="X31" s="4"/>
      <c r="Y31" s="4"/>
      <c r="Z31" s="4"/>
      <c r="AA31" s="4"/>
    </row>
    <row r="32" spans="1:27" ht="23.5" x14ac:dyDescent="0.55000000000000004">
      <c r="A32" s="48" t="s">
        <v>53</v>
      </c>
      <c r="B32" s="85">
        <f>1.944*G32</f>
        <v>79.882055265377986</v>
      </c>
      <c r="C32" s="85"/>
      <c r="D32" s="14"/>
      <c r="E32" s="14"/>
      <c r="F32" s="14" t="s">
        <v>54</v>
      </c>
      <c r="G32" s="14">
        <f>SQRT((2*B5*B11)/(B26*B13*2.2*1.15))</f>
        <v>41.091592214700611</v>
      </c>
      <c r="H32" s="14"/>
      <c r="I32" s="14"/>
      <c r="J32" s="14"/>
      <c r="K32" s="14"/>
      <c r="L32" s="29"/>
      <c r="M32" s="14"/>
      <c r="N32" s="14"/>
      <c r="O32" s="14"/>
      <c r="P32" s="14"/>
      <c r="Q32" s="14"/>
      <c r="R32" s="35"/>
      <c r="S32" s="15"/>
      <c r="T32" s="14"/>
      <c r="U32" s="14"/>
      <c r="V32" s="14"/>
      <c r="W32" s="4"/>
      <c r="X32" s="4"/>
      <c r="Y32" s="4"/>
      <c r="Z32" s="4"/>
      <c r="AA32" s="4"/>
    </row>
    <row r="33" spans="1:27" ht="18.5" x14ac:dyDescent="0.45">
      <c r="A33" s="48" t="s">
        <v>55</v>
      </c>
      <c r="B33" s="85">
        <f>B31*SQRT(B15)</f>
        <v>145.73597281391403</v>
      </c>
      <c r="C33" s="85"/>
      <c r="D33" s="31">
        <f>D31*SQRT(B16*-1)</f>
        <v>121.13716410082274</v>
      </c>
      <c r="E33" s="14"/>
      <c r="F33" s="14"/>
      <c r="G33" s="14"/>
      <c r="H33" s="14"/>
      <c r="I33" s="14"/>
      <c r="J33" s="14"/>
      <c r="K33" s="14"/>
      <c r="L33" s="29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4"/>
      <c r="X33" s="4"/>
      <c r="Y33" s="4"/>
      <c r="Z33" s="4"/>
      <c r="AA33" s="4"/>
    </row>
    <row r="34" spans="1:27" ht="23.5" x14ac:dyDescent="0.55000000000000004">
      <c r="A34" s="48" t="s">
        <v>56</v>
      </c>
      <c r="B34" s="85">
        <f>B7</f>
        <v>265.0222880249886</v>
      </c>
      <c r="C34" s="85"/>
      <c r="D34" s="14"/>
      <c r="E34" s="14"/>
      <c r="F34" s="48" t="s">
        <v>57</v>
      </c>
      <c r="G34" s="14">
        <f>B34/1.94384</f>
        <v>136.33955882428009</v>
      </c>
      <c r="H34" s="14"/>
      <c r="I34" s="14"/>
      <c r="J34" s="14"/>
      <c r="K34" s="14"/>
      <c r="L34" s="29"/>
      <c r="M34" s="14"/>
      <c r="N34" s="14"/>
      <c r="O34" s="14"/>
      <c r="P34" s="14"/>
      <c r="Q34" s="14"/>
      <c r="R34" s="35"/>
      <c r="S34" s="15"/>
      <c r="T34" s="14"/>
      <c r="U34" s="14"/>
      <c r="V34" s="14"/>
      <c r="W34" s="4"/>
      <c r="X34" s="4"/>
      <c r="Y34" s="4"/>
      <c r="Z34" s="4"/>
      <c r="AA34" s="4"/>
    </row>
    <row r="35" spans="1:27" ht="18.5" x14ac:dyDescent="0.45">
      <c r="A35" s="48" t="s">
        <v>58</v>
      </c>
      <c r="B35" s="95">
        <f>0.9*B36</f>
        <v>298.15007402811216</v>
      </c>
      <c r="C35" s="96"/>
      <c r="D35" s="14"/>
      <c r="E35" s="14"/>
      <c r="F35" s="14" t="s">
        <v>59</v>
      </c>
      <c r="G35" s="14">
        <v>10.903439712000001</v>
      </c>
      <c r="H35" s="14"/>
      <c r="I35" s="14"/>
      <c r="J35" s="14"/>
      <c r="K35" s="14"/>
      <c r="L35" s="29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4"/>
      <c r="X35" s="4"/>
      <c r="Y35" s="4"/>
      <c r="Z35" s="4"/>
      <c r="AA35" s="4"/>
    </row>
    <row r="36" spans="1:27" ht="18.5" x14ac:dyDescent="0.45">
      <c r="A36" s="48" t="s">
        <v>60</v>
      </c>
      <c r="B36" s="85">
        <f>B8</f>
        <v>331.27786003123572</v>
      </c>
      <c r="C36" s="85"/>
      <c r="D36" s="14"/>
      <c r="E36" s="14"/>
      <c r="F36" s="14"/>
      <c r="G36" s="14"/>
      <c r="H36" s="14"/>
      <c r="I36" s="14"/>
      <c r="J36" s="14"/>
      <c r="K36" s="14"/>
      <c r="L36" s="29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4"/>
      <c r="X36" s="4"/>
      <c r="Y36" s="4"/>
      <c r="Z36" s="4"/>
      <c r="AA36" s="4"/>
    </row>
    <row r="37" spans="1:27" ht="18.5" x14ac:dyDescent="0.45">
      <c r="A37" s="48" t="s">
        <v>61</v>
      </c>
      <c r="B37" s="85">
        <f>B31 * SQRT(1 + (P14 * G35 * G34 * B25 * B26 * B13) / (2 * B5 * B11))</f>
        <v>133.0269439563971</v>
      </c>
      <c r="C37" s="85"/>
      <c r="D37" s="31">
        <f>D31 * SQRT(1 + (P17 * G35 * G34 * B25 * B26 * B13) / (2 * B5 * B11))</f>
        <v>188.12850830418239</v>
      </c>
      <c r="E37" s="14"/>
      <c r="F37" s="14"/>
      <c r="G37" s="14"/>
      <c r="H37" s="14"/>
      <c r="I37" s="14"/>
      <c r="J37" s="14"/>
      <c r="K37" s="14"/>
      <c r="L37" s="29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4"/>
      <c r="X37" s="4"/>
      <c r="Y37" s="4"/>
      <c r="Z37" s="4"/>
      <c r="AA37" s="4"/>
    </row>
    <row r="38" spans="1:27" ht="18.5" x14ac:dyDescent="0.45">
      <c r="A38" s="9"/>
      <c r="B38" s="10"/>
      <c r="C38" s="10"/>
      <c r="D38" s="14"/>
      <c r="E38" s="14"/>
      <c r="F38" s="14"/>
      <c r="G38" s="14"/>
      <c r="H38" s="14"/>
      <c r="I38" s="14"/>
      <c r="J38" s="14"/>
      <c r="K38" s="14"/>
      <c r="L38" s="29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4"/>
      <c r="X38" s="4"/>
      <c r="Y38" s="4"/>
      <c r="Z38" s="4"/>
      <c r="AA38" s="4"/>
    </row>
    <row r="39" spans="1:27" ht="18.5" x14ac:dyDescent="0.45">
      <c r="A39" s="50" t="s">
        <v>62</v>
      </c>
      <c r="B39" s="97"/>
      <c r="C39" s="98"/>
      <c r="D39" s="14"/>
      <c r="E39" s="14"/>
      <c r="F39" s="14"/>
      <c r="G39" s="14"/>
      <c r="H39" s="14"/>
      <c r="I39" s="14"/>
      <c r="J39" s="14"/>
      <c r="K39" s="14"/>
      <c r="L39" s="29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4"/>
      <c r="X39" s="4"/>
      <c r="Y39" s="4"/>
      <c r="Z39" s="4"/>
      <c r="AA39" s="4"/>
    </row>
    <row r="40" spans="1:27" ht="18.5" x14ac:dyDescent="0.45">
      <c r="A40" s="11" t="s">
        <v>63</v>
      </c>
      <c r="B40" s="94">
        <f>0.75*B15</f>
        <v>2.1710507872728124</v>
      </c>
      <c r="C40" s="94"/>
      <c r="D40" s="14"/>
      <c r="E40" s="14"/>
      <c r="F40" s="14"/>
      <c r="G40" s="14"/>
      <c r="H40" s="14"/>
      <c r="I40" s="14"/>
      <c r="J40" s="14"/>
      <c r="K40" s="14"/>
      <c r="L40" s="29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4"/>
      <c r="X40" s="4"/>
      <c r="Y40" s="4"/>
      <c r="Z40" s="4"/>
      <c r="AA40" s="4"/>
    </row>
    <row r="41" spans="1:27" ht="18.5" x14ac:dyDescent="0.45">
      <c r="A41" s="49" t="s">
        <v>64</v>
      </c>
      <c r="B41" s="94">
        <f>1.25*B15</f>
        <v>3.6184179787880204</v>
      </c>
      <c r="C41" s="94"/>
      <c r="D41" s="14"/>
      <c r="E41" s="14"/>
      <c r="F41" s="14"/>
      <c r="G41" s="14"/>
      <c r="H41" s="14"/>
      <c r="I41" s="14"/>
      <c r="J41" s="14"/>
      <c r="K41" s="14"/>
      <c r="L41" s="29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4"/>
      <c r="X41" s="4"/>
      <c r="Y41" s="4"/>
      <c r="Z41" s="4"/>
      <c r="AA41" s="4"/>
    </row>
    <row r="42" spans="1:27" ht="18.5" x14ac:dyDescent="0.45">
      <c r="A42" s="49" t="s">
        <v>65</v>
      </c>
      <c r="B42" s="94">
        <f>1.5*B15</f>
        <v>4.3421015745456248</v>
      </c>
      <c r="C42" s="94"/>
      <c r="D42" s="14"/>
      <c r="E42" s="14"/>
      <c r="F42" s="14"/>
      <c r="G42" s="14"/>
      <c r="H42" s="14"/>
      <c r="I42" s="14"/>
      <c r="J42" s="14"/>
      <c r="K42" s="14"/>
      <c r="L42" s="29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4"/>
      <c r="X42" s="4"/>
      <c r="Y42" s="4"/>
      <c r="Z42" s="4"/>
      <c r="AA42" s="4"/>
    </row>
    <row r="43" spans="1:27" ht="18.5" x14ac:dyDescent="0.45">
      <c r="A43" s="4"/>
      <c r="B43" s="4"/>
      <c r="C43" s="4"/>
      <c r="D43" s="14"/>
      <c r="E43" s="14"/>
      <c r="F43" s="14"/>
      <c r="G43" s="14"/>
      <c r="H43" s="14"/>
      <c r="I43" s="14"/>
      <c r="J43" s="14"/>
      <c r="K43" s="14"/>
      <c r="L43" s="29"/>
      <c r="M43" s="14"/>
      <c r="N43" s="14"/>
      <c r="O43" s="14"/>
      <c r="P43" s="14"/>
      <c r="Q43" s="16"/>
      <c r="R43" s="14"/>
      <c r="S43" s="14"/>
      <c r="T43" s="14"/>
      <c r="U43" s="14"/>
      <c r="V43" s="14"/>
      <c r="W43" s="4"/>
      <c r="X43" s="4"/>
      <c r="Y43" s="4"/>
      <c r="Z43" s="4"/>
      <c r="AA43" s="4"/>
    </row>
    <row r="44" spans="1:27" ht="18.5" x14ac:dyDescent="0.45">
      <c r="A44" s="4"/>
      <c r="B44" s="4"/>
      <c r="C44" s="4"/>
      <c r="D44" s="14"/>
      <c r="E44" s="14"/>
      <c r="F44" s="14"/>
      <c r="G44" s="14"/>
      <c r="H44" s="14"/>
      <c r="I44" s="14"/>
      <c r="J44" s="14"/>
      <c r="K44" s="14"/>
      <c r="L44" s="29"/>
      <c r="M44" s="14"/>
      <c r="N44" s="14"/>
      <c r="O44" s="14"/>
      <c r="P44" s="14"/>
      <c r="Q44" s="17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8.5" x14ac:dyDescent="0.45">
      <c r="A45" s="18" t="s">
        <v>66</v>
      </c>
      <c r="B45" s="19" t="s">
        <v>67</v>
      </c>
      <c r="C45" s="19" t="s">
        <v>68</v>
      </c>
      <c r="D45" s="14"/>
      <c r="E45" s="14"/>
      <c r="F45" s="14"/>
      <c r="G45" s="14"/>
      <c r="H45" s="14"/>
      <c r="I45" s="14"/>
      <c r="J45" s="14"/>
      <c r="K45" s="14"/>
      <c r="L45" s="29"/>
      <c r="M45" s="14"/>
      <c r="N45" s="14"/>
      <c r="O45" s="14"/>
      <c r="P45" s="14"/>
      <c r="Q45" s="17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24" customHeight="1" x14ac:dyDescent="0.45">
      <c r="A46" s="72" t="s">
        <v>69</v>
      </c>
      <c r="B46" s="20">
        <f>B31</f>
        <v>85.656910189399369</v>
      </c>
      <c r="C46" s="21">
        <v>1</v>
      </c>
      <c r="D46" s="14"/>
      <c r="E46" s="14"/>
      <c r="F46" s="14"/>
      <c r="G46" s="14"/>
      <c r="H46" s="14"/>
      <c r="I46" s="14"/>
      <c r="J46" s="14"/>
      <c r="K46" s="14"/>
      <c r="L46" s="23"/>
      <c r="M46" s="14"/>
      <c r="N46" s="14"/>
      <c r="O46" s="14"/>
      <c r="P46" s="1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8.5" x14ac:dyDescent="0.45">
      <c r="A47" s="73"/>
      <c r="B47" s="20">
        <f>B31</f>
        <v>85.656910189399369</v>
      </c>
      <c r="C47" s="22">
        <v>0</v>
      </c>
      <c r="D47" s="4"/>
      <c r="E47" s="4"/>
      <c r="F47" s="14"/>
      <c r="G47" s="14"/>
      <c r="H47" s="4"/>
      <c r="I47" s="14"/>
      <c r="J47" s="14"/>
      <c r="K47" s="14"/>
      <c r="L47" s="23"/>
      <c r="M47" s="14"/>
      <c r="N47" s="4"/>
      <c r="O47" s="14"/>
      <c r="P47" s="1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8.5" x14ac:dyDescent="0.45">
      <c r="A48" s="72" t="s">
        <v>70</v>
      </c>
      <c r="B48" s="20">
        <f>D31</f>
        <v>121.13716410082274</v>
      </c>
      <c r="C48" s="22">
        <v>0</v>
      </c>
      <c r="D48" s="4"/>
      <c r="E48" s="4"/>
      <c r="F48" s="14"/>
      <c r="G48" s="14"/>
      <c r="H48" s="4"/>
      <c r="I48" s="14"/>
      <c r="J48" s="14"/>
      <c r="K48" s="14"/>
      <c r="L48" s="23"/>
      <c r="M48" s="14"/>
      <c r="N48" s="4"/>
      <c r="O48" s="14"/>
      <c r="P48" s="1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8.5" x14ac:dyDescent="0.45">
      <c r="A49" s="73"/>
      <c r="B49" s="20">
        <f>D31</f>
        <v>121.13716410082274</v>
      </c>
      <c r="C49" s="22">
        <f>B16</f>
        <v>-1</v>
      </c>
      <c r="D49" s="4"/>
      <c r="E49" s="4"/>
      <c r="F49" s="14"/>
      <c r="G49" s="14"/>
      <c r="H49" s="4"/>
      <c r="I49" s="14"/>
      <c r="J49" s="14"/>
      <c r="K49" s="14"/>
      <c r="L49" s="23"/>
      <c r="M49" s="14"/>
      <c r="N49" s="4"/>
      <c r="O49" s="14"/>
      <c r="P49" s="1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30" customHeight="1" x14ac:dyDescent="0.45">
      <c r="A50" s="74" t="s">
        <v>71</v>
      </c>
      <c r="B50" s="24">
        <f>B33</f>
        <v>145.73597281391403</v>
      </c>
      <c r="C50" s="25">
        <f>B15</f>
        <v>2.8947343830304164</v>
      </c>
      <c r="D50" s="4"/>
      <c r="E50" s="4"/>
      <c r="F50" s="14"/>
      <c r="G50" s="14"/>
      <c r="H50" s="4"/>
      <c r="I50" s="14"/>
      <c r="J50" s="14"/>
      <c r="K50" s="14"/>
      <c r="L50" s="23"/>
      <c r="M50" s="14"/>
      <c r="N50" s="4"/>
      <c r="O50" s="14"/>
      <c r="P50" s="1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8.5" x14ac:dyDescent="0.45">
      <c r="A51" s="75"/>
      <c r="B51" s="24">
        <f>B34</f>
        <v>265.0222880249886</v>
      </c>
      <c r="C51" s="25">
        <f>B15</f>
        <v>2.8947343830304164</v>
      </c>
      <c r="D51" s="4"/>
      <c r="E51" s="4"/>
      <c r="F51" s="14"/>
      <c r="G51" s="14"/>
      <c r="H51" s="4"/>
      <c r="I51" s="14"/>
      <c r="J51" s="14"/>
      <c r="K51" s="14"/>
      <c r="L51" s="23"/>
      <c r="M51" s="14"/>
      <c r="N51" s="4"/>
      <c r="O51" s="14"/>
      <c r="P51" s="1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8.5" x14ac:dyDescent="0.45">
      <c r="A52" s="74" t="s">
        <v>72</v>
      </c>
      <c r="B52" s="24">
        <f>B33</f>
        <v>145.73597281391403</v>
      </c>
      <c r="C52" s="25">
        <v>-1</v>
      </c>
      <c r="D52" s="4"/>
      <c r="E52" s="4"/>
      <c r="F52" s="14"/>
      <c r="G52" s="14"/>
      <c r="H52" s="4"/>
      <c r="I52" s="14"/>
      <c r="J52" s="14"/>
      <c r="K52" s="14"/>
      <c r="L52" s="23"/>
      <c r="M52" s="14"/>
      <c r="N52" s="4"/>
      <c r="O52" s="14"/>
      <c r="P52" s="1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54" customHeight="1" x14ac:dyDescent="0.45">
      <c r="A53" s="76"/>
      <c r="B53" s="26">
        <f>B34</f>
        <v>265.0222880249886</v>
      </c>
      <c r="C53" s="25">
        <v>-1</v>
      </c>
      <c r="D53" s="4"/>
      <c r="E53" s="4"/>
      <c r="F53" s="14"/>
      <c r="G53" s="14"/>
      <c r="H53" s="4"/>
      <c r="I53" s="14"/>
      <c r="J53" s="14"/>
      <c r="K53" s="14"/>
      <c r="L53" s="23"/>
      <c r="M53" s="14"/>
      <c r="N53" s="4"/>
      <c r="O53" s="14"/>
      <c r="P53" s="1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8.5" x14ac:dyDescent="0.45">
      <c r="A54" s="77" t="s">
        <v>73</v>
      </c>
      <c r="B54" s="20">
        <f>B32</f>
        <v>79.882055265377986</v>
      </c>
      <c r="C54" s="21">
        <v>0</v>
      </c>
      <c r="D54" s="4"/>
      <c r="E54" s="4"/>
      <c r="F54" s="14"/>
      <c r="G54" s="14"/>
      <c r="H54" s="4"/>
      <c r="I54" s="14"/>
      <c r="J54" s="14"/>
      <c r="K54" s="14"/>
      <c r="L54" s="23"/>
      <c r="M54" s="14"/>
      <c r="N54" s="4"/>
      <c r="O54" s="14"/>
      <c r="P54" s="1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8.5" x14ac:dyDescent="0.45">
      <c r="A55" s="78"/>
      <c r="B55" s="20">
        <f>B32</f>
        <v>79.882055265377986</v>
      </c>
      <c r="C55" s="27"/>
      <c r="D55" s="4"/>
      <c r="E55" s="4"/>
      <c r="F55" s="14"/>
      <c r="G55" s="14"/>
      <c r="H55" s="4"/>
      <c r="I55" s="14"/>
      <c r="J55" s="14"/>
      <c r="K55" s="14"/>
      <c r="L55" s="23"/>
      <c r="M55" s="14"/>
      <c r="N55" s="4"/>
      <c r="O55" s="14"/>
      <c r="P55" s="1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8.5" x14ac:dyDescent="0.45">
      <c r="A56" s="79" t="s">
        <v>74</v>
      </c>
      <c r="B56" s="20">
        <f>B33</f>
        <v>145.73597281391403</v>
      </c>
      <c r="C56" s="21">
        <v>0</v>
      </c>
      <c r="D56" s="20">
        <f>B33</f>
        <v>145.73597281391403</v>
      </c>
      <c r="E56" s="21">
        <v>0</v>
      </c>
      <c r="F56" s="14"/>
      <c r="G56" s="14"/>
      <c r="H56" s="4"/>
      <c r="I56" s="14"/>
      <c r="J56" s="14"/>
      <c r="K56" s="14"/>
      <c r="L56" s="23"/>
      <c r="M56" s="14"/>
      <c r="N56" s="4"/>
      <c r="O56" s="14"/>
      <c r="P56" s="1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8.5" x14ac:dyDescent="0.45">
      <c r="A57" s="79"/>
      <c r="B57" s="20">
        <f>B33</f>
        <v>145.73597281391403</v>
      </c>
      <c r="C57" s="22">
        <f>B15</f>
        <v>2.8947343830304164</v>
      </c>
      <c r="D57" s="20">
        <f>B33</f>
        <v>145.73597281391403</v>
      </c>
      <c r="E57" s="20">
        <f>B16</f>
        <v>-1</v>
      </c>
      <c r="F57" s="14"/>
      <c r="G57" s="14"/>
      <c r="H57" s="4"/>
      <c r="I57" s="14"/>
      <c r="J57" s="14"/>
      <c r="K57" s="14"/>
      <c r="L57" s="23"/>
      <c r="M57" s="14"/>
      <c r="N57" s="4"/>
      <c r="O57" s="14"/>
      <c r="P57" s="1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8.5" x14ac:dyDescent="0.45">
      <c r="A58" s="77" t="s">
        <v>75</v>
      </c>
      <c r="B58" s="20">
        <f>B34</f>
        <v>265.0222880249886</v>
      </c>
      <c r="C58" s="21">
        <v>0</v>
      </c>
      <c r="D58" s="20">
        <f>B34</f>
        <v>265.0222880249886</v>
      </c>
      <c r="E58" s="21">
        <v>0</v>
      </c>
      <c r="F58" s="14"/>
      <c r="G58" s="14"/>
      <c r="H58" s="4"/>
      <c r="I58" s="14"/>
      <c r="J58" s="14"/>
      <c r="K58" s="14"/>
      <c r="L58" s="23"/>
      <c r="M58" s="14"/>
      <c r="N58" s="4"/>
      <c r="O58" s="14"/>
      <c r="P58" s="1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8.5" x14ac:dyDescent="0.45">
      <c r="A59" s="79"/>
      <c r="B59" s="20">
        <f>B34</f>
        <v>265.0222880249886</v>
      </c>
      <c r="C59" s="22">
        <f>B15</f>
        <v>2.8947343830304164</v>
      </c>
      <c r="D59" s="20">
        <f>B34</f>
        <v>265.0222880249886</v>
      </c>
      <c r="E59" s="20">
        <f>B16</f>
        <v>-1</v>
      </c>
      <c r="F59" s="14"/>
      <c r="G59" s="14"/>
      <c r="H59" s="4"/>
      <c r="I59" s="14"/>
      <c r="J59" s="14"/>
      <c r="K59" s="14"/>
      <c r="L59" s="23"/>
      <c r="M59" s="14"/>
      <c r="N59" s="4"/>
      <c r="O59" s="14"/>
      <c r="P59" s="1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8.5" x14ac:dyDescent="0.45">
      <c r="A60" s="77" t="s">
        <v>76</v>
      </c>
      <c r="B60" s="20">
        <f>B35</f>
        <v>298.15007402811216</v>
      </c>
      <c r="C60" s="21">
        <v>0</v>
      </c>
      <c r="D60" s="4"/>
      <c r="E60" s="4"/>
      <c r="F60" s="14"/>
      <c r="G60" s="14"/>
      <c r="H60" s="4"/>
      <c r="I60" s="14"/>
      <c r="J60" s="14"/>
      <c r="K60" s="14"/>
      <c r="L60" s="23"/>
      <c r="M60" s="14"/>
      <c r="N60" s="4"/>
      <c r="O60" s="14"/>
      <c r="P60" s="1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8.5" x14ac:dyDescent="0.45">
      <c r="A61" s="78"/>
      <c r="B61" s="20">
        <f>B35</f>
        <v>298.15007402811216</v>
      </c>
      <c r="C61" s="22">
        <f>B15</f>
        <v>2.8947343830304164</v>
      </c>
      <c r="D61" s="4"/>
      <c r="E61" s="4"/>
      <c r="F61" s="14"/>
      <c r="G61" s="14"/>
      <c r="H61" s="4"/>
      <c r="I61" s="14"/>
      <c r="J61" s="14"/>
      <c r="K61" s="14"/>
      <c r="L61" s="23"/>
      <c r="M61" s="14"/>
      <c r="N61" s="4"/>
      <c r="O61" s="14"/>
      <c r="P61" s="1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8.5" x14ac:dyDescent="0.45">
      <c r="A62" s="79" t="s">
        <v>77</v>
      </c>
      <c r="B62" s="20">
        <f>B36</f>
        <v>331.27786003123572</v>
      </c>
      <c r="C62" s="20">
        <v>0</v>
      </c>
      <c r="D62" s="4"/>
      <c r="E62" s="4"/>
      <c r="F62" s="14"/>
      <c r="G62" s="14"/>
      <c r="H62" s="4"/>
      <c r="I62" s="14"/>
      <c r="J62" s="14"/>
      <c r="K62" s="14"/>
      <c r="L62" s="23"/>
      <c r="M62" s="14"/>
      <c r="N62" s="4"/>
      <c r="O62" s="14"/>
      <c r="P62" s="1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8.5" x14ac:dyDescent="0.45">
      <c r="A63" s="78"/>
      <c r="B63" s="20">
        <f>B36</f>
        <v>331.27786003123572</v>
      </c>
      <c r="C63" s="22">
        <f>B40</f>
        <v>2.1710507872728124</v>
      </c>
      <c r="D63" s="4"/>
      <c r="E63" s="4"/>
      <c r="F63" s="14"/>
      <c r="G63" s="14"/>
      <c r="H63" s="4"/>
      <c r="I63" s="14"/>
      <c r="J63" s="14"/>
      <c r="K63" s="14"/>
      <c r="L63" s="23"/>
      <c r="M63" s="14"/>
      <c r="N63" s="4"/>
      <c r="O63" s="14"/>
      <c r="P63" s="1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8.5" x14ac:dyDescent="0.45">
      <c r="A64" s="74" t="s">
        <v>78</v>
      </c>
      <c r="B64" s="24">
        <f>B34</f>
        <v>265.0222880249886</v>
      </c>
      <c r="C64" s="25">
        <f>B16</f>
        <v>-1</v>
      </c>
      <c r="D64" s="4"/>
      <c r="E64" s="4"/>
      <c r="F64" s="14"/>
      <c r="G64" s="14"/>
      <c r="H64" s="4"/>
      <c r="I64" s="14"/>
      <c r="J64" s="14"/>
      <c r="K64" s="14"/>
      <c r="L64" s="23"/>
      <c r="M64" s="14"/>
      <c r="N64" s="4"/>
      <c r="O64" s="14"/>
      <c r="P64" s="1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8.5" x14ac:dyDescent="0.45">
      <c r="A65" s="75"/>
      <c r="B65" s="24">
        <f>B36</f>
        <v>331.27786003123572</v>
      </c>
      <c r="C65" s="24">
        <v>0</v>
      </c>
      <c r="D65" s="4"/>
      <c r="E65" s="4"/>
      <c r="F65" s="14"/>
      <c r="G65" s="14"/>
      <c r="H65" s="4"/>
      <c r="I65" s="14"/>
      <c r="J65" s="14"/>
      <c r="K65" s="14"/>
      <c r="L65" s="23"/>
      <c r="M65" s="14"/>
      <c r="N65" s="4"/>
      <c r="O65" s="14"/>
      <c r="P65" s="1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8.5" x14ac:dyDescent="0.45">
      <c r="A66" s="80" t="s">
        <v>64</v>
      </c>
      <c r="B66" s="26">
        <v>0</v>
      </c>
      <c r="C66" s="26">
        <f>B41</f>
        <v>3.6184179787880204</v>
      </c>
      <c r="D66" s="4"/>
      <c r="E66" s="4"/>
      <c r="F66" s="14"/>
      <c r="G66" s="14"/>
      <c r="H66" s="4"/>
      <c r="I66" s="14"/>
      <c r="J66" s="14"/>
      <c r="K66" s="14"/>
      <c r="L66" s="23"/>
      <c r="M66" s="14"/>
      <c r="N66" s="4"/>
      <c r="O66" s="14"/>
      <c r="P66" s="1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8.5" x14ac:dyDescent="0.45">
      <c r="A67" s="71"/>
      <c r="B67" s="26">
        <f>B36</f>
        <v>331.27786003123572</v>
      </c>
      <c r="C67" s="26">
        <f>B41</f>
        <v>3.6184179787880204</v>
      </c>
      <c r="D67" s="4"/>
      <c r="E67" s="4"/>
      <c r="F67" s="14"/>
      <c r="G67" s="14"/>
      <c r="H67" s="4"/>
      <c r="I67" s="14"/>
      <c r="J67" s="14"/>
      <c r="K67" s="14"/>
      <c r="L67" s="23"/>
      <c r="M67" s="14"/>
      <c r="N67" s="4"/>
      <c r="O67" s="14"/>
      <c r="P67" s="1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8.5" x14ac:dyDescent="0.45">
      <c r="A68" s="70" t="s">
        <v>79</v>
      </c>
      <c r="B68" s="28">
        <v>0</v>
      </c>
      <c r="C68" s="26">
        <f>B42</f>
        <v>4.3421015745456248</v>
      </c>
      <c r="D68" s="4"/>
      <c r="E68" s="4"/>
      <c r="F68" s="14"/>
      <c r="G68" s="14"/>
      <c r="H68" s="4"/>
      <c r="I68" s="14"/>
      <c r="J68" s="14"/>
      <c r="K68" s="14"/>
      <c r="L68" s="23"/>
      <c r="M68" s="14"/>
      <c r="N68" s="4"/>
      <c r="O68" s="14"/>
      <c r="P68" s="1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8.5" x14ac:dyDescent="0.45">
      <c r="A69" s="71"/>
      <c r="B69" s="26">
        <f>B36</f>
        <v>331.27786003123572</v>
      </c>
      <c r="C69" s="26">
        <f>B42</f>
        <v>4.3421015745456248</v>
      </c>
      <c r="D69" s="4"/>
      <c r="E69" s="4"/>
      <c r="F69" s="14"/>
      <c r="G69" s="14"/>
      <c r="H69" s="4"/>
      <c r="I69" s="14"/>
      <c r="J69" s="14"/>
      <c r="K69" s="14"/>
      <c r="L69" s="23"/>
      <c r="M69" s="14"/>
      <c r="N69" s="4"/>
      <c r="O69" s="14"/>
      <c r="P69" s="1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8.5" x14ac:dyDescent="0.45">
      <c r="A70" s="4"/>
      <c r="B70" s="4"/>
      <c r="C70" s="4"/>
      <c r="D70" s="4"/>
      <c r="E70" s="4"/>
      <c r="F70" s="4"/>
      <c r="G70" s="4"/>
      <c r="H70" s="4"/>
      <c r="I70" s="4"/>
      <c r="J70" s="4"/>
      <c r="K70" s="14"/>
      <c r="L70" s="23"/>
      <c r="M70" s="6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8.5" x14ac:dyDescent="0.45">
      <c r="A71" s="4"/>
      <c r="B71" s="4"/>
      <c r="C71" s="4"/>
      <c r="D71" s="4"/>
      <c r="E71" s="4"/>
      <c r="F71" s="4"/>
      <c r="G71" s="4"/>
      <c r="H71" s="4"/>
      <c r="I71" s="4"/>
      <c r="J71" s="4"/>
      <c r="K71" s="14"/>
      <c r="L71" s="23"/>
      <c r="M71" s="6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8.5" x14ac:dyDescent="0.45">
      <c r="A72" s="51"/>
      <c r="B72" s="4"/>
      <c r="C72" s="4"/>
      <c r="D72" s="4"/>
      <c r="E72" s="4"/>
      <c r="F72" s="4"/>
      <c r="G72" s="4"/>
      <c r="H72" s="4"/>
      <c r="I72" s="4"/>
      <c r="J72" s="4"/>
      <c r="K72" s="14"/>
      <c r="L72" s="23"/>
      <c r="M72" s="6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8.5" x14ac:dyDescent="0.45">
      <c r="A73" s="51"/>
      <c r="B73" s="52"/>
      <c r="C73" s="52"/>
      <c r="D73" s="4"/>
      <c r="E73" s="4"/>
      <c r="F73" s="4"/>
      <c r="G73" s="4"/>
      <c r="H73" s="4"/>
      <c r="I73" s="4"/>
      <c r="J73" s="4"/>
      <c r="K73" s="14"/>
      <c r="L73" s="23"/>
      <c r="M73" s="6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8.5" x14ac:dyDescent="0.45">
      <c r="A74" s="4"/>
      <c r="B74" s="4"/>
      <c r="C74" s="4"/>
      <c r="D74" s="4"/>
      <c r="E74" s="4"/>
      <c r="F74" s="4"/>
      <c r="G74" s="4"/>
      <c r="H74" s="4"/>
      <c r="I74" s="4"/>
      <c r="J74" s="4"/>
      <c r="K74" s="14"/>
      <c r="L74" s="23"/>
      <c r="M74" s="6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8.5" x14ac:dyDescent="0.45">
      <c r="A75" s="4"/>
      <c r="B75" s="4"/>
      <c r="C75" s="4"/>
      <c r="D75" s="4"/>
      <c r="E75" s="4"/>
      <c r="F75" s="4"/>
      <c r="G75" s="4"/>
      <c r="H75" s="4"/>
      <c r="I75" s="4"/>
      <c r="J75" s="4"/>
      <c r="K75" s="14"/>
      <c r="L75" s="23"/>
      <c r="M75" s="6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8.5" x14ac:dyDescent="0.45">
      <c r="A76" s="4"/>
      <c r="B76" s="4"/>
      <c r="C76" s="4"/>
      <c r="D76" s="4"/>
      <c r="E76" s="4"/>
      <c r="F76" s="4"/>
      <c r="G76" s="4"/>
      <c r="H76" s="4"/>
      <c r="I76" s="4"/>
      <c r="J76" s="4"/>
      <c r="K76" s="14"/>
      <c r="L76" s="23"/>
      <c r="M76" s="6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8.5" x14ac:dyDescent="0.45">
      <c r="A77" s="4"/>
      <c r="B77" s="4"/>
      <c r="C77" s="4"/>
      <c r="D77" s="4"/>
      <c r="E77" s="4"/>
      <c r="F77" s="4"/>
      <c r="G77" s="4"/>
      <c r="H77" s="4"/>
      <c r="I77" s="4"/>
      <c r="J77" s="4"/>
      <c r="K77" s="14"/>
      <c r="L77" s="23"/>
      <c r="M77" s="6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8.5" x14ac:dyDescent="0.45">
      <c r="A78" s="51"/>
      <c r="B78" s="4"/>
      <c r="C78" s="4"/>
      <c r="D78" s="4"/>
      <c r="E78" s="4"/>
      <c r="F78" s="4"/>
      <c r="G78" s="4"/>
      <c r="H78" s="4"/>
      <c r="I78" s="4"/>
      <c r="J78" s="4"/>
      <c r="K78" s="14"/>
      <c r="L78" s="23"/>
      <c r="M78" s="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8.5" x14ac:dyDescent="0.45">
      <c r="A79" s="51"/>
      <c r="B79" s="4"/>
      <c r="C79" s="4"/>
      <c r="D79" s="4"/>
      <c r="E79" s="4"/>
      <c r="F79" s="4"/>
      <c r="G79" s="4"/>
      <c r="H79" s="4"/>
      <c r="I79" s="4"/>
      <c r="J79" s="4"/>
      <c r="K79" s="14"/>
      <c r="L79" s="23"/>
      <c r="M79" s="6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8.5" x14ac:dyDescent="0.45">
      <c r="A80" s="4"/>
      <c r="B80" s="4"/>
      <c r="C80" s="4"/>
      <c r="D80" s="4"/>
      <c r="E80" s="4"/>
      <c r="F80" s="4"/>
      <c r="G80" s="4"/>
      <c r="H80" s="4"/>
      <c r="I80" s="4"/>
      <c r="J80" s="4"/>
      <c r="K80" s="14"/>
      <c r="L80" s="23"/>
      <c r="M80" s="6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8.5" x14ac:dyDescent="0.45">
      <c r="A81" s="4"/>
      <c r="B81" s="4"/>
      <c r="C81" s="4"/>
      <c r="D81" s="4"/>
      <c r="E81" s="4"/>
      <c r="F81" s="4"/>
      <c r="G81" s="4"/>
      <c r="H81" s="4"/>
      <c r="I81" s="4"/>
      <c r="J81" s="4"/>
      <c r="K81" s="14"/>
      <c r="L81" s="23"/>
      <c r="M81" s="6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8.5" x14ac:dyDescent="0.45">
      <c r="A82" s="4"/>
      <c r="B82" s="4"/>
      <c r="C82" s="4"/>
      <c r="D82" s="4"/>
      <c r="E82" s="4"/>
      <c r="F82" s="4"/>
      <c r="G82" s="4"/>
      <c r="H82" s="4"/>
      <c r="I82" s="4"/>
      <c r="J82" s="4"/>
      <c r="K82" s="14"/>
      <c r="L82" s="23"/>
      <c r="M82" s="6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8.5" x14ac:dyDescent="0.45">
      <c r="A83" s="4"/>
      <c r="B83" s="4"/>
      <c r="C83" s="4"/>
      <c r="D83" s="4"/>
      <c r="E83" s="4"/>
      <c r="F83" s="4"/>
      <c r="G83" s="4"/>
      <c r="H83" s="4"/>
      <c r="I83" s="4"/>
      <c r="J83" s="4"/>
      <c r="K83" s="14"/>
      <c r="L83" s="23"/>
      <c r="M83" s="6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</sheetData>
  <mergeCells count="55">
    <mergeCell ref="M4:V4"/>
    <mergeCell ref="B5:C5"/>
    <mergeCell ref="B11:C11"/>
    <mergeCell ref="A1:A3"/>
    <mergeCell ref="B1:C3"/>
    <mergeCell ref="B4:C4"/>
    <mergeCell ref="D4:L4"/>
    <mergeCell ref="B6:C6"/>
    <mergeCell ref="B7:C7"/>
    <mergeCell ref="B8:C8"/>
    <mergeCell ref="B9:C9"/>
    <mergeCell ref="B10:C10"/>
    <mergeCell ref="Q6:Q28"/>
    <mergeCell ref="R6:R28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36:C36"/>
    <mergeCell ref="B24:C24"/>
    <mergeCell ref="B25:C25"/>
    <mergeCell ref="B26:C26"/>
    <mergeCell ref="B27:C27"/>
    <mergeCell ref="B28:C28"/>
    <mergeCell ref="B30:C30"/>
    <mergeCell ref="B31:C31"/>
    <mergeCell ref="B32:C32"/>
    <mergeCell ref="B33:C33"/>
    <mergeCell ref="B34:C34"/>
    <mergeCell ref="B35:C35"/>
    <mergeCell ref="A58:A59"/>
    <mergeCell ref="B37:C37"/>
    <mergeCell ref="B39:C39"/>
    <mergeCell ref="B40:C40"/>
    <mergeCell ref="B41:C41"/>
    <mergeCell ref="B42:C42"/>
    <mergeCell ref="A46:A47"/>
    <mergeCell ref="A48:A49"/>
    <mergeCell ref="A50:A51"/>
    <mergeCell ref="A52:A53"/>
    <mergeCell ref="A54:A55"/>
    <mergeCell ref="A56:A57"/>
    <mergeCell ref="A60:A61"/>
    <mergeCell ref="A62:A63"/>
    <mergeCell ref="A64:A65"/>
    <mergeCell ref="A66:A67"/>
    <mergeCell ref="A68:A6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BE5C-0DAC-416F-A058-E3A114E5C927}">
  <dimension ref="A1:H37"/>
  <sheetViews>
    <sheetView workbookViewId="0">
      <selection activeCell="C8" sqref="C8"/>
    </sheetView>
  </sheetViews>
  <sheetFormatPr baseColWidth="10" defaultColWidth="11.453125" defaultRowHeight="14.5" x14ac:dyDescent="0.35"/>
  <cols>
    <col min="1" max="1" width="14.453125" customWidth="1"/>
    <col min="2" max="2" width="9.26953125" customWidth="1"/>
    <col min="3" max="3" width="36.54296875" bestFit="1" customWidth="1"/>
    <col min="7" max="7" width="26.54296875" bestFit="1" customWidth="1"/>
    <col min="8" max="8" width="36.54296875" bestFit="1" customWidth="1"/>
  </cols>
  <sheetData>
    <row r="1" spans="1:8" ht="14.5" customHeight="1" x14ac:dyDescent="0.35">
      <c r="B1" s="44" t="s">
        <v>81</v>
      </c>
      <c r="C1" s="44" t="s">
        <v>82</v>
      </c>
      <c r="F1" s="106" t="s">
        <v>83</v>
      </c>
      <c r="G1" s="106"/>
      <c r="H1" s="106"/>
    </row>
    <row r="2" spans="1:8" x14ac:dyDescent="0.35">
      <c r="A2" s="43" t="s">
        <v>84</v>
      </c>
      <c r="B2" t="s">
        <v>85</v>
      </c>
      <c r="C2">
        <f>ACOS(1/'V-n CL'!B15)*180/PI()</f>
        <v>69.790436708963355</v>
      </c>
      <c r="F2" s="57" t="s">
        <v>86</v>
      </c>
      <c r="G2" s="58" t="s">
        <v>87</v>
      </c>
      <c r="H2" s="58" t="s">
        <v>88</v>
      </c>
    </row>
    <row r="3" spans="1:8" x14ac:dyDescent="0.35">
      <c r="A3" s="43" t="s">
        <v>89</v>
      </c>
      <c r="B3" t="s">
        <v>90</v>
      </c>
      <c r="C3" s="55">
        <f>('V-n CL'!B11 * (SQRT('V-n SL'!B15^2 - 1)) / 'V-n SL'!G31) * (180 / PI())</f>
        <v>34.649982686126123</v>
      </c>
      <c r="F3" s="59">
        <f>'V-n SL'!B31</f>
        <v>85.656910189399369</v>
      </c>
      <c r="G3" s="58">
        <f>F3*0.514444</f>
        <v>44.06568350547537</v>
      </c>
      <c r="H3" s="60">
        <f>(9.81* (SQRT('V-n SL'!$B$15^2 - 1)) /G3) * (180 / PI())</f>
        <v>34.650092701556453</v>
      </c>
    </row>
    <row r="4" spans="1:8" x14ac:dyDescent="0.35">
      <c r="A4" s="44" t="s">
        <v>91</v>
      </c>
      <c r="B4" t="s">
        <v>92</v>
      </c>
      <c r="C4">
        <f>'V-n SL'!G31^2/(9.81*SQRT(2.89^2-1))</f>
        <v>73.001043723353064</v>
      </c>
      <c r="F4" s="59">
        <f>'V-n SL'!E11</f>
        <v>85.657149306135494</v>
      </c>
      <c r="G4" s="58">
        <f>F4*0.514444</f>
        <v>44.065806517645569</v>
      </c>
      <c r="H4" s="60">
        <f>(9.81* (SQRT('V-n SL'!$B$15^2 - 1)) /G4) * (180 / PI())</f>
        <v>34.649995973879427</v>
      </c>
    </row>
    <row r="5" spans="1:8" x14ac:dyDescent="0.35">
      <c r="A5" s="44" t="s">
        <v>93</v>
      </c>
      <c r="B5" t="s">
        <v>94</v>
      </c>
      <c r="C5">
        <f>360/C3</f>
        <v>10.389615581082072</v>
      </c>
      <c r="F5" s="59">
        <f>'V-n SL'!E12</f>
        <v>112.96804301198976</v>
      </c>
      <c r="G5" s="58">
        <f>F5*0.514444</f>
        <v>58.115731919260064</v>
      </c>
      <c r="H5" s="60">
        <f>(9.81* (SQRT('V-n SL'!$B$15^2 - 1)) /G5) * (180 / PI())</f>
        <v>26.273092809765462</v>
      </c>
    </row>
    <row r="6" spans="1:8" x14ac:dyDescent="0.35">
      <c r="F6" s="59">
        <f>'V-n SL'!E13</f>
        <v>121.17674359676178</v>
      </c>
      <c r="G6" s="58">
        <f>F6*0.514444</f>
        <v>62.338648682892519</v>
      </c>
      <c r="H6" s="60">
        <f>(9.81* (SQRT('V-n SL'!$B$15^2 - 1)) /G6) * (180 / PI())</f>
        <v>24.49331274710784</v>
      </c>
    </row>
    <row r="7" spans="1:8" x14ac:dyDescent="0.35">
      <c r="F7" s="59">
        <f>'V-n SL'!E14</f>
        <v>145.61809519506497</v>
      </c>
      <c r="G7" s="58">
        <f>F7*0.514444</f>
        <v>74.912355364530001</v>
      </c>
      <c r="H7" s="60">
        <f>(9.81* (SQRT('V-n SL'!$B$15^2 - 1)) /G7) * (180 / PI())</f>
        <v>20.38221880746158</v>
      </c>
    </row>
    <row r="17" spans="6:8" ht="15" customHeight="1" x14ac:dyDescent="0.35"/>
    <row r="19" spans="6:8" x14ac:dyDescent="0.35">
      <c r="F19" s="107" t="s">
        <v>95</v>
      </c>
      <c r="G19" s="107"/>
      <c r="H19" s="107"/>
    </row>
    <row r="20" spans="6:8" x14ac:dyDescent="0.35">
      <c r="F20" s="63" t="s">
        <v>86</v>
      </c>
      <c r="G20" s="63" t="s">
        <v>87</v>
      </c>
      <c r="H20" s="63" t="s">
        <v>96</v>
      </c>
    </row>
    <row r="21" spans="6:8" x14ac:dyDescent="0.35">
      <c r="F21" s="67">
        <v>85.656910189399369</v>
      </c>
      <c r="G21" s="58">
        <f>F21*0.514444</f>
        <v>44.06568350547537</v>
      </c>
      <c r="H21" s="64">
        <f>G21^2/(9.81*SQRT(2.89^2-1))</f>
        <v>73.000580161621272</v>
      </c>
    </row>
    <row r="22" spans="6:8" x14ac:dyDescent="0.35">
      <c r="F22" s="67">
        <v>97.192000000000007</v>
      </c>
      <c r="G22" s="58">
        <f>F22*0.514444</f>
        <v>49.999841248000003</v>
      </c>
      <c r="H22" s="64">
        <f>G22^2/(9.81*SQRT(2.89^2-1))</f>
        <v>93.985864550321082</v>
      </c>
    </row>
    <row r="23" spans="6:8" x14ac:dyDescent="0.35">
      <c r="F23" s="67">
        <v>116.63039999999999</v>
      </c>
      <c r="G23" s="58">
        <f>F23*0.514444</f>
        <v>59.999809497599998</v>
      </c>
      <c r="H23" s="64">
        <f>G23^2/(9.81*SQRT(2.89^2-1))</f>
        <v>135.33964495246232</v>
      </c>
    </row>
    <row r="24" spans="6:8" x14ac:dyDescent="0.35">
      <c r="F24" s="67">
        <v>136.06880000000001</v>
      </c>
      <c r="G24" s="58">
        <f>F24*0.514444</f>
        <v>69.999777747200014</v>
      </c>
      <c r="H24" s="64">
        <f>G24^2/(9.81*SQRT(2.89^2-1))</f>
        <v>184.21229451862936</v>
      </c>
    </row>
    <row r="25" spans="6:8" x14ac:dyDescent="0.35">
      <c r="F25" s="65">
        <v>166.4704576</v>
      </c>
      <c r="G25" s="58">
        <f>F25*0.514444</f>
        <v>85.639728089574405</v>
      </c>
      <c r="H25" s="64">
        <f>G25^2/(9.81*SQRT(2.89^2-1))</f>
        <v>275.72481201970584</v>
      </c>
    </row>
    <row r="31" spans="6:8" x14ac:dyDescent="0.35">
      <c r="F31" s="108" t="s">
        <v>97</v>
      </c>
      <c r="G31" s="108"/>
      <c r="H31" s="108"/>
    </row>
    <row r="32" spans="6:8" x14ac:dyDescent="0.35">
      <c r="F32" s="56" t="s">
        <v>86</v>
      </c>
      <c r="G32" s="56" t="s">
        <v>98</v>
      </c>
      <c r="H32" s="56" t="s">
        <v>99</v>
      </c>
    </row>
    <row r="33" spans="6:8" x14ac:dyDescent="0.35">
      <c r="F33" s="61">
        <v>85.656910189399369</v>
      </c>
      <c r="G33" s="56">
        <v>1</v>
      </c>
      <c r="H33" s="62">
        <f>ACOS(1/G33)*180/PI()</f>
        <v>0</v>
      </c>
    </row>
    <row r="34" spans="6:8" x14ac:dyDescent="0.35">
      <c r="F34" s="61">
        <v>97.192000000000007</v>
      </c>
      <c r="G34" s="61">
        <f>'V-n SL'!K11</f>
        <v>1.0000055831355428</v>
      </c>
      <c r="H34" s="62">
        <f>ACOS(1/G34)*180/PI()</f>
        <v>0.1914589644735416</v>
      </c>
    </row>
    <row r="35" spans="6:8" x14ac:dyDescent="0.35">
      <c r="F35" s="61">
        <v>116.63039999999999</v>
      </c>
      <c r="G35" s="61">
        <f>'V-n SL'!K12</f>
        <v>1.7393476779770467</v>
      </c>
      <c r="H35" s="62">
        <f>ACOS(1/G35)*180/PI()</f>
        <v>54.905397041774563</v>
      </c>
    </row>
    <row r="36" spans="6:8" x14ac:dyDescent="0.35">
      <c r="F36" s="61">
        <v>136.06880000000001</v>
      </c>
      <c r="G36" s="61">
        <f>'V-n SL'!K13</f>
        <v>2.0013071450762272</v>
      </c>
      <c r="H36" s="62">
        <f>ACOS(1/G36)*180/PI()</f>
        <v>60.021603533576965</v>
      </c>
    </row>
    <row r="37" spans="6:8" x14ac:dyDescent="0.35">
      <c r="F37" s="66">
        <v>166.4704576</v>
      </c>
      <c r="G37" s="61">
        <f>'V-n SL'!K14</f>
        <v>2.8900535016928837</v>
      </c>
      <c r="H37" s="62">
        <f>ACOS(1/G37)*180/PI()</f>
        <v>69.756271900977296</v>
      </c>
    </row>
  </sheetData>
  <mergeCells count="3">
    <mergeCell ref="F1:H1"/>
    <mergeCell ref="F19:H19"/>
    <mergeCell ref="F31:H3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C3A20A79498B40BC9CF7D7CCBB5401" ma:contentTypeVersion="4" ma:contentTypeDescription="Crear nuevo documento." ma:contentTypeScope="" ma:versionID="673e37d4c0b19ca3f557588ffb8fb630">
  <xsd:schema xmlns:xsd="http://www.w3.org/2001/XMLSchema" xmlns:xs="http://www.w3.org/2001/XMLSchema" xmlns:p="http://schemas.microsoft.com/office/2006/metadata/properties" xmlns:ns2="6829990f-4afb-4f2e-980d-658e49402902" targetNamespace="http://schemas.microsoft.com/office/2006/metadata/properties" ma:root="true" ma:fieldsID="3f86a158727faa22e024fd4b10192573" ns2:_="">
    <xsd:import namespace="6829990f-4afb-4f2e-980d-658e494029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29990f-4afb-4f2e-980d-658e494029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4313A1-A181-450A-822A-489F25B9E25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5E72990-CEE1-40EC-B9E8-DF9665A8C2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29990f-4afb-4f2e-980d-658e494029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D82AA8-C089-4B13-8EA4-D0E0B922CC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V-n SL</vt:lpstr>
      <vt:lpstr>V-n CL</vt:lpstr>
      <vt:lpstr>Level Turn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andresc.herrera@upb.edu.co</dc:creator>
  <cp:keywords/>
  <dc:description/>
  <cp:lastModifiedBy>Jeronimo Lopera Escobar</cp:lastModifiedBy>
  <cp:revision/>
  <dcterms:created xsi:type="dcterms:W3CDTF">2020-02-04T20:24:20Z</dcterms:created>
  <dcterms:modified xsi:type="dcterms:W3CDTF">2025-03-22T04:46:26Z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0x01010095C3A20A79498B40BC9CF7D7CCBB5401</vt:lpwstr>
  </property>
</Properties>
</file>