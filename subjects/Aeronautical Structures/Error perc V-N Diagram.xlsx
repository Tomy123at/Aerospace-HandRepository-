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Universidad\2025-1\Estructuras Aeronáuticas\"/>
    </mc:Choice>
  </mc:AlternateContent>
  <xr:revisionPtr revIDLastSave="0" documentId="8_{DE480387-636F-4A88-BFCB-A9849DEAF57D}" xr6:coauthVersionLast="47" xr6:coauthVersionMax="47" xr10:uidLastSave="{00000000-0000-0000-0000-000000000000}"/>
  <bookViews>
    <workbookView xWindow="-120" yWindow="-120" windowWidth="29040" windowHeight="15720" xr2:uid="{2F1B09B9-5D6F-4FE4-8261-D654A877B6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2" i="1" l="1"/>
  <c r="P43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P39" i="1"/>
  <c r="Q39" i="1"/>
  <c r="P40" i="1"/>
  <c r="Q40" i="1"/>
  <c r="P41" i="1"/>
  <c r="Q41" i="1"/>
  <c r="Q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A53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A29" i="1"/>
</calcChain>
</file>

<file path=xl/sharedStrings.xml><?xml version="1.0" encoding="utf-8"?>
<sst xmlns="http://schemas.openxmlformats.org/spreadsheetml/2006/main" count="51" uniqueCount="17">
  <si>
    <t>V eq. KEAS</t>
  </si>
  <si>
    <t>Mach (Ve/Cse)</t>
  </si>
  <si>
    <t>q dynamic pressure (lb/ft^2)</t>
  </si>
  <si>
    <t>Clmax_m/Clmax_0</t>
  </si>
  <si>
    <t>Cl max_m</t>
  </si>
  <si>
    <t>Cl max_m (-)</t>
  </si>
  <si>
    <t>positive load factor n+</t>
  </si>
  <si>
    <t>negative load factor n-</t>
  </si>
  <si>
    <t>Cl alpha_m/cl alpha 0</t>
  </si>
  <si>
    <t>Cl alpha_m</t>
  </si>
  <si>
    <t>Âµ</t>
  </si>
  <si>
    <t>Kg</t>
  </si>
  <si>
    <t>positive gust load factor V_B</t>
  </si>
  <si>
    <t>negative gust load factor V_B</t>
  </si>
  <si>
    <t>positive gust load factor V_C</t>
  </si>
  <si>
    <t>negative gust load factor V_C</t>
  </si>
  <si>
    <t>Positive load factor n+ with flaps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</si>
</sst>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6DBD2-11AB-49DD-A2FF-4412E1BBBA8F}">
  <dimension ref="A1:AJ53"/>
  <sheetViews>
    <sheetView tabSelected="1" workbookViewId="0">
      <selection activeCell="Q20" sqref="Q20"/>
    </sheetView>
  </sheetViews>
  <sheetFormatPr baseColWidth="10" defaultRowHeight="1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T1" t="s">
        <v>0</v>
      </c>
      <c r="U1" t="s">
        <v>1</v>
      </c>
      <c r="V1" t="s">
        <v>2</v>
      </c>
      <c r="W1" t="s">
        <v>3</v>
      </c>
      <c r="X1" t="s">
        <v>4</v>
      </c>
      <c r="Y1" t="s">
        <v>5</v>
      </c>
      <c r="Z1" t="s">
        <v>6</v>
      </c>
      <c r="AA1" t="s">
        <v>7</v>
      </c>
      <c r="AB1" t="s">
        <v>8</v>
      </c>
      <c r="AC1" t="s">
        <v>9</v>
      </c>
      <c r="AD1" t="s">
        <v>10</v>
      </c>
      <c r="AE1" t="s">
        <v>11</v>
      </c>
      <c r="AF1" t="s">
        <v>12</v>
      </c>
      <c r="AG1" t="s">
        <v>13</v>
      </c>
      <c r="AH1" t="s">
        <v>14</v>
      </c>
      <c r="AI1" t="s">
        <v>15</v>
      </c>
      <c r="AJ1" t="s">
        <v>16</v>
      </c>
    </row>
    <row r="2" spans="1:36" x14ac:dyDescent="0.25">
      <c r="A2">
        <v>0</v>
      </c>
      <c r="B2">
        <v>0</v>
      </c>
      <c r="C2">
        <v>0</v>
      </c>
      <c r="D2">
        <v>1</v>
      </c>
      <c r="E2">
        <v>1.3</v>
      </c>
      <c r="F2">
        <v>1.3</v>
      </c>
      <c r="G2">
        <v>0</v>
      </c>
      <c r="H2">
        <v>0</v>
      </c>
      <c r="I2">
        <v>1</v>
      </c>
      <c r="J2">
        <v>5.1995919908122223</v>
      </c>
      <c r="K2">
        <v>34.834404683874887</v>
      </c>
      <c r="L2">
        <v>0.76379047760302543</v>
      </c>
      <c r="M2">
        <v>1</v>
      </c>
      <c r="N2">
        <v>1</v>
      </c>
      <c r="O2">
        <v>1</v>
      </c>
      <c r="P2">
        <v>1</v>
      </c>
      <c r="Q2">
        <v>0</v>
      </c>
      <c r="T2">
        <v>0</v>
      </c>
      <c r="U2">
        <v>0</v>
      </c>
      <c r="V2">
        <v>0</v>
      </c>
      <c r="W2">
        <v>1</v>
      </c>
      <c r="X2">
        <v>1.3</v>
      </c>
      <c r="Y2">
        <v>1.3</v>
      </c>
      <c r="Z2">
        <v>0</v>
      </c>
      <c r="AA2">
        <v>0</v>
      </c>
      <c r="AB2">
        <v>1</v>
      </c>
      <c r="AC2">
        <v>5.1995919908122197</v>
      </c>
      <c r="AD2">
        <v>34.7758594659187</v>
      </c>
      <c r="AE2">
        <v>0.76362071176623503</v>
      </c>
      <c r="AF2">
        <v>1</v>
      </c>
      <c r="AG2">
        <v>1</v>
      </c>
      <c r="AH2">
        <v>1</v>
      </c>
      <c r="AI2">
        <v>1</v>
      </c>
      <c r="AJ2">
        <v>0</v>
      </c>
    </row>
    <row r="3" spans="1:36" x14ac:dyDescent="0.25">
      <c r="A3">
        <v>20</v>
      </c>
      <c r="B3">
        <v>3.6456434560699962E-2</v>
      </c>
      <c r="C3">
        <v>1.3513513513513513</v>
      </c>
      <c r="D3">
        <v>0.98231873768500277</v>
      </c>
      <c r="E3">
        <v>1.2770143589905036</v>
      </c>
      <c r="F3">
        <v>1.2770143589905036</v>
      </c>
      <c r="G3">
        <v>1.9174389774632188E-2</v>
      </c>
      <c r="H3">
        <v>-1.9174389774632188E-2</v>
      </c>
      <c r="I3">
        <v>1.0097447504501491</v>
      </c>
      <c r="J3">
        <v>5.2502607172052818</v>
      </c>
      <c r="K3">
        <v>34.498228060453435</v>
      </c>
      <c r="L3">
        <v>0.76280885287366584</v>
      </c>
      <c r="M3">
        <v>1.0592967812932639</v>
      </c>
      <c r="N3">
        <v>0.94070321870673612</v>
      </c>
      <c r="O3">
        <v>1.0296483906466318</v>
      </c>
      <c r="P3">
        <v>0.97035160935336806</v>
      </c>
      <c r="Q3">
        <v>2.2050548240827014E-2</v>
      </c>
      <c r="T3">
        <v>20</v>
      </c>
      <c r="U3">
        <v>3.6456434560699899E-2</v>
      </c>
      <c r="V3">
        <v>1.35135135135135</v>
      </c>
      <c r="W3">
        <v>0.982318737685002</v>
      </c>
      <c r="X3">
        <v>1.2770143589905001</v>
      </c>
      <c r="Y3">
        <v>1.2770143589905001</v>
      </c>
      <c r="Z3">
        <v>1.9174389774632102E-2</v>
      </c>
      <c r="AA3">
        <v>-1.9174389774632102E-2</v>
      </c>
      <c r="AB3">
        <v>1.00974475045014</v>
      </c>
      <c r="AC3">
        <v>5.25026071720528</v>
      </c>
      <c r="AD3">
        <v>34.440247845225699</v>
      </c>
      <c r="AE3">
        <v>0.76263787336796096</v>
      </c>
      <c r="AF3">
        <v>1.0592834902383399</v>
      </c>
      <c r="AG3">
        <v>0.940716509761654</v>
      </c>
      <c r="AH3">
        <v>1.0296417451191699</v>
      </c>
      <c r="AI3">
        <v>0.97035825488082705</v>
      </c>
      <c r="AJ3">
        <v>2.2050548240827E-2</v>
      </c>
    </row>
    <row r="4" spans="1:36" x14ac:dyDescent="0.25">
      <c r="A4">
        <v>40</v>
      </c>
      <c r="B4">
        <v>7.2912869121399923E-2</v>
      </c>
      <c r="C4">
        <v>5.4054054054054053</v>
      </c>
      <c r="D4">
        <v>0.98505238363302217</v>
      </c>
      <c r="E4">
        <v>1.2805680987229289</v>
      </c>
      <c r="F4">
        <v>1.2805680987229289</v>
      </c>
      <c r="G4">
        <v>7.6910996920296029E-2</v>
      </c>
      <c r="H4">
        <v>-7.6910996920296029E-2</v>
      </c>
      <c r="I4">
        <v>1.0162717998032109</v>
      </c>
      <c r="J4">
        <v>5.2841987107450974</v>
      </c>
      <c r="K4">
        <v>34.276661706661699</v>
      </c>
      <c r="L4">
        <v>0.76215276885733563</v>
      </c>
      <c r="M4">
        <v>1.1192574978987131</v>
      </c>
      <c r="N4">
        <v>0.88074250210128691</v>
      </c>
      <c r="O4">
        <v>1.0596287489493565</v>
      </c>
      <c r="P4">
        <v>0.94037125105064345</v>
      </c>
      <c r="Q4">
        <v>8.8447646458340426E-2</v>
      </c>
      <c r="T4">
        <v>40</v>
      </c>
      <c r="U4">
        <v>7.2912869121399895E-2</v>
      </c>
      <c r="V4">
        <v>5.4054054054053999</v>
      </c>
      <c r="W4">
        <v>0.98505238363302206</v>
      </c>
      <c r="X4">
        <v>1.28056809872292</v>
      </c>
      <c r="Y4">
        <v>1.28056809872292</v>
      </c>
      <c r="Z4">
        <v>7.6910996920296001E-2</v>
      </c>
      <c r="AA4">
        <v>-7.6910996920296001E-2</v>
      </c>
      <c r="AB4">
        <v>1.01627179980321</v>
      </c>
      <c r="AC4">
        <v>5.2841987107450903</v>
      </c>
      <c r="AD4">
        <v>34.219053871860503</v>
      </c>
      <c r="AE4">
        <v>0.761980980234929</v>
      </c>
      <c r="AF4">
        <v>1.1192306173544</v>
      </c>
      <c r="AG4">
        <v>0.88076938264559801</v>
      </c>
      <c r="AH4">
        <v>1.0596153086772</v>
      </c>
      <c r="AI4">
        <v>0.940384691322799</v>
      </c>
      <c r="AJ4">
        <v>8.8447646458340398E-2</v>
      </c>
    </row>
    <row r="5" spans="1:36" x14ac:dyDescent="0.25">
      <c r="A5">
        <v>60</v>
      </c>
      <c r="B5">
        <v>0.10936930368209989</v>
      </c>
      <c r="C5">
        <v>12.162162162162161</v>
      </c>
      <c r="D5">
        <v>0.99203514002091764</v>
      </c>
      <c r="E5">
        <v>1.2896456820271929</v>
      </c>
      <c r="F5">
        <v>1.2896456820271929</v>
      </c>
      <c r="G5">
        <v>0.17427644351718821</v>
      </c>
      <c r="H5">
        <v>-0.17427644351718821</v>
      </c>
      <c r="I5">
        <v>1.0201794773999653</v>
      </c>
      <c r="J5">
        <v>5.3045170398798582</v>
      </c>
      <c r="K5">
        <v>34.145368982185403</v>
      </c>
      <c r="L5">
        <v>0.76176051789231869</v>
      </c>
      <c r="M5">
        <v>1.179481664341328</v>
      </c>
      <c r="N5">
        <v>0.82051833565867205</v>
      </c>
      <c r="O5">
        <v>1.0897408321706639</v>
      </c>
      <c r="P5">
        <v>0.91025916782933602</v>
      </c>
      <c r="Q5">
        <v>0.20041791004476642</v>
      </c>
      <c r="T5">
        <v>60</v>
      </c>
      <c r="U5">
        <v>0.109369303682099</v>
      </c>
      <c r="V5">
        <v>12.162162162162099</v>
      </c>
      <c r="W5">
        <v>0.99203514002091697</v>
      </c>
      <c r="X5">
        <v>1.28964568202719</v>
      </c>
      <c r="Y5">
        <v>1.28964568202719</v>
      </c>
      <c r="Z5">
        <v>0.17427644351718799</v>
      </c>
      <c r="AA5">
        <v>-0.17427644351718799</v>
      </c>
      <c r="AB5">
        <v>1.02017947739996</v>
      </c>
      <c r="AC5">
        <v>5.3045170398798502</v>
      </c>
      <c r="AD5">
        <v>34.0879818074254</v>
      </c>
      <c r="AE5">
        <v>0.76158824631322597</v>
      </c>
      <c r="AF5">
        <v>1.1794410746953501</v>
      </c>
      <c r="AG5">
        <v>0.82055892530464003</v>
      </c>
      <c r="AH5">
        <v>1.0897205373476699</v>
      </c>
      <c r="AI5">
        <v>0.91027946265231996</v>
      </c>
      <c r="AJ5">
        <v>0.200417910044766</v>
      </c>
    </row>
    <row r="6" spans="1:36" x14ac:dyDescent="0.25">
      <c r="A6">
        <v>80</v>
      </c>
      <c r="B6">
        <v>0.14582573824279985</v>
      </c>
      <c r="C6">
        <v>21.621621621621621</v>
      </c>
      <c r="D6">
        <v>0.99554771993282509</v>
      </c>
      <c r="E6">
        <v>1.2942120359126728</v>
      </c>
      <c r="F6">
        <v>1.2942120359126728</v>
      </c>
      <c r="G6">
        <v>0.31092181042947092</v>
      </c>
      <c r="H6">
        <v>-0.31092181042947092</v>
      </c>
      <c r="I6">
        <v>1.0220661125811914</v>
      </c>
      <c r="J6">
        <v>5.3143267730577461</v>
      </c>
      <c r="K6">
        <v>34.082339933863807</v>
      </c>
      <c r="L6">
        <v>0.76157128276703667</v>
      </c>
      <c r="M6">
        <v>1.2396918851569734</v>
      </c>
      <c r="N6">
        <v>0.76030811484302652</v>
      </c>
      <c r="O6">
        <v>1.1198459425784868</v>
      </c>
      <c r="P6">
        <v>0.88015405742151331</v>
      </c>
      <c r="Q6">
        <v>0.35756008199389155</v>
      </c>
      <c r="T6">
        <v>80</v>
      </c>
      <c r="U6">
        <v>0.14582573824279901</v>
      </c>
      <c r="V6">
        <v>21.6216216216216</v>
      </c>
      <c r="W6">
        <v>0.99554771993282498</v>
      </c>
      <c r="X6">
        <v>1.2942120359126701</v>
      </c>
      <c r="Y6">
        <v>1.2942120359126701</v>
      </c>
      <c r="Z6">
        <v>0.31092181042946998</v>
      </c>
      <c r="AA6">
        <v>-0.31092181042946998</v>
      </c>
      <c r="AB6">
        <v>1.0220661125811901</v>
      </c>
      <c r="AC6">
        <v>5.3143267730577399</v>
      </c>
      <c r="AD6">
        <v>34.025058690277397</v>
      </c>
      <c r="AE6">
        <v>0.76139877840403303</v>
      </c>
      <c r="AF6">
        <v>1.23963759227999</v>
      </c>
      <c r="AG6">
        <v>0.76036240772000496</v>
      </c>
      <c r="AH6">
        <v>1.1198187961399899</v>
      </c>
      <c r="AI6">
        <v>0.88018120386000198</v>
      </c>
      <c r="AJ6">
        <v>0.357560081993891</v>
      </c>
    </row>
    <row r="7" spans="1:36" x14ac:dyDescent="0.25">
      <c r="A7">
        <v>100</v>
      </c>
      <c r="B7">
        <v>0.18228217280349981</v>
      </c>
      <c r="C7">
        <v>33.783783783783782</v>
      </c>
      <c r="D7">
        <v>0.99336768709021706</v>
      </c>
      <c r="E7">
        <v>1.2913779932172822</v>
      </c>
      <c r="F7">
        <v>1.2913779932172822</v>
      </c>
      <c r="G7">
        <v>0.48475149895543623</v>
      </c>
      <c r="H7">
        <v>-0.48475149895543623</v>
      </c>
      <c r="I7">
        <v>1.0225300346876689</v>
      </c>
      <c r="J7">
        <v>5.3167389787269475</v>
      </c>
      <c r="K7">
        <v>34.066876768578268</v>
      </c>
      <c r="L7">
        <v>0.7615247643998343</v>
      </c>
      <c r="M7">
        <v>1.2997325440665597</v>
      </c>
      <c r="N7">
        <v>0.70026745593344031</v>
      </c>
      <c r="O7">
        <v>1.14986627203328</v>
      </c>
      <c r="P7">
        <v>0.85013372796672015</v>
      </c>
      <c r="Q7">
        <v>0.5574642237987516</v>
      </c>
      <c r="T7">
        <v>100</v>
      </c>
      <c r="U7">
        <v>0.18228217280349901</v>
      </c>
      <c r="V7">
        <v>33.783783783783697</v>
      </c>
      <c r="W7">
        <v>0.99336768709021595</v>
      </c>
      <c r="X7">
        <v>1.29137799321728</v>
      </c>
      <c r="Y7">
        <v>1.29137799321728</v>
      </c>
      <c r="Z7">
        <v>0.48475149895543601</v>
      </c>
      <c r="AA7">
        <v>-0.48475149895543601</v>
      </c>
      <c r="AB7">
        <v>1.02253003468766</v>
      </c>
      <c r="AC7">
        <v>5.3167389787269403</v>
      </c>
      <c r="AD7">
        <v>34.009621513505003</v>
      </c>
      <c r="AE7">
        <v>0.76135220283416705</v>
      </c>
      <c r="AF7">
        <v>1.2996646246507899</v>
      </c>
      <c r="AG7">
        <v>0.70033537534920098</v>
      </c>
      <c r="AH7">
        <v>1.14983231232539</v>
      </c>
      <c r="AI7">
        <v>0.85016768767460005</v>
      </c>
      <c r="AJ7">
        <v>0.55746422379875105</v>
      </c>
    </row>
    <row r="8" spans="1:36" x14ac:dyDescent="0.25">
      <c r="A8">
        <v>120</v>
      </c>
      <c r="B8">
        <v>0.21873860736419978</v>
      </c>
      <c r="C8">
        <v>48.648648648648646</v>
      </c>
      <c r="D8">
        <v>0.98644503439578046</v>
      </c>
      <c r="E8">
        <v>1.2823785447145146</v>
      </c>
      <c r="F8">
        <v>1.2823785447145146</v>
      </c>
      <c r="G8">
        <v>0.69317759173757543</v>
      </c>
      <c r="H8">
        <v>-0.69317759173757543</v>
      </c>
      <c r="I8">
        <v>1.0221695730601772</v>
      </c>
      <c r="J8">
        <v>5.3148647253356458</v>
      </c>
      <c r="K8">
        <v>34.078890236956909</v>
      </c>
      <c r="L8">
        <v>0.76156090809225352</v>
      </c>
      <c r="M8">
        <v>1.359569324218088</v>
      </c>
      <c r="N8">
        <v>0.64043067578191204</v>
      </c>
      <c r="O8">
        <v>1.179784662109044</v>
      </c>
      <c r="P8">
        <v>0.82021533789095602</v>
      </c>
      <c r="Q8">
        <v>0.79715423049821166</v>
      </c>
      <c r="T8">
        <v>120</v>
      </c>
      <c r="U8">
        <v>0.21873860736419901</v>
      </c>
      <c r="V8">
        <v>48.648648648648603</v>
      </c>
      <c r="W8">
        <v>0.98644503439578002</v>
      </c>
      <c r="X8">
        <v>1.28237854471451</v>
      </c>
      <c r="Y8">
        <v>1.28237854471451</v>
      </c>
      <c r="Z8">
        <v>0.69317759173757498</v>
      </c>
      <c r="AA8">
        <v>-0.69317759173757498</v>
      </c>
      <c r="AB8">
        <v>1.0221695730601701</v>
      </c>
      <c r="AC8">
        <v>5.3148647253356396</v>
      </c>
      <c r="AD8">
        <v>34.021614791180497</v>
      </c>
      <c r="AE8">
        <v>0.76138839097101096</v>
      </c>
      <c r="AF8">
        <v>1.359487870635</v>
      </c>
      <c r="AG8">
        <v>0.64051212936499602</v>
      </c>
      <c r="AH8">
        <v>1.1797439353175001</v>
      </c>
      <c r="AI8">
        <v>0.82025606468249801</v>
      </c>
      <c r="AJ8">
        <v>0.79715423049821099</v>
      </c>
    </row>
    <row r="9" spans="1:36" x14ac:dyDescent="0.25">
      <c r="A9">
        <v>140</v>
      </c>
      <c r="B9">
        <v>0.25519504192489972</v>
      </c>
      <c r="C9">
        <v>66.21621621621621</v>
      </c>
      <c r="D9">
        <v>0.97714148358009778</v>
      </c>
      <c r="E9">
        <v>1.2702839286541272</v>
      </c>
      <c r="F9">
        <v>1.2702839286541272</v>
      </c>
      <c r="G9">
        <v>0.93459328084162507</v>
      </c>
      <c r="H9">
        <v>-0.93459328084162507</v>
      </c>
      <c r="I9">
        <v>1.0215830570394959</v>
      </c>
      <c r="J9">
        <v>5.3118150813320284</v>
      </c>
      <c r="K9">
        <v>34.098455768073826</v>
      </c>
      <c r="L9">
        <v>0.76161972572083836</v>
      </c>
      <c r="M9">
        <v>1.4192892196934102</v>
      </c>
      <c r="N9">
        <v>0.58071078030658996</v>
      </c>
      <c r="O9">
        <v>1.2096446098467051</v>
      </c>
      <c r="P9">
        <v>0.79035539015329492</v>
      </c>
      <c r="Q9">
        <v>1.0747822729678687</v>
      </c>
      <c r="T9">
        <v>140</v>
      </c>
      <c r="U9">
        <v>0.255195041924899</v>
      </c>
      <c r="V9">
        <v>66.216216216216196</v>
      </c>
      <c r="W9">
        <v>0.977141483580097</v>
      </c>
      <c r="X9">
        <v>1.2702839286541201</v>
      </c>
      <c r="Y9">
        <v>1.2702839286541201</v>
      </c>
      <c r="Z9">
        <v>0.93459328084162496</v>
      </c>
      <c r="AA9">
        <v>-0.93459328084162496</v>
      </c>
      <c r="AB9">
        <v>1.0215830570394899</v>
      </c>
      <c r="AC9">
        <v>5.3118150813320204</v>
      </c>
      <c r="AD9">
        <v>34.041147439051798</v>
      </c>
      <c r="AE9">
        <v>0.76144728093593095</v>
      </c>
      <c r="AF9">
        <v>1.4191942848632499</v>
      </c>
      <c r="AG9">
        <v>0.58080571513674395</v>
      </c>
      <c r="AH9">
        <v>1.2095971424316201</v>
      </c>
      <c r="AI9">
        <v>0.79040285756837203</v>
      </c>
      <c r="AJ9">
        <v>1.07478227296786</v>
      </c>
    </row>
    <row r="10" spans="1:36" x14ac:dyDescent="0.25">
      <c r="A10">
        <v>142.9101466772392</v>
      </c>
      <c r="B10">
        <v>0.26049972051994019</v>
      </c>
      <c r="C10">
        <v>68.997668997668995</v>
      </c>
      <c r="D10">
        <v>0.97574482194715517</v>
      </c>
      <c r="E10">
        <v>1.2684682685313018</v>
      </c>
      <c r="F10">
        <v>1.2684682685313018</v>
      </c>
      <c r="G10">
        <v>0.97245948584632302</v>
      </c>
      <c r="H10">
        <v>-0.97245948584632302</v>
      </c>
      <c r="I10">
        <v>1.0215145369967629</v>
      </c>
      <c r="J10">
        <v>5.311458805066624</v>
      </c>
      <c r="K10">
        <v>34.100742987258407</v>
      </c>
      <c r="L10">
        <v>0.76162659771395014</v>
      </c>
      <c r="M10">
        <v>1.4279800391547399</v>
      </c>
      <c r="N10">
        <v>0.57201996084526008</v>
      </c>
      <c r="O10">
        <v>1.2139900195773698</v>
      </c>
      <c r="P10">
        <v>0.78600998042263004</v>
      </c>
      <c r="Q10">
        <v>1.1183284087232714</v>
      </c>
      <c r="T10">
        <v>142.79000361550001</v>
      </c>
      <c r="U10">
        <v>0.260280721136529</v>
      </c>
      <c r="V10">
        <v>68.881706528765307</v>
      </c>
      <c r="W10">
        <v>0.97580230946303004</v>
      </c>
      <c r="X10">
        <v>1.26854300230193</v>
      </c>
      <c r="Y10">
        <v>1.26854300230193</v>
      </c>
      <c r="Z10">
        <v>0.97088229781867796</v>
      </c>
      <c r="AA10">
        <v>-0.97088229781867796</v>
      </c>
      <c r="AB10">
        <v>1.02151718599143</v>
      </c>
      <c r="AC10">
        <v>5.3114725787581101</v>
      </c>
      <c r="AD10">
        <v>34.043342532868799</v>
      </c>
      <c r="AE10">
        <v>0.76145389538004904</v>
      </c>
      <c r="AF10">
        <v>1.42752438462204</v>
      </c>
      <c r="AG10">
        <v>0.57247561537795499</v>
      </c>
      <c r="AH10">
        <v>1.21376219231102</v>
      </c>
      <c r="AI10">
        <v>0.786237807688977</v>
      </c>
      <c r="AJ10">
        <v>1.11651464249148</v>
      </c>
    </row>
    <row r="11" spans="1:36" x14ac:dyDescent="0.25">
      <c r="A11">
        <v>160</v>
      </c>
      <c r="B11">
        <v>0.29165147648559969</v>
      </c>
      <c r="C11">
        <v>86.486486486486484</v>
      </c>
      <c r="D11">
        <v>0.96797198824011055</v>
      </c>
      <c r="E11">
        <v>1.2583635847121437</v>
      </c>
      <c r="F11">
        <v>1.2583635847121437</v>
      </c>
      <c r="G11">
        <v>1.2092382796032612</v>
      </c>
      <c r="H11">
        <v>-1.2092382796032612</v>
      </c>
      <c r="I11">
        <v>1.0213688159664043</v>
      </c>
      <c r="J11">
        <v>5.310701115164278</v>
      </c>
      <c r="K11">
        <v>34.105608218432913</v>
      </c>
      <c r="L11">
        <v>0.76164121273940144</v>
      </c>
      <c r="M11">
        <v>1.4791007030428203</v>
      </c>
      <c r="N11">
        <v>0.52089929695717974</v>
      </c>
      <c r="O11">
        <v>1.2395503515214101</v>
      </c>
      <c r="P11">
        <v>0.76044964847858987</v>
      </c>
      <c r="Q11">
        <v>1.3906240215437504</v>
      </c>
      <c r="T11">
        <v>160</v>
      </c>
      <c r="U11">
        <v>0.29165147648559903</v>
      </c>
      <c r="V11">
        <v>86.486486486486399</v>
      </c>
      <c r="W11">
        <v>0.96797198824010999</v>
      </c>
      <c r="X11">
        <v>1.2583635847121399</v>
      </c>
      <c r="Y11">
        <v>1.2583635847121399</v>
      </c>
      <c r="Z11">
        <v>1.2092382796032599</v>
      </c>
      <c r="AA11">
        <v>-1.2092382796032599</v>
      </c>
      <c r="AB11">
        <v>1.0213688159664001</v>
      </c>
      <c r="AC11">
        <v>5.31070111516427</v>
      </c>
      <c r="AD11">
        <v>34.0482878684859</v>
      </c>
      <c r="AE11">
        <v>0.76146879438341697</v>
      </c>
      <c r="AF11">
        <v>1.4789922454722599</v>
      </c>
      <c r="AG11">
        <v>0.52100775452773596</v>
      </c>
      <c r="AH11">
        <v>1.2394961227361301</v>
      </c>
      <c r="AI11">
        <v>0.76050387726386803</v>
      </c>
      <c r="AJ11">
        <v>1.39062402154375</v>
      </c>
    </row>
    <row r="12" spans="1:36" x14ac:dyDescent="0.25">
      <c r="A12">
        <v>180</v>
      </c>
      <c r="B12">
        <v>0.32810791104629966</v>
      </c>
      <c r="C12">
        <v>109.45945945945945</v>
      </c>
      <c r="D12">
        <v>0.96078692255835962</v>
      </c>
      <c r="E12">
        <v>1.2490229993258675</v>
      </c>
      <c r="F12">
        <v>1.2490229993258675</v>
      </c>
      <c r="G12">
        <v>1.5190820262071361</v>
      </c>
      <c r="H12">
        <v>-1.5190820262071361</v>
      </c>
      <c r="I12">
        <v>1.0221251791816821</v>
      </c>
      <c r="J12">
        <v>5.3146338952805818</v>
      </c>
      <c r="K12">
        <v>34.08037038258216</v>
      </c>
      <c r="L12">
        <v>0.76156535972899653</v>
      </c>
      <c r="M12">
        <v>1.5393337142363523</v>
      </c>
      <c r="N12">
        <v>0.46066628576364754</v>
      </c>
      <c r="O12">
        <v>1.2696668571181762</v>
      </c>
      <c r="P12">
        <v>0.73033314288182383</v>
      </c>
      <c r="Q12">
        <v>1.7469443301382064</v>
      </c>
      <c r="T12">
        <v>180</v>
      </c>
      <c r="U12">
        <v>0.32810791104629899</v>
      </c>
      <c r="V12">
        <v>109.459459459459</v>
      </c>
      <c r="W12">
        <v>0.96078692255835896</v>
      </c>
      <c r="X12">
        <v>1.2490229993258599</v>
      </c>
      <c r="Y12">
        <v>1.2490229993258599</v>
      </c>
      <c r="Z12">
        <v>1.5190820262071301</v>
      </c>
      <c r="AA12">
        <v>-1.5190820262071301</v>
      </c>
      <c r="AB12">
        <v>1.0221251791816801</v>
      </c>
      <c r="AC12">
        <v>5.3146338952805801</v>
      </c>
      <c r="AD12">
        <v>34.023092449166001</v>
      </c>
      <c r="AE12">
        <v>0.76139284808209595</v>
      </c>
      <c r="AF12">
        <v>1.5392115430450199</v>
      </c>
      <c r="AG12">
        <v>0.460788456954974</v>
      </c>
      <c r="AH12">
        <v>1.26960577152251</v>
      </c>
      <c r="AI12">
        <v>0.73039422847748703</v>
      </c>
      <c r="AJ12">
        <v>1.7469443301381999</v>
      </c>
    </row>
    <row r="13" spans="1:36" x14ac:dyDescent="0.25">
      <c r="A13">
        <v>192.92</v>
      </c>
      <c r="B13">
        <v>0.35165876777251182</v>
      </c>
      <c r="C13">
        <v>125.73691351351349</v>
      </c>
      <c r="D13">
        <v>0.95760209923017847</v>
      </c>
      <c r="E13">
        <v>1.2448827289992321</v>
      </c>
      <c r="F13">
        <v>1.2448827289992321</v>
      </c>
      <c r="G13">
        <v>1.739196800340479</v>
      </c>
      <c r="H13">
        <v>-1.739196800340479</v>
      </c>
      <c r="I13">
        <v>1.0234103893576396</v>
      </c>
      <c r="J13">
        <v>5.3213164638180013</v>
      </c>
      <c r="K13">
        <v>34.037571873526971</v>
      </c>
      <c r="L13">
        <v>0.76143650515606098</v>
      </c>
      <c r="M13">
        <v>1.5786747923507198</v>
      </c>
      <c r="N13">
        <v>0.42132520764928016</v>
      </c>
      <c r="O13">
        <v>1.2893373961753598</v>
      </c>
      <c r="P13">
        <v>0.71066260382464008</v>
      </c>
      <c r="Q13">
        <v>2.0000763203915506</v>
      </c>
      <c r="T13">
        <v>192.91620192527699</v>
      </c>
      <c r="U13">
        <v>0.35165184455938298</v>
      </c>
      <c r="V13">
        <v>125.731962720521</v>
      </c>
      <c r="W13">
        <v>0.95760286614602697</v>
      </c>
      <c r="X13">
        <v>1.24488372598983</v>
      </c>
      <c r="Y13">
        <v>1.24488372598983</v>
      </c>
      <c r="Z13">
        <v>1.73912971363931</v>
      </c>
      <c r="AA13">
        <v>-1.73912971363931</v>
      </c>
      <c r="AB13">
        <v>1.0234098995389</v>
      </c>
      <c r="AC13">
        <v>5.32131391696044</v>
      </c>
      <c r="AD13">
        <v>33.980382133871103</v>
      </c>
      <c r="AE13">
        <v>0.76126388424367497</v>
      </c>
      <c r="AF13">
        <v>1.5785319374426501</v>
      </c>
      <c r="AG13">
        <v>0.42146806255734398</v>
      </c>
      <c r="AH13">
        <v>1.2892659687213199</v>
      </c>
      <c r="AI13">
        <v>0.71073403127867196</v>
      </c>
      <c r="AJ13">
        <v>2</v>
      </c>
    </row>
    <row r="14" spans="1:36" x14ac:dyDescent="0.25">
      <c r="A14">
        <v>200</v>
      </c>
      <c r="B14">
        <v>0.36456434560699963</v>
      </c>
      <c r="C14">
        <v>135.13513513513513</v>
      </c>
      <c r="D14">
        <v>0.95633343799197768</v>
      </c>
      <c r="E14">
        <v>1.243233469389571</v>
      </c>
      <c r="F14">
        <v>1.243233469389571</v>
      </c>
      <c r="G14">
        <v>1.866716921005362</v>
      </c>
      <c r="H14">
        <v>-1.866716921005362</v>
      </c>
      <c r="I14">
        <v>1.0244504760261086</v>
      </c>
      <c r="J14">
        <v>5.3267244901291226</v>
      </c>
      <c r="K14">
        <v>34.003014786033553</v>
      </c>
      <c r="L14">
        <v>0.76133225846946062</v>
      </c>
      <c r="M14">
        <v>1.6004391362870063</v>
      </c>
      <c r="N14">
        <v>0.3995608637129936</v>
      </c>
      <c r="O14">
        <v>1.3002195681435031</v>
      </c>
      <c r="P14">
        <v>0.69978043185649685</v>
      </c>
      <c r="Q14">
        <v>2.1467244591561663</v>
      </c>
      <c r="T14">
        <v>200</v>
      </c>
      <c r="U14">
        <v>0.36456434560699902</v>
      </c>
      <c r="V14">
        <v>135.13513513513499</v>
      </c>
      <c r="W14">
        <v>0.95633343799197601</v>
      </c>
      <c r="X14">
        <v>1.2432334693895599</v>
      </c>
      <c r="Y14">
        <v>1.2432334693895599</v>
      </c>
      <c r="Z14">
        <v>1.86671692100535</v>
      </c>
      <c r="AA14">
        <v>-1.86671692100535</v>
      </c>
      <c r="AB14">
        <v>1.0244504760261</v>
      </c>
      <c r="AC14">
        <v>5.32672449012912</v>
      </c>
      <c r="AD14">
        <v>33.945866862023401</v>
      </c>
      <c r="AE14">
        <v>0.76115946027139003</v>
      </c>
      <c r="AF14">
        <v>1.6003028557082599</v>
      </c>
      <c r="AG14">
        <v>0.39969714429173703</v>
      </c>
      <c r="AH14">
        <v>1.30015142785413</v>
      </c>
      <c r="AI14">
        <v>0.69984857214586804</v>
      </c>
      <c r="AJ14">
        <v>2.1467244591561601</v>
      </c>
    </row>
    <row r="15" spans="1:36" x14ac:dyDescent="0.25">
      <c r="A15">
        <v>220</v>
      </c>
      <c r="B15">
        <v>0.4010207801676996</v>
      </c>
      <c r="C15">
        <v>163.51351351351352</v>
      </c>
      <c r="D15">
        <v>0.95413447022041731</v>
      </c>
      <c r="E15">
        <v>1.2403748112865425</v>
      </c>
      <c r="F15">
        <v>1.2403748112865425</v>
      </c>
      <c r="G15">
        <v>2.2535338163013758</v>
      </c>
      <c r="H15">
        <v>-2.2535338163013758</v>
      </c>
      <c r="I15">
        <v>1.0289430358404634</v>
      </c>
      <c r="J15">
        <v>5.3500839681580867</v>
      </c>
      <c r="K15">
        <v>33.854551195267454</v>
      </c>
      <c r="L15">
        <v>0.76088230211757024</v>
      </c>
      <c r="M15">
        <v>1.6629874250710142</v>
      </c>
      <c r="N15">
        <v>0.33701257492898584</v>
      </c>
      <c r="O15">
        <v>1.3314937125355071</v>
      </c>
      <c r="P15">
        <v>0.66850628746449292</v>
      </c>
      <c r="T15">
        <v>220</v>
      </c>
      <c r="U15">
        <v>0.40102078016769899</v>
      </c>
      <c r="V15">
        <v>163.513513513513</v>
      </c>
      <c r="W15">
        <v>0.95413447022041697</v>
      </c>
      <c r="X15">
        <v>1.24037481128654</v>
      </c>
      <c r="Y15">
        <v>1.24037481128654</v>
      </c>
      <c r="Z15">
        <v>2.2535338163013701</v>
      </c>
      <c r="AA15">
        <v>-2.2535338163013701</v>
      </c>
      <c r="AB15">
        <v>1.0289430358404601</v>
      </c>
      <c r="AC15">
        <v>5.3500839681580796</v>
      </c>
      <c r="AD15">
        <v>33.797652789897199</v>
      </c>
      <c r="AE15">
        <v>0.76070895137712302</v>
      </c>
      <c r="AF15">
        <v>1.66283637758216</v>
      </c>
      <c r="AG15">
        <v>0.33716362241783299</v>
      </c>
      <c r="AH15">
        <v>1.3314181887910801</v>
      </c>
      <c r="AI15">
        <v>0.66858181120891602</v>
      </c>
      <c r="AJ15">
        <v>2.5915638887465802</v>
      </c>
    </row>
    <row r="16" spans="1:36" x14ac:dyDescent="0.25">
      <c r="A16">
        <v>226</v>
      </c>
      <c r="B16">
        <v>0.41195771053590957</v>
      </c>
      <c r="C16">
        <v>172.55405405405406</v>
      </c>
      <c r="D16">
        <v>0.95370383890212374</v>
      </c>
      <c r="E16">
        <v>1.2398149905727609</v>
      </c>
      <c r="F16">
        <v>1.2398149905727609</v>
      </c>
      <c r="G16">
        <v>2.3770566988924302</v>
      </c>
      <c r="H16">
        <v>-2.3770566988924302</v>
      </c>
      <c r="I16">
        <v>1.0308028703003524</v>
      </c>
      <c r="J16">
        <v>5.3597543485199628</v>
      </c>
      <c r="K16">
        <v>33.793468846012168</v>
      </c>
      <c r="L16">
        <v>0.76069618435827913</v>
      </c>
      <c r="M16">
        <v>1.6821330496239617</v>
      </c>
      <c r="N16">
        <v>0.3178669503760384</v>
      </c>
      <c r="O16">
        <v>1.3410665248119809</v>
      </c>
      <c r="P16">
        <v>0.65893347518801915</v>
      </c>
      <c r="T16">
        <v>225.77081926432899</v>
      </c>
      <c r="U16">
        <v>0.41153995491128098</v>
      </c>
      <c r="V16">
        <v>172.204266321913</v>
      </c>
      <c r="W16">
        <v>0.95371973370723695</v>
      </c>
      <c r="X16">
        <v>1.2398356538194</v>
      </c>
      <c r="Y16">
        <v>1.2398356538194</v>
      </c>
      <c r="Z16">
        <v>2.5</v>
      </c>
      <c r="AA16">
        <v>-2.3722776569524502</v>
      </c>
      <c r="AB16">
        <v>1.03072706446266</v>
      </c>
      <c r="AC16">
        <v>5.3593601890934499</v>
      </c>
      <c r="AD16">
        <v>33.739154296921498</v>
      </c>
      <c r="AE16">
        <v>0.76053019887349904</v>
      </c>
      <c r="AF16">
        <v>1.68124252163777</v>
      </c>
      <c r="AG16">
        <v>0.31875747836222301</v>
      </c>
      <c r="AH16">
        <v>1.3406212608188799</v>
      </c>
      <c r="AI16">
        <v>0.65937873918111101</v>
      </c>
      <c r="AJ16">
        <v>2.7281193054953201</v>
      </c>
    </row>
    <row r="17" spans="1:36" x14ac:dyDescent="0.25">
      <c r="A17">
        <v>240</v>
      </c>
      <c r="B17">
        <v>0.43747721472839957</v>
      </c>
      <c r="C17">
        <v>194.59459459459458</v>
      </c>
      <c r="D17">
        <v>0.95262387864091691</v>
      </c>
      <c r="E17">
        <v>1.238411042233192</v>
      </c>
      <c r="F17">
        <v>1.238411042233192</v>
      </c>
      <c r="G17">
        <v>2.6776454967204151</v>
      </c>
      <c r="H17">
        <v>-2.6776454967204151</v>
      </c>
      <c r="I17">
        <v>1.036201187965526</v>
      </c>
      <c r="J17">
        <v>5.3878233978156587</v>
      </c>
      <c r="K17">
        <v>33.617414348142795</v>
      </c>
      <c r="L17">
        <v>0.76015647806718767</v>
      </c>
      <c r="M17">
        <v>1.727666068680463</v>
      </c>
      <c r="N17">
        <v>0.27233393131953698</v>
      </c>
      <c r="O17">
        <v>1.3638330343402316</v>
      </c>
      <c r="P17">
        <v>0.63616696565976849</v>
      </c>
      <c r="T17">
        <v>240</v>
      </c>
      <c r="U17">
        <v>0.43747721472839901</v>
      </c>
      <c r="V17">
        <v>194.59459459459401</v>
      </c>
      <c r="W17">
        <v>0.95262387864091602</v>
      </c>
      <c r="X17">
        <v>1.23841104223319</v>
      </c>
      <c r="Y17">
        <v>1.23841104223319</v>
      </c>
      <c r="Z17">
        <v>2.6776454967204102</v>
      </c>
      <c r="AA17">
        <v>-2.6776454967204102</v>
      </c>
      <c r="AB17">
        <v>1.03620118796552</v>
      </c>
      <c r="AC17">
        <v>5.3878233978156498</v>
      </c>
      <c r="AD17">
        <v>33.560914492095499</v>
      </c>
      <c r="AE17">
        <v>0.75998223765555795</v>
      </c>
      <c r="AF17">
        <v>1.7274992756069301</v>
      </c>
      <c r="AG17">
        <v>0.27250072439306</v>
      </c>
      <c r="AH17">
        <v>1.3637496378034599</v>
      </c>
      <c r="AI17">
        <v>0.63625036219652997</v>
      </c>
      <c r="AJ17">
        <v>3.0792923212284702</v>
      </c>
    </row>
    <row r="18" spans="1:36" x14ac:dyDescent="0.25">
      <c r="A18">
        <v>260</v>
      </c>
      <c r="B18">
        <v>0.47393364928909948</v>
      </c>
      <c r="C18">
        <v>228.37837837837839</v>
      </c>
      <c r="D18">
        <v>0.94947620070065797</v>
      </c>
      <c r="E18">
        <v>1.2343190609108554</v>
      </c>
      <c r="F18">
        <v>1.2343190609108554</v>
      </c>
      <c r="G18">
        <v>3.1321309503593775</v>
      </c>
      <c r="H18">
        <v>-3.1321309503593775</v>
      </c>
      <c r="I18">
        <v>1.0468232617420759</v>
      </c>
      <c r="J18">
        <v>5.4430538475500239</v>
      </c>
      <c r="K18">
        <v>33.276299789044664</v>
      </c>
      <c r="L18">
        <v>0.75909675045286407</v>
      </c>
      <c r="M18">
        <v>1.79527556802621</v>
      </c>
      <c r="N18">
        <v>0.20472443197378998</v>
      </c>
      <c r="O18">
        <v>1.3976377840131051</v>
      </c>
      <c r="P18">
        <v>0.60236221598689499</v>
      </c>
      <c r="T18">
        <v>260</v>
      </c>
      <c r="U18">
        <v>0.47393364928909898</v>
      </c>
      <c r="V18">
        <v>228.37837837837799</v>
      </c>
      <c r="W18">
        <v>0.94947620070066097</v>
      </c>
      <c r="X18">
        <v>1.2343190609108601</v>
      </c>
      <c r="Y18">
        <v>1.2343190609108601</v>
      </c>
      <c r="Z18">
        <v>3.1321309503593802</v>
      </c>
      <c r="AA18">
        <v>-3.1321309503593802</v>
      </c>
      <c r="AB18">
        <v>1.0468232617420701</v>
      </c>
      <c r="AC18">
        <v>5.4430538475500203</v>
      </c>
      <c r="AD18">
        <v>33.220373234777298</v>
      </c>
      <c r="AE18">
        <v>0.75892121471478302</v>
      </c>
      <c r="AF18">
        <v>1.7950916661932299</v>
      </c>
      <c r="AG18">
        <v>0.20490833380675999</v>
      </c>
      <c r="AH18">
        <v>1.39754583309661</v>
      </c>
      <c r="AI18">
        <v>0.60245416690338005</v>
      </c>
      <c r="AJ18">
        <v>3.60195059291329</v>
      </c>
    </row>
    <row r="19" spans="1:36" x14ac:dyDescent="0.25">
      <c r="A19">
        <v>280</v>
      </c>
      <c r="B19">
        <v>0.51039008384979945</v>
      </c>
      <c r="C19">
        <v>264.86486486486484</v>
      </c>
      <c r="D19">
        <v>0.94206950335464035</v>
      </c>
      <c r="E19">
        <v>1.2246903543610326</v>
      </c>
      <c r="F19">
        <v>1.2246903543610326</v>
      </c>
      <c r="G19">
        <v>3.6041938356570924</v>
      </c>
      <c r="H19">
        <v>-3.6041938356570924</v>
      </c>
      <c r="I19">
        <v>1.0614075865108925</v>
      </c>
      <c r="J19">
        <v>5.5188863858093677</v>
      </c>
      <c r="K19">
        <v>32.819065104277357</v>
      </c>
      <c r="L19">
        <v>0.75764652707926328</v>
      </c>
      <c r="M19">
        <v>1.8667236581448772</v>
      </c>
      <c r="N19">
        <v>0.13327634185512294</v>
      </c>
      <c r="O19">
        <v>1.4333618290724386</v>
      </c>
      <c r="P19">
        <v>0.56663817092756141</v>
      </c>
      <c r="T19">
        <v>280</v>
      </c>
      <c r="U19">
        <v>0.510390083849799</v>
      </c>
      <c r="V19">
        <v>264.86486486486399</v>
      </c>
      <c r="W19">
        <v>0.94206950335464001</v>
      </c>
      <c r="X19">
        <v>1.2246903543610299</v>
      </c>
      <c r="Y19">
        <v>1.2246903543610299</v>
      </c>
      <c r="Z19">
        <v>3.6041938356570902</v>
      </c>
      <c r="AA19">
        <v>-3.6041938356570902</v>
      </c>
      <c r="AB19">
        <v>1.0614075865108901</v>
      </c>
      <c r="AC19">
        <v>5.5188863858093598</v>
      </c>
      <c r="AD19">
        <v>32.763907011665097</v>
      </c>
      <c r="AE19">
        <v>0.75746922567431996</v>
      </c>
      <c r="AF19">
        <v>1.8665208309467101</v>
      </c>
      <c r="AG19">
        <v>0.13347916905328699</v>
      </c>
      <c r="AH19">
        <v>1.4332604154733499</v>
      </c>
      <c r="AI19">
        <v>0.56673958452664297</v>
      </c>
      <c r="AJ19">
        <v>4.14482291100565</v>
      </c>
    </row>
    <row r="20" spans="1:36" x14ac:dyDescent="0.25">
      <c r="A20">
        <v>300</v>
      </c>
      <c r="B20">
        <v>0.54684651841049947</v>
      </c>
      <c r="C20">
        <v>304.05405405405406</v>
      </c>
      <c r="D20">
        <v>0.92801981393819266</v>
      </c>
      <c r="E20">
        <v>1.2064257581196505</v>
      </c>
      <c r="F20">
        <v>1.2064257581196505</v>
      </c>
      <c r="G20">
        <v>4.0757626963501705</v>
      </c>
      <c r="H20">
        <v>-4.0757626963501705</v>
      </c>
      <c r="I20">
        <v>1.0805524916127554</v>
      </c>
      <c r="J20">
        <v>5.618432081041874</v>
      </c>
      <c r="K20">
        <v>32.237586747760432</v>
      </c>
      <c r="L20">
        <v>0.75575120288524511</v>
      </c>
      <c r="M20">
        <v>1.9430175310754119</v>
      </c>
      <c r="N20">
        <v>5.6982468924588026E-2</v>
      </c>
      <c r="O20">
        <v>1.4715087655377059</v>
      </c>
      <c r="P20">
        <v>0.52849123446229407</v>
      </c>
      <c r="T20">
        <v>300</v>
      </c>
      <c r="U20">
        <v>0.54684651841049903</v>
      </c>
      <c r="V20">
        <v>304.05405405405401</v>
      </c>
      <c r="W20">
        <v>0.928019813938192</v>
      </c>
      <c r="X20">
        <v>1.20642575811965</v>
      </c>
      <c r="Y20">
        <v>1.20642575811965</v>
      </c>
      <c r="Z20">
        <v>4.0757626963501696</v>
      </c>
      <c r="AA20">
        <v>-4.0757626963501696</v>
      </c>
      <c r="AB20">
        <v>1.08055249161275</v>
      </c>
      <c r="AC20">
        <v>5.6184320810418704</v>
      </c>
      <c r="AD20">
        <v>32.183405929696903</v>
      </c>
      <c r="AE20">
        <v>0.75557160603954399</v>
      </c>
      <c r="AF20">
        <v>1.9427934322272999</v>
      </c>
      <c r="AG20">
        <v>5.7206567772693902E-2</v>
      </c>
      <c r="AH20">
        <v>1.4713967161136501</v>
      </c>
      <c r="AI20">
        <v>0.52860328388634703</v>
      </c>
      <c r="AJ20">
        <v>4.68712710080269</v>
      </c>
    </row>
    <row r="21" spans="1:36" x14ac:dyDescent="0.25">
      <c r="A21">
        <v>320</v>
      </c>
      <c r="B21">
        <v>0.58330295297119938</v>
      </c>
      <c r="C21">
        <v>345.94594594594594</v>
      </c>
      <c r="D21">
        <v>0.90572561274318997</v>
      </c>
      <c r="E21">
        <v>1.177443296566147</v>
      </c>
      <c r="F21">
        <v>1.177443296566147</v>
      </c>
      <c r="G21">
        <v>4.5259081669809849</v>
      </c>
      <c r="H21">
        <v>-4.5259081669809849</v>
      </c>
      <c r="I21">
        <v>1.104856306388444</v>
      </c>
      <c r="J21">
        <v>5.744802001695728</v>
      </c>
      <c r="K21">
        <v>31.528448072801108</v>
      </c>
      <c r="L21">
        <v>0.7533587689934591</v>
      </c>
      <c r="M21">
        <v>2.025253877869702</v>
      </c>
      <c r="N21">
        <v>-2.5253877869702013E-2</v>
      </c>
      <c r="O21">
        <v>1.512626938934851</v>
      </c>
      <c r="P21">
        <v>0.48737306106514899</v>
      </c>
      <c r="T21">
        <v>320</v>
      </c>
      <c r="U21">
        <v>0.58330295297119905</v>
      </c>
      <c r="V21">
        <v>345.94594594594503</v>
      </c>
      <c r="W21">
        <v>0.90572561274318997</v>
      </c>
      <c r="X21">
        <v>1.1774432965661401</v>
      </c>
      <c r="Y21">
        <v>1.1774432965661401</v>
      </c>
      <c r="Z21">
        <v>4.5259081669809804</v>
      </c>
      <c r="AA21">
        <v>-4.5259081669809804</v>
      </c>
      <c r="AB21">
        <v>1.10485630638844</v>
      </c>
      <c r="AC21">
        <v>5.74480200169572</v>
      </c>
      <c r="AD21">
        <v>31.475459084443401</v>
      </c>
      <c r="AE21">
        <v>0.753176294297494</v>
      </c>
      <c r="AF21">
        <v>2.0250055461354002</v>
      </c>
      <c r="AG21">
        <v>-2.50055461354061E-2</v>
      </c>
      <c r="AH21">
        <v>1.5125027730677001</v>
      </c>
      <c r="AI21">
        <v>0.48749722693229602</v>
      </c>
      <c r="AJ21">
        <v>5.2047943920281297</v>
      </c>
    </row>
    <row r="22" spans="1:36" x14ac:dyDescent="0.25">
      <c r="A22">
        <v>325</v>
      </c>
      <c r="B22">
        <v>0.59241706161137442</v>
      </c>
      <c r="C22">
        <v>356.8412162162162</v>
      </c>
      <c r="D22">
        <v>0.89879157058429793</v>
      </c>
      <c r="E22">
        <v>1.1684290417595873</v>
      </c>
      <c r="F22">
        <v>1.1684290417595873</v>
      </c>
      <c r="G22">
        <v>4.6327071147093246</v>
      </c>
      <c r="H22">
        <v>-4.6327071147093246</v>
      </c>
      <c r="I22">
        <v>1.111808456438524</v>
      </c>
      <c r="J22">
        <v>5.7809503454150493</v>
      </c>
      <c r="K22">
        <v>31.331300353174644</v>
      </c>
      <c r="L22">
        <v>0.75267719259123178</v>
      </c>
      <c r="M22">
        <v>2.0468775484113779</v>
      </c>
      <c r="N22">
        <v>-4.6877548411378145E-2</v>
      </c>
      <c r="O22">
        <v>1.523438774205689</v>
      </c>
      <c r="P22">
        <v>0.47656122579431093</v>
      </c>
      <c r="T22">
        <v>325</v>
      </c>
      <c r="U22">
        <v>0.59241706161137397</v>
      </c>
      <c r="V22">
        <v>356.84121621621603</v>
      </c>
      <c r="W22">
        <v>0.89879157058429404</v>
      </c>
      <c r="X22">
        <v>1.16842904175958</v>
      </c>
      <c r="Y22">
        <v>1.16842904175958</v>
      </c>
      <c r="Z22">
        <v>4.6327071147092997</v>
      </c>
      <c r="AA22">
        <v>-4.6327071147092997</v>
      </c>
      <c r="AB22">
        <v>1.11180845643852</v>
      </c>
      <c r="AC22">
        <v>5.7809503454150404</v>
      </c>
      <c r="AD22">
        <v>31.278642705522198</v>
      </c>
      <c r="AE22">
        <v>0.75249390204148003</v>
      </c>
      <c r="AF22">
        <v>2.0466226147382698</v>
      </c>
      <c r="AG22">
        <v>-4.6622614738271999E-2</v>
      </c>
      <c r="AH22">
        <v>1.52331130736913</v>
      </c>
      <c r="AI22">
        <v>0.476688692630864</v>
      </c>
      <c r="AJ22">
        <v>5.3276131819156998</v>
      </c>
    </row>
    <row r="23" spans="1:36" x14ac:dyDescent="0.25">
      <c r="A23">
        <v>340</v>
      </c>
      <c r="B23">
        <v>0.61975938753189941</v>
      </c>
      <c r="C23">
        <v>390.54054054054052</v>
      </c>
      <c r="D23">
        <v>0.87486086958692855</v>
      </c>
      <c r="E23">
        <v>1.1373191304630073</v>
      </c>
      <c r="F23">
        <v>1.1373191304630073</v>
      </c>
      <c r="G23">
        <v>4.9352136442013377</v>
      </c>
      <c r="H23">
        <v>-4.9352136442013377</v>
      </c>
      <c r="I23">
        <v>1.1349173601787379</v>
      </c>
      <c r="J23">
        <v>5.901107216219116</v>
      </c>
      <c r="K23">
        <v>30.693340243195166</v>
      </c>
      <c r="L23">
        <v>0.75042047310733362</v>
      </c>
      <c r="M23">
        <v>2.1146066399132586</v>
      </c>
      <c r="N23">
        <v>-0.11460663991325837</v>
      </c>
      <c r="O23">
        <v>1.5573033199566293</v>
      </c>
      <c r="P23">
        <v>0.44269668004337082</v>
      </c>
      <c r="T23">
        <v>340</v>
      </c>
      <c r="U23">
        <v>0.61975938753189896</v>
      </c>
      <c r="V23">
        <v>390.54054054054001</v>
      </c>
      <c r="W23">
        <v>0.87486086958692799</v>
      </c>
      <c r="X23">
        <v>1.1373191304629999</v>
      </c>
      <c r="Y23">
        <v>1.1373191304629999</v>
      </c>
      <c r="Z23">
        <v>4.9352136442013297</v>
      </c>
      <c r="AA23">
        <v>-4.9352136442013297</v>
      </c>
      <c r="AB23">
        <v>1.1349173601787299</v>
      </c>
      <c r="AC23">
        <v>5.9011072162191098</v>
      </c>
      <c r="AD23">
        <v>30.641754797408201</v>
      </c>
      <c r="AE23">
        <v>0.75023449393916797</v>
      </c>
      <c r="AF23">
        <v>2.1143304032923802</v>
      </c>
      <c r="AG23">
        <v>-0.114330403292389</v>
      </c>
      <c r="AH23">
        <v>1.5571652016461901</v>
      </c>
      <c r="AI23">
        <v>0.44283479835380501</v>
      </c>
      <c r="AJ23">
        <v>5.6754956908315304</v>
      </c>
    </row>
    <row r="24" spans="1:36" x14ac:dyDescent="0.25">
      <c r="A24">
        <v>360</v>
      </c>
      <c r="B24">
        <v>0.65621582209259932</v>
      </c>
      <c r="C24">
        <v>437.83783783783781</v>
      </c>
      <c r="D24">
        <v>0.83675510666254438</v>
      </c>
      <c r="E24">
        <v>1.0877816386613077</v>
      </c>
      <c r="F24">
        <v>1.0877816386613077</v>
      </c>
      <c r="G24">
        <v>5.2919106745685234</v>
      </c>
      <c r="H24">
        <v>-5.2919106745685234</v>
      </c>
      <c r="I24">
        <v>1.1713339823244164</v>
      </c>
      <c r="J24">
        <v>6.090458793060221</v>
      </c>
      <c r="K24">
        <v>29.739088261358948</v>
      </c>
      <c r="L24">
        <v>0.74689151369433748</v>
      </c>
      <c r="M24">
        <v>2.2123124476308824</v>
      </c>
      <c r="N24">
        <v>-0.2123124476308822</v>
      </c>
      <c r="O24">
        <v>1.6061562238154412</v>
      </c>
      <c r="P24">
        <v>0.3938437761845589</v>
      </c>
      <c r="T24">
        <v>360</v>
      </c>
      <c r="U24">
        <v>0.65621582209259899</v>
      </c>
      <c r="V24">
        <v>437.83783783783701</v>
      </c>
      <c r="W24">
        <v>0.83675510666254405</v>
      </c>
      <c r="X24">
        <v>1.0877816386613</v>
      </c>
      <c r="Y24">
        <v>1.0877816386613</v>
      </c>
      <c r="Z24">
        <v>5.2919106745685198</v>
      </c>
      <c r="AA24">
        <v>-5.2919106745685198</v>
      </c>
      <c r="AB24">
        <v>1.17133398232441</v>
      </c>
      <c r="AC24">
        <v>6.0904587930602201</v>
      </c>
      <c r="AD24">
        <v>29.6891066004154</v>
      </c>
      <c r="AE24">
        <v>0.74670136927861297</v>
      </c>
      <c r="AF24">
        <v>2.2120038158713702</v>
      </c>
      <c r="AG24">
        <v>-0.21200381587137901</v>
      </c>
      <c r="AH24">
        <v>1.60600190793568</v>
      </c>
      <c r="AI24">
        <v>0.39399809206431002</v>
      </c>
      <c r="AJ24">
        <v>6.0856972757537999</v>
      </c>
    </row>
    <row r="25" spans="1:36" x14ac:dyDescent="0.25">
      <c r="A25">
        <v>380</v>
      </c>
      <c r="B25">
        <v>0.69267225665329923</v>
      </c>
      <c r="C25">
        <v>487.83783783783781</v>
      </c>
      <c r="D25">
        <v>0.79459896996017365</v>
      </c>
      <c r="E25">
        <v>1.0329786609482259</v>
      </c>
      <c r="F25">
        <v>1.0329786609482259</v>
      </c>
      <c r="G25">
        <v>5.5991786276623055</v>
      </c>
      <c r="H25">
        <v>-5.5991786276623055</v>
      </c>
      <c r="I25">
        <v>1.2147045021662592</v>
      </c>
      <c r="J25">
        <v>6.3159678006672291</v>
      </c>
      <c r="K25">
        <v>28.67726646419149</v>
      </c>
      <c r="L25">
        <v>0.74273174727238966</v>
      </c>
      <c r="M25">
        <v>2.3196538257513319</v>
      </c>
      <c r="N25">
        <v>-0.31965382575133172</v>
      </c>
      <c r="O25">
        <v>1.659826912875666</v>
      </c>
      <c r="P25">
        <v>0.34017308712433414</v>
      </c>
      <c r="T25">
        <v>380</v>
      </c>
      <c r="U25">
        <v>0.69267225665329901</v>
      </c>
      <c r="V25">
        <v>487.83783783783701</v>
      </c>
      <c r="W25">
        <v>0.79459896996016599</v>
      </c>
      <c r="X25">
        <v>1.0329786609482099</v>
      </c>
      <c r="Y25">
        <v>1.0329786609482099</v>
      </c>
      <c r="Z25">
        <v>5.5991786276622504</v>
      </c>
      <c r="AA25">
        <v>-5.5991786276622504</v>
      </c>
      <c r="AB25">
        <v>1.2147045021662499</v>
      </c>
      <c r="AC25">
        <v>6.3159678006672202</v>
      </c>
      <c r="AD25">
        <v>28.629069377697</v>
      </c>
      <c r="AE25">
        <v>0.74253675430703503</v>
      </c>
      <c r="AF25">
        <v>2.3193073706365799</v>
      </c>
      <c r="AG25">
        <v>-0.31930737063658898</v>
      </c>
      <c r="AH25">
        <v>1.6596536853182899</v>
      </c>
      <c r="AI25">
        <v>0.34034631468170501</v>
      </c>
      <c r="AJ25">
        <v>6.4390554218115899</v>
      </c>
    </row>
    <row r="26" spans="1:36" x14ac:dyDescent="0.25">
      <c r="A26">
        <v>400</v>
      </c>
      <c r="B26">
        <v>0.72912869121399926</v>
      </c>
      <c r="C26">
        <v>540.54054054054052</v>
      </c>
      <c r="D26">
        <v>0.75341379154758414</v>
      </c>
      <c r="E26">
        <v>0.97943792901185944</v>
      </c>
      <c r="F26">
        <v>0.97943792901185944</v>
      </c>
      <c r="G26">
        <v>5.882510084155312</v>
      </c>
      <c r="H26">
        <v>-5.882510084155312</v>
      </c>
      <c r="I26">
        <v>1.2656272490450458</v>
      </c>
      <c r="J26">
        <v>6.5807453074883258</v>
      </c>
      <c r="K26">
        <v>27.523431334271997</v>
      </c>
      <c r="L26">
        <v>0.73790638545671594</v>
      </c>
      <c r="M26">
        <v>2.4379403549415555</v>
      </c>
      <c r="N26">
        <v>-0.4379403549415557</v>
      </c>
      <c r="O26">
        <v>1.7189701774707777</v>
      </c>
      <c r="P26">
        <v>0.28102982252922215</v>
      </c>
      <c r="T26">
        <v>400</v>
      </c>
      <c r="U26">
        <v>0.72912869121399904</v>
      </c>
      <c r="V26">
        <v>540.54054054053995</v>
      </c>
      <c r="W26">
        <v>0.75341379154756905</v>
      </c>
      <c r="X26">
        <v>0.97943792901184001</v>
      </c>
      <c r="Y26">
        <v>0.97943792901184001</v>
      </c>
      <c r="Z26">
        <v>5.8825100841552</v>
      </c>
      <c r="AA26">
        <v>-5.8825100841552</v>
      </c>
      <c r="AB26">
        <v>1.26562724904504</v>
      </c>
      <c r="AC26">
        <v>6.5807453074883204</v>
      </c>
      <c r="AD26">
        <v>27.477173466483301</v>
      </c>
      <c r="AE26">
        <v>0.737705851153723</v>
      </c>
      <c r="AF26">
        <v>2.4375495785876602</v>
      </c>
      <c r="AG26">
        <v>-0.43754957858766202</v>
      </c>
      <c r="AH26">
        <v>1.7187747892938301</v>
      </c>
      <c r="AI26">
        <v>0.28122521070616802</v>
      </c>
      <c r="AJ26">
        <v>6.7648865967784797</v>
      </c>
    </row>
    <row r="28" spans="1:36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  <c r="I28" t="s">
        <v>8</v>
      </c>
      <c r="J28" t="s">
        <v>9</v>
      </c>
      <c r="K28" t="s">
        <v>10</v>
      </c>
      <c r="L28" t="s">
        <v>11</v>
      </c>
      <c r="M28" t="s">
        <v>12</v>
      </c>
      <c r="N28" t="s">
        <v>13</v>
      </c>
      <c r="O28" t="s">
        <v>14</v>
      </c>
      <c r="P28" t="s">
        <v>15</v>
      </c>
      <c r="Q28" t="s">
        <v>16</v>
      </c>
    </row>
    <row r="29" spans="1:36" x14ac:dyDescent="0.25">
      <c r="A29" s="1" t="e">
        <f>ABS((T2-A2)/A2)</f>
        <v>#DIV/0!</v>
      </c>
      <c r="B29" s="1" t="e">
        <f t="shared" ref="B29:Q29" si="0">ABS((U2-B2)/B2)</f>
        <v>#DIV/0!</v>
      </c>
      <c r="C29" s="1" t="e">
        <f t="shared" si="0"/>
        <v>#DIV/0!</v>
      </c>
      <c r="D29" s="1">
        <f t="shared" si="0"/>
        <v>0</v>
      </c>
      <c r="E29" s="1">
        <f t="shared" si="0"/>
        <v>0</v>
      </c>
      <c r="F29" s="1">
        <f t="shared" si="0"/>
        <v>0</v>
      </c>
      <c r="G29" s="1" t="e">
        <f t="shared" si="0"/>
        <v>#DIV/0!</v>
      </c>
      <c r="H29" s="1" t="e">
        <f t="shared" si="0"/>
        <v>#DIV/0!</v>
      </c>
      <c r="I29" s="1">
        <f t="shared" si="0"/>
        <v>0</v>
      </c>
      <c r="J29" s="1">
        <f t="shared" si="0"/>
        <v>5.1245083533643796E-16</v>
      </c>
      <c r="K29" s="1">
        <f t="shared" si="0"/>
        <v>1.6806722689102817E-3</v>
      </c>
      <c r="L29" s="1">
        <f t="shared" si="0"/>
        <v>2.2226754819354753E-4</v>
      </c>
      <c r="M29" s="1">
        <f t="shared" si="0"/>
        <v>0</v>
      </c>
      <c r="N29" s="1">
        <f t="shared" si="0"/>
        <v>0</v>
      </c>
      <c r="O29" s="1">
        <f t="shared" si="0"/>
        <v>0</v>
      </c>
      <c r="P29" s="1">
        <f t="shared" si="0"/>
        <v>0</v>
      </c>
      <c r="Q29" s="1" t="e">
        <f t="shared" si="0"/>
        <v>#DIV/0!</v>
      </c>
    </row>
    <row r="30" spans="1:36" x14ac:dyDescent="0.25">
      <c r="A30" s="1">
        <f t="shared" ref="A30:A53" si="1">ABS((T3-A3)/A3)</f>
        <v>0</v>
      </c>
      <c r="B30" s="1">
        <f t="shared" ref="B30:B53" si="2">ABS((U3-B3)/B3)</f>
        <v>1.7130047380575775E-15</v>
      </c>
      <c r="C30" s="1">
        <f t="shared" ref="C30:C53" si="3">ABS((V3-C3)/C3)</f>
        <v>9.8587804586713909E-16</v>
      </c>
      <c r="D30" s="1">
        <f t="shared" ref="D30:D53" si="4">ABS((W3-D3)/D3)</f>
        <v>7.9114455158323362E-16</v>
      </c>
      <c r="E30" s="1">
        <f t="shared" ref="E30:E53" si="5">ABS((X3-E3)/E3)</f>
        <v>2.7820467747981838E-15</v>
      </c>
      <c r="F30" s="1">
        <f t="shared" ref="F30:F53" si="6">ABS((Y3-F3)/F3)</f>
        <v>2.7820467747981838E-15</v>
      </c>
      <c r="G30" s="1">
        <f t="shared" ref="G30:G53" si="7">ABS((Z3-G3)/G3)</f>
        <v>4.5235428516005621E-15</v>
      </c>
      <c r="H30" s="1">
        <f t="shared" ref="H30:H53" si="8">ABS((AA3-H3)/H3)</f>
        <v>4.5235428516005621E-15</v>
      </c>
      <c r="I30" s="1">
        <f t="shared" ref="I30:I53" si="9">ABS((AB3-I3)/I3)</f>
        <v>9.0159704201163242E-15</v>
      </c>
      <c r="J30" s="1">
        <f t="shared" ref="J30:J53" si="10">ABS((AC3-J3)/J3)</f>
        <v>3.3833688174361878E-16</v>
      </c>
      <c r="K30" s="1">
        <f t="shared" ref="K30:K53" si="11">ABS((AD3-K3)/K3)</f>
        <v>1.680672268909993E-3</v>
      </c>
      <c r="L30" s="1">
        <f t="shared" ref="L30:L53" si="12">ABS((AE3-L3)/L3)</f>
        <v>2.2414462687574436E-4</v>
      </c>
      <c r="M30" s="1">
        <f t="shared" ref="M30:M53" si="13">ABS((AF3-M3)/M3)</f>
        <v>1.254705495069473E-5</v>
      </c>
      <c r="N30" s="1">
        <f t="shared" ref="N30:N53" si="14">ABS((AG3-N3)/N3)</f>
        <v>1.4128850261771979E-5</v>
      </c>
      <c r="O30" s="1">
        <f t="shared" ref="O30:O53" si="15">ABS((AH3-O3)/O3)</f>
        <v>6.4541716592261406E-6</v>
      </c>
      <c r="P30" s="1">
        <f t="shared" ref="P30:P43" si="16">ABS((AI3-P3)/P3)</f>
        <v>6.8485767374789283E-6</v>
      </c>
      <c r="Q30" s="1">
        <f t="shared" ref="Q30:Q43" si="17">ABS((AJ3-Q3)/Q3)</f>
        <v>6.2936248370094792E-16</v>
      </c>
    </row>
    <row r="31" spans="1:36" x14ac:dyDescent="0.25">
      <c r="A31" s="1">
        <f t="shared" si="1"/>
        <v>0</v>
      </c>
      <c r="B31" s="1">
        <f t="shared" si="2"/>
        <v>3.8066771956835059E-16</v>
      </c>
      <c r="C31" s="1">
        <f t="shared" si="3"/>
        <v>9.8587804586713909E-16</v>
      </c>
      <c r="D31" s="1">
        <f t="shared" si="4"/>
        <v>1.1270700351289808E-16</v>
      </c>
      <c r="E31" s="1">
        <f t="shared" si="5"/>
        <v>6.9358156007937274E-15</v>
      </c>
      <c r="F31" s="1">
        <f t="shared" si="6"/>
        <v>6.9358156007937274E-15</v>
      </c>
      <c r="G31" s="1">
        <f t="shared" si="7"/>
        <v>3.6087915547879865E-16</v>
      </c>
      <c r="H31" s="1">
        <f t="shared" si="8"/>
        <v>3.6087915547879865E-16</v>
      </c>
      <c r="I31" s="1">
        <f t="shared" si="9"/>
        <v>8.7395755729137671E-16</v>
      </c>
      <c r="J31" s="1">
        <f t="shared" si="10"/>
        <v>1.3446555942630519E-15</v>
      </c>
      <c r="K31" s="1">
        <f t="shared" si="11"/>
        <v>1.6806722689100147E-3</v>
      </c>
      <c r="L31" s="1">
        <f t="shared" si="12"/>
        <v>2.2539919741312219E-4</v>
      </c>
      <c r="M31" s="1">
        <f t="shared" si="13"/>
        <v>2.4016407630564779E-5</v>
      </c>
      <c r="N31" s="1">
        <f t="shared" si="14"/>
        <v>3.0520321486667378E-5</v>
      </c>
      <c r="O31" s="1">
        <f t="shared" si="15"/>
        <v>1.2683944419096831E-5</v>
      </c>
      <c r="P31" s="1">
        <f t="shared" si="16"/>
        <v>1.4292517067631755E-5</v>
      </c>
      <c r="Q31" s="1">
        <f t="shared" si="17"/>
        <v>3.1380796128591189E-16</v>
      </c>
    </row>
    <row r="32" spans="1:36" x14ac:dyDescent="0.25">
      <c r="A32" s="1">
        <f t="shared" si="1"/>
        <v>0</v>
      </c>
      <c r="B32" s="1">
        <f t="shared" si="2"/>
        <v>8.1209113507914778E-15</v>
      </c>
      <c r="C32" s="1">
        <f t="shared" si="3"/>
        <v>5.1119602378296097E-15</v>
      </c>
      <c r="D32" s="1">
        <f t="shared" si="4"/>
        <v>6.7148207548479392E-16</v>
      </c>
      <c r="E32" s="1">
        <f t="shared" si="5"/>
        <v>2.2382735849493131E-15</v>
      </c>
      <c r="F32" s="1">
        <f t="shared" si="6"/>
        <v>2.2382735849493131E-15</v>
      </c>
      <c r="G32" s="1">
        <f t="shared" si="7"/>
        <v>1.2740941945096091E-15</v>
      </c>
      <c r="H32" s="1">
        <f t="shared" si="8"/>
        <v>1.2740941945096091E-15</v>
      </c>
      <c r="I32" s="1">
        <f t="shared" si="9"/>
        <v>5.2236597934536459E-15</v>
      </c>
      <c r="J32" s="1">
        <f t="shared" si="10"/>
        <v>1.5069431801621989E-15</v>
      </c>
      <c r="K32" s="1">
        <f t="shared" si="11"/>
        <v>1.6806722689083496E-3</v>
      </c>
      <c r="L32" s="1">
        <f t="shared" si="12"/>
        <v>2.2614926219774478E-4</v>
      </c>
      <c r="M32" s="1">
        <f t="shared" si="13"/>
        <v>3.4413121632144268E-5</v>
      </c>
      <c r="N32" s="1">
        <f t="shared" si="14"/>
        <v>4.9468298518152805E-5</v>
      </c>
      <c r="O32" s="1">
        <f t="shared" si="15"/>
        <v>1.8623531756171432E-5</v>
      </c>
      <c r="P32" s="1">
        <f t="shared" si="16"/>
        <v>2.2295653481119456E-5</v>
      </c>
      <c r="Q32" s="1">
        <f t="shared" si="17"/>
        <v>2.0773274910482761E-15</v>
      </c>
    </row>
    <row r="33" spans="1:17" x14ac:dyDescent="0.25">
      <c r="A33" s="1">
        <f t="shared" si="1"/>
        <v>0</v>
      </c>
      <c r="B33" s="1">
        <f t="shared" si="2"/>
        <v>5.7100157935252589E-15</v>
      </c>
      <c r="C33" s="1">
        <f t="shared" si="3"/>
        <v>9.8587804586713909E-16</v>
      </c>
      <c r="D33" s="1">
        <f t="shared" si="4"/>
        <v>1.1151881546171077E-16</v>
      </c>
      <c r="E33" s="1">
        <f t="shared" si="5"/>
        <v>2.0588089008315835E-15</v>
      </c>
      <c r="F33" s="1">
        <f t="shared" si="6"/>
        <v>2.0588089008315835E-15</v>
      </c>
      <c r="G33" s="1">
        <f t="shared" si="7"/>
        <v>3.0351346842728111E-15</v>
      </c>
      <c r="H33" s="1">
        <f t="shared" si="8"/>
        <v>3.0351346842728111E-15</v>
      </c>
      <c r="I33" s="1">
        <f t="shared" si="9"/>
        <v>1.3035043556875138E-15</v>
      </c>
      <c r="J33" s="1">
        <f t="shared" si="10"/>
        <v>1.1699033957453861E-15</v>
      </c>
      <c r="K33" s="1">
        <f t="shared" si="11"/>
        <v>1.6806722689100182E-3</v>
      </c>
      <c r="L33" s="1">
        <f t="shared" si="12"/>
        <v>2.2651111840362513E-4</v>
      </c>
      <c r="M33" s="1">
        <f t="shared" si="13"/>
        <v>4.3795460495779485E-5</v>
      </c>
      <c r="N33" s="1">
        <f t="shared" si="14"/>
        <v>7.1409045778309197E-5</v>
      </c>
      <c r="O33" s="1">
        <f t="shared" si="15"/>
        <v>2.4241225926467781E-5</v>
      </c>
      <c r="P33" s="1">
        <f t="shared" si="16"/>
        <v>3.0842826048198343E-5</v>
      </c>
      <c r="Q33" s="1">
        <f t="shared" si="17"/>
        <v>1.5524985597303381E-15</v>
      </c>
    </row>
    <row r="34" spans="1:17" x14ac:dyDescent="0.25">
      <c r="A34" s="1">
        <f t="shared" si="1"/>
        <v>0</v>
      </c>
      <c r="B34" s="1">
        <f t="shared" si="2"/>
        <v>4.4157455469928662E-15</v>
      </c>
      <c r="C34" s="1">
        <f t="shared" si="3"/>
        <v>2.523847797419876E-15</v>
      </c>
      <c r="D34" s="1">
        <f t="shared" si="4"/>
        <v>1.1176355332004339E-15</v>
      </c>
      <c r="E34" s="1">
        <f t="shared" si="5"/>
        <v>1.7194392818468213E-15</v>
      </c>
      <c r="F34" s="1">
        <f t="shared" si="6"/>
        <v>1.7194392818468213E-15</v>
      </c>
      <c r="G34" s="1">
        <f t="shared" si="7"/>
        <v>4.5805862468399321E-16</v>
      </c>
      <c r="H34" s="1">
        <f t="shared" si="8"/>
        <v>4.5805862468399321E-16</v>
      </c>
      <c r="I34" s="1">
        <f t="shared" si="9"/>
        <v>8.6860863697897999E-15</v>
      </c>
      <c r="J34" s="1">
        <f t="shared" si="10"/>
        <v>1.3364258403564402E-15</v>
      </c>
      <c r="K34" s="1">
        <f t="shared" si="11"/>
        <v>1.6806722689082807E-3</v>
      </c>
      <c r="L34" s="1">
        <f t="shared" si="12"/>
        <v>2.2660007098160276E-4</v>
      </c>
      <c r="M34" s="1">
        <f t="shared" si="13"/>
        <v>5.2256455437574361E-5</v>
      </c>
      <c r="N34" s="1">
        <f t="shared" si="14"/>
        <v>9.699067861170343E-5</v>
      </c>
      <c r="O34" s="1">
        <f t="shared" si="15"/>
        <v>2.953361509590727E-5</v>
      </c>
      <c r="P34" s="1">
        <f t="shared" si="16"/>
        <v>3.9946312871406354E-5</v>
      </c>
      <c r="Q34" s="1">
        <f t="shared" si="17"/>
        <v>9.9577961887824635E-16</v>
      </c>
    </row>
    <row r="35" spans="1:17" x14ac:dyDescent="0.25">
      <c r="A35" s="1">
        <f t="shared" si="1"/>
        <v>0</v>
      </c>
      <c r="B35" s="1">
        <f t="shared" si="2"/>
        <v>3.5528987159712716E-15</v>
      </c>
      <c r="C35" s="1">
        <f t="shared" si="3"/>
        <v>8.7633604077079025E-16</v>
      </c>
      <c r="D35" s="1">
        <f t="shared" si="4"/>
        <v>4.5019154069955568E-16</v>
      </c>
      <c r="E35" s="1">
        <f t="shared" si="5"/>
        <v>3.6361624441117961E-15</v>
      </c>
      <c r="F35" s="1">
        <f t="shared" si="6"/>
        <v>3.6361624441117961E-15</v>
      </c>
      <c r="G35" s="1">
        <f t="shared" si="7"/>
        <v>6.406571925339831E-16</v>
      </c>
      <c r="H35" s="1">
        <f t="shared" si="8"/>
        <v>6.406571925339831E-16</v>
      </c>
      <c r="I35" s="1">
        <f t="shared" si="9"/>
        <v>6.9513195705177685E-15</v>
      </c>
      <c r="J35" s="1">
        <f t="shared" si="10"/>
        <v>1.169784982158364E-15</v>
      </c>
      <c r="K35" s="1">
        <f t="shared" si="11"/>
        <v>1.6806722689079682E-3</v>
      </c>
      <c r="L35" s="1">
        <f t="shared" si="12"/>
        <v>2.2653095689315032E-4</v>
      </c>
      <c r="M35" s="1">
        <f t="shared" si="13"/>
        <v>5.9911312823140726E-5</v>
      </c>
      <c r="N35" s="1">
        <f t="shared" si="14"/>
        <v>1.2718563642275741E-4</v>
      </c>
      <c r="O35" s="1">
        <f t="shared" si="15"/>
        <v>3.4520529764365312E-5</v>
      </c>
      <c r="P35" s="1">
        <f t="shared" si="16"/>
        <v>4.9653779514427949E-5</v>
      </c>
      <c r="Q35" s="1">
        <f t="shared" si="17"/>
        <v>8.3563981634867372E-16</v>
      </c>
    </row>
    <row r="36" spans="1:17" x14ac:dyDescent="0.25">
      <c r="A36" s="1">
        <f t="shared" si="1"/>
        <v>0</v>
      </c>
      <c r="B36" s="1">
        <f t="shared" si="2"/>
        <v>2.8278173453648899E-15</v>
      </c>
      <c r="C36" s="1">
        <f t="shared" si="3"/>
        <v>2.14612907943867E-16</v>
      </c>
      <c r="D36" s="1">
        <f t="shared" si="4"/>
        <v>7.9533632569792022E-16</v>
      </c>
      <c r="E36" s="1">
        <f t="shared" si="5"/>
        <v>5.5935741587546031E-15</v>
      </c>
      <c r="F36" s="1">
        <f t="shared" si="6"/>
        <v>5.5935741587546031E-15</v>
      </c>
      <c r="G36" s="1">
        <f t="shared" si="7"/>
        <v>1.1879210426436753E-16</v>
      </c>
      <c r="H36" s="1">
        <f t="shared" si="8"/>
        <v>1.1879210426436753E-16</v>
      </c>
      <c r="I36" s="1">
        <f t="shared" si="9"/>
        <v>5.8685432297102608E-15</v>
      </c>
      <c r="J36" s="1">
        <f t="shared" si="10"/>
        <v>1.5048727515748898E-15</v>
      </c>
      <c r="K36" s="1">
        <f t="shared" si="11"/>
        <v>1.6806722689091873E-3</v>
      </c>
      <c r="L36" s="1">
        <f t="shared" si="12"/>
        <v>2.2641848560868029E-4</v>
      </c>
      <c r="M36" s="1">
        <f t="shared" si="13"/>
        <v>6.6888995451340634E-5</v>
      </c>
      <c r="N36" s="1">
        <f t="shared" si="14"/>
        <v>1.6348039914786949E-4</v>
      </c>
      <c r="O36" s="1">
        <f t="shared" si="15"/>
        <v>3.9240794113078433E-5</v>
      </c>
      <c r="P36" s="1">
        <f t="shared" si="16"/>
        <v>6.0058317648596567E-5</v>
      </c>
      <c r="Q36" s="1">
        <f t="shared" si="17"/>
        <v>8.0572035935831902E-15</v>
      </c>
    </row>
    <row r="37" spans="1:17" x14ac:dyDescent="0.25">
      <c r="A37" s="1">
        <f t="shared" si="1"/>
        <v>8.4068951388403942E-4</v>
      </c>
      <c r="B37" s="1">
        <f t="shared" si="2"/>
        <v>8.4068951388539272E-4</v>
      </c>
      <c r="C37" s="1">
        <f t="shared" si="3"/>
        <v>1.6806722689081937E-3</v>
      </c>
      <c r="D37" s="1">
        <f t="shared" si="4"/>
        <v>5.8916547217894427E-5</v>
      </c>
      <c r="E37" s="1">
        <f t="shared" si="5"/>
        <v>5.8916547210673634E-5</v>
      </c>
      <c r="F37" s="1">
        <f t="shared" si="6"/>
        <v>5.8916547210673634E-5</v>
      </c>
      <c r="G37" s="1">
        <f t="shared" si="7"/>
        <v>1.6218547410974627E-3</v>
      </c>
      <c r="H37" s="1">
        <f t="shared" si="8"/>
        <v>1.6218547410974627E-3</v>
      </c>
      <c r="I37" s="1">
        <f t="shared" si="9"/>
        <v>2.5932031030747201E-6</v>
      </c>
      <c r="J37" s="1">
        <f t="shared" si="10"/>
        <v>2.5932031088880927E-6</v>
      </c>
      <c r="K37" s="1">
        <f t="shared" si="11"/>
        <v>1.6832611069810264E-3</v>
      </c>
      <c r="L37" s="1">
        <f t="shared" si="12"/>
        <v>2.2675459919528854E-4</v>
      </c>
      <c r="M37" s="1">
        <f t="shared" si="13"/>
        <v>3.1909026751496191E-4</v>
      </c>
      <c r="N37" s="1">
        <f t="shared" si="14"/>
        <v>7.9657103577575512E-4</v>
      </c>
      <c r="O37" s="1">
        <f t="shared" si="15"/>
        <v>1.8766815433059249E-4</v>
      </c>
      <c r="P37" s="1">
        <f t="shared" si="16"/>
        <v>2.8985289248421213E-4</v>
      </c>
      <c r="Q37" s="1">
        <f t="shared" si="17"/>
        <v>1.6218547410971006E-3</v>
      </c>
    </row>
    <row r="38" spans="1:17" x14ac:dyDescent="0.25">
      <c r="A38" s="1">
        <f t="shared" si="1"/>
        <v>0</v>
      </c>
      <c r="B38" s="1">
        <f t="shared" si="2"/>
        <v>2.2840063174101035E-15</v>
      </c>
      <c r="C38" s="1">
        <f t="shared" si="3"/>
        <v>9.8587804586713909E-16</v>
      </c>
      <c r="D38" s="1">
        <f t="shared" si="4"/>
        <v>5.7347890130771011E-16</v>
      </c>
      <c r="E38" s="1">
        <f t="shared" si="5"/>
        <v>2.9997357914557143E-15</v>
      </c>
      <c r="F38" s="1">
        <f t="shared" si="6"/>
        <v>2.9997357914557143E-15</v>
      </c>
      <c r="G38" s="1">
        <f t="shared" si="7"/>
        <v>1.1017411969353892E-15</v>
      </c>
      <c r="H38" s="1">
        <f t="shared" si="8"/>
        <v>1.1017411969353892E-15</v>
      </c>
      <c r="I38" s="1">
        <f t="shared" si="9"/>
        <v>4.130581850184826E-15</v>
      </c>
      <c r="J38" s="1">
        <f t="shared" si="10"/>
        <v>1.5051884118419001E-15</v>
      </c>
      <c r="K38" s="1">
        <f t="shared" si="11"/>
        <v>1.6806722689095112E-3</v>
      </c>
      <c r="L38" s="1">
        <f t="shared" si="12"/>
        <v>2.2637739804590284E-4</v>
      </c>
      <c r="M38" s="1">
        <f t="shared" si="13"/>
        <v>7.3326697997781694E-5</v>
      </c>
      <c r="N38" s="1">
        <f t="shared" si="14"/>
        <v>2.0821216536434553E-4</v>
      </c>
      <c r="O38" s="1">
        <f t="shared" si="15"/>
        <v>4.3748755517267131E-5</v>
      </c>
      <c r="P38" s="1">
        <f t="shared" si="16"/>
        <v>7.1311473924222764E-5</v>
      </c>
      <c r="Q38" s="1">
        <f t="shared" si="17"/>
        <v>3.1934527447402587E-16</v>
      </c>
    </row>
    <row r="39" spans="1:17" x14ac:dyDescent="0.25">
      <c r="A39" s="1">
        <f t="shared" si="1"/>
        <v>0</v>
      </c>
      <c r="B39" s="1">
        <f t="shared" si="2"/>
        <v>2.0302278376978698E-15</v>
      </c>
      <c r="C39" s="1">
        <f t="shared" si="3"/>
        <v>4.1544819710615244E-15</v>
      </c>
      <c r="D39" s="1">
        <f t="shared" si="4"/>
        <v>6.9332106748635724E-16</v>
      </c>
      <c r="E39" s="1">
        <f t="shared" si="5"/>
        <v>6.0443375114195248E-15</v>
      </c>
      <c r="F39" s="1">
        <f t="shared" si="6"/>
        <v>6.0443375114195248E-15</v>
      </c>
      <c r="G39" s="1">
        <f t="shared" si="7"/>
        <v>3.9465968456915719E-15</v>
      </c>
      <c r="H39" s="1">
        <f t="shared" si="8"/>
        <v>3.9465968456915719E-15</v>
      </c>
      <c r="I39" s="1">
        <f t="shared" si="9"/>
        <v>1.9551435431081063E-15</v>
      </c>
      <c r="J39" s="1">
        <f t="shared" si="10"/>
        <v>3.342387969522535E-16</v>
      </c>
      <c r="K39" s="1">
        <f t="shared" si="11"/>
        <v>1.6806722689091777E-3</v>
      </c>
      <c r="L39" s="1">
        <f t="shared" si="12"/>
        <v>2.265224444582975E-4</v>
      </c>
      <c r="M39" s="1">
        <f t="shared" si="13"/>
        <v>7.9366280490391586E-5</v>
      </c>
      <c r="N39" s="1">
        <f t="shared" si="14"/>
        <v>2.6520541029811956E-4</v>
      </c>
      <c r="O39" s="1">
        <f t="shared" si="15"/>
        <v>4.8111514704611743E-5</v>
      </c>
      <c r="P39" s="1">
        <f t="shared" si="16"/>
        <v>8.3640727876820522E-5</v>
      </c>
      <c r="Q39" s="1">
        <f t="shared" si="17"/>
        <v>3.686032480678119E-15</v>
      </c>
    </row>
    <row r="40" spans="1:17" x14ac:dyDescent="0.25">
      <c r="A40" s="1">
        <f t="shared" si="1"/>
        <v>1.9687304183048731E-5</v>
      </c>
      <c r="B40" s="1">
        <f t="shared" si="2"/>
        <v>1.9687304180393852E-5</v>
      </c>
      <c r="C40" s="1">
        <f t="shared" si="3"/>
        <v>3.9374220776912024E-5</v>
      </c>
      <c r="D40" s="1">
        <f t="shared" si="4"/>
        <v>8.0087110200579151E-7</v>
      </c>
      <c r="E40" s="1">
        <f t="shared" si="5"/>
        <v>8.0087109784094808E-7</v>
      </c>
      <c r="F40" s="1">
        <f t="shared" si="6"/>
        <v>8.0087109784094808E-7</v>
      </c>
      <c r="G40" s="1">
        <f t="shared" si="7"/>
        <v>3.8573381204367895E-5</v>
      </c>
      <c r="H40" s="1">
        <f t="shared" si="8"/>
        <v>3.8573381204367895E-5</v>
      </c>
      <c r="I40" s="1">
        <f t="shared" si="9"/>
        <v>4.7861419491352936E-7</v>
      </c>
      <c r="J40" s="1">
        <f t="shared" si="10"/>
        <v>4.7861418853945884E-7</v>
      </c>
      <c r="K40" s="1">
        <f t="shared" si="11"/>
        <v>1.6801944588870073E-3</v>
      </c>
      <c r="L40" s="1">
        <f t="shared" si="12"/>
        <v>2.2670427700420353E-4</v>
      </c>
      <c r="M40" s="1">
        <f t="shared" si="13"/>
        <v>9.0490396604761466E-5</v>
      </c>
      <c r="N40" s="1">
        <f t="shared" si="14"/>
        <v>3.3906090941212278E-4</v>
      </c>
      <c r="O40" s="1">
        <f t="shared" si="15"/>
        <v>5.5398574687861894E-5</v>
      </c>
      <c r="P40" s="1">
        <f t="shared" si="16"/>
        <v>1.0050824912901364E-4</v>
      </c>
      <c r="Q40" s="1">
        <f t="shared" si="17"/>
        <v>3.8158739630319342E-5</v>
      </c>
    </row>
    <row r="41" spans="1:17" x14ac:dyDescent="0.25">
      <c r="A41" s="1">
        <f t="shared" si="1"/>
        <v>0</v>
      </c>
      <c r="B41" s="1">
        <f t="shared" si="2"/>
        <v>1.6749379661007425E-15</v>
      </c>
      <c r="C41" s="1">
        <f t="shared" si="3"/>
        <v>1.0516032489249482E-15</v>
      </c>
      <c r="D41" s="1">
        <f t="shared" si="4"/>
        <v>1.741374368791761E-15</v>
      </c>
      <c r="E41" s="1">
        <f t="shared" si="5"/>
        <v>8.9301249681628762E-15</v>
      </c>
      <c r="F41" s="1">
        <f t="shared" si="6"/>
        <v>8.9301249681628762E-15</v>
      </c>
      <c r="G41" s="1">
        <f t="shared" si="7"/>
        <v>6.4232602871001932E-15</v>
      </c>
      <c r="H41" s="1">
        <f t="shared" si="8"/>
        <v>6.4232602871001932E-15</v>
      </c>
      <c r="I41" s="1">
        <f t="shared" si="9"/>
        <v>8.4530582929374558E-15</v>
      </c>
      <c r="J41" s="1">
        <f t="shared" si="10"/>
        <v>5.0022021301045102E-16</v>
      </c>
      <c r="K41" s="1">
        <f t="shared" si="11"/>
        <v>1.6806722689079168E-3</v>
      </c>
      <c r="L41" s="1">
        <f t="shared" si="12"/>
        <v>2.2696818130099101E-4</v>
      </c>
      <c r="M41" s="1">
        <f t="shared" si="13"/>
        <v>8.5151990885790004E-5</v>
      </c>
      <c r="N41" s="1">
        <f t="shared" si="14"/>
        <v>3.410758938626223E-4</v>
      </c>
      <c r="O41" s="1">
        <f t="shared" si="15"/>
        <v>5.2406755783932223E-5</v>
      </c>
      <c r="P41" s="1">
        <f t="shared" si="16"/>
        <v>9.7373813655254424E-5</v>
      </c>
      <c r="Q41" s="1">
        <f t="shared" si="17"/>
        <v>2.89615600706611E-15</v>
      </c>
    </row>
    <row r="42" spans="1:17" x14ac:dyDescent="0.25">
      <c r="A42" s="1">
        <f t="shared" si="1"/>
        <v>0</v>
      </c>
      <c r="B42" s="1">
        <f t="shared" si="2"/>
        <v>1.5226708782734022E-15</v>
      </c>
      <c r="C42" s="1">
        <f t="shared" si="3"/>
        <v>3.1287369389502594E-15</v>
      </c>
      <c r="D42" s="1">
        <f t="shared" si="4"/>
        <v>3.4907753339065951E-16</v>
      </c>
      <c r="E42" s="1">
        <f t="shared" si="5"/>
        <v>1.9691553165626947E-15</v>
      </c>
      <c r="F42" s="1">
        <f t="shared" si="6"/>
        <v>1.9691553165626947E-15</v>
      </c>
      <c r="G42" s="1">
        <f t="shared" si="7"/>
        <v>2.5618252037264935E-15</v>
      </c>
      <c r="H42" s="1">
        <f t="shared" si="8"/>
        <v>2.5618252037264935E-15</v>
      </c>
      <c r="I42" s="1">
        <f t="shared" si="9"/>
        <v>3.236981016305636E-15</v>
      </c>
      <c r="J42" s="1">
        <f t="shared" si="10"/>
        <v>1.328096418652517E-15</v>
      </c>
      <c r="K42" s="1">
        <f t="shared" si="11"/>
        <v>1.6806722689092653E-3</v>
      </c>
      <c r="L42" s="1">
        <f t="shared" si="12"/>
        <v>2.2782858789694157E-4</v>
      </c>
      <c r="M42" s="1">
        <f t="shared" si="13"/>
        <v>9.0829002418791276E-5</v>
      </c>
      <c r="N42" s="1">
        <f t="shared" si="14"/>
        <v>4.4819540896648413E-4</v>
      </c>
      <c r="O42" s="1">
        <f t="shared" si="15"/>
        <v>5.6721067261496578E-5</v>
      </c>
      <c r="P42" s="1">
        <f t="shared" si="16"/>
        <v>1.129738730050641E-4</v>
      </c>
      <c r="Q42" s="1"/>
    </row>
    <row r="43" spans="1:17" x14ac:dyDescent="0.25">
      <c r="A43" s="1">
        <f t="shared" si="1"/>
        <v>1.0140740516416285E-3</v>
      </c>
      <c r="B43" s="1">
        <f t="shared" si="2"/>
        <v>1.0140740516426765E-3</v>
      </c>
      <c r="C43" s="1">
        <f t="shared" si="3"/>
        <v>2.0271197571022754E-3</v>
      </c>
      <c r="D43" s="1">
        <f t="shared" si="4"/>
        <v>1.666639523178627E-5</v>
      </c>
      <c r="E43" s="1">
        <f t="shared" si="5"/>
        <v>1.6666395225249303E-5</v>
      </c>
      <c r="F43" s="1">
        <f t="shared" si="6"/>
        <v>1.6666395225249303E-5</v>
      </c>
      <c r="G43" s="1">
        <f t="shared" si="7"/>
        <v>5.1720811356689218E-2</v>
      </c>
      <c r="H43" s="1">
        <f t="shared" si="8"/>
        <v>2.0104871466493741E-3</v>
      </c>
      <c r="I43" s="1">
        <f t="shared" si="9"/>
        <v>7.3540576842118902E-5</v>
      </c>
      <c r="J43" s="1">
        <f t="shared" si="10"/>
        <v>7.3540576840378581E-5</v>
      </c>
      <c r="K43" s="1">
        <f t="shared" si="11"/>
        <v>1.6072498901538194E-3</v>
      </c>
      <c r="L43" s="1">
        <f t="shared" si="12"/>
        <v>2.1820207356516372E-4</v>
      </c>
      <c r="M43" s="1">
        <f t="shared" si="13"/>
        <v>5.2940401259626271E-4</v>
      </c>
      <c r="N43" s="1">
        <f t="shared" si="14"/>
        <v>2.8015746372219842E-3</v>
      </c>
      <c r="O43" s="1">
        <f t="shared" si="15"/>
        <v>3.3202230080524189E-4</v>
      </c>
      <c r="P43" s="1">
        <f t="shared" si="16"/>
        <v>6.757343644816482E-4</v>
      </c>
      <c r="Q43" s="1"/>
    </row>
    <row r="44" spans="1:17" x14ac:dyDescent="0.25">
      <c r="A44" s="1">
        <f t="shared" si="1"/>
        <v>0</v>
      </c>
      <c r="B44" s="1">
        <f t="shared" si="2"/>
        <v>1.2688923985611685E-15</v>
      </c>
      <c r="C44" s="1">
        <f t="shared" si="3"/>
        <v>2.9211201359026344E-15</v>
      </c>
      <c r="D44" s="1">
        <f t="shared" si="4"/>
        <v>9.3234952389317149E-16</v>
      </c>
      <c r="E44" s="1">
        <f t="shared" si="5"/>
        <v>1.6136818682766429E-15</v>
      </c>
      <c r="F44" s="1">
        <f t="shared" si="6"/>
        <v>1.6136818682766429E-15</v>
      </c>
      <c r="G44" s="1">
        <f t="shared" si="7"/>
        <v>1.8243570010794268E-15</v>
      </c>
      <c r="H44" s="1">
        <f t="shared" si="8"/>
        <v>1.8243570010794268E-15</v>
      </c>
      <c r="I44" s="1">
        <f t="shared" si="9"/>
        <v>5.7857531940749943E-15</v>
      </c>
      <c r="J44" s="1">
        <f t="shared" si="10"/>
        <v>1.6484920794920861E-15</v>
      </c>
      <c r="K44" s="1">
        <f t="shared" si="11"/>
        <v>1.6806722689074731E-3</v>
      </c>
      <c r="L44" s="1">
        <f t="shared" si="12"/>
        <v>2.2921650562362497E-4</v>
      </c>
      <c r="M44" s="1">
        <f t="shared" si="13"/>
        <v>9.6542425967969161E-5</v>
      </c>
      <c r="N44" s="1">
        <f t="shared" si="14"/>
        <v>6.1245792147478109E-4</v>
      </c>
      <c r="O44" s="1">
        <f t="shared" si="15"/>
        <v>6.1148641125297238E-5</v>
      </c>
      <c r="P44" s="1">
        <f t="shared" ref="P30:P53" si="18">ABS((AI17-P17)/P17)</f>
        <v>1.3109221519383901E-4</v>
      </c>
    </row>
    <row r="45" spans="1:17" x14ac:dyDescent="0.25">
      <c r="A45" s="1">
        <f t="shared" si="1"/>
        <v>0</v>
      </c>
      <c r="B45" s="1">
        <f t="shared" si="2"/>
        <v>1.0541567618815862E-15</v>
      </c>
      <c r="C45" s="1">
        <f t="shared" si="3"/>
        <v>1.7423012408223994E-15</v>
      </c>
      <c r="D45" s="1">
        <f t="shared" si="4"/>
        <v>3.1571114307824328E-15</v>
      </c>
      <c r="E45" s="1">
        <f t="shared" si="5"/>
        <v>3.7777401735858166E-15</v>
      </c>
      <c r="F45" s="1">
        <f t="shared" si="6"/>
        <v>3.7777401735858166E-15</v>
      </c>
      <c r="G45" s="1">
        <f t="shared" si="7"/>
        <v>8.5071004416167521E-16</v>
      </c>
      <c r="H45" s="1">
        <f t="shared" si="8"/>
        <v>8.5071004416167521E-16</v>
      </c>
      <c r="I45" s="1">
        <f t="shared" si="9"/>
        <v>5.5149325956354687E-15</v>
      </c>
      <c r="J45" s="1">
        <f t="shared" si="10"/>
        <v>6.5270595851253891E-16</v>
      </c>
      <c r="K45" s="1">
        <f t="shared" si="11"/>
        <v>1.6806722689094787E-3</v>
      </c>
      <c r="L45" s="1">
        <f t="shared" si="12"/>
        <v>2.3124290543507606E-4</v>
      </c>
      <c r="M45" s="1">
        <f t="shared" si="13"/>
        <v>1.0243654860312273E-4</v>
      </c>
      <c r="N45" s="1">
        <f t="shared" si="14"/>
        <v>8.9828962374923968E-4</v>
      </c>
      <c r="O45" s="1">
        <f t="shared" si="15"/>
        <v>6.5790233740777756E-5</v>
      </c>
      <c r="P45" s="1">
        <f t="shared" si="18"/>
        <v>1.5265053823871035E-4</v>
      </c>
    </row>
    <row r="46" spans="1:17" x14ac:dyDescent="0.25">
      <c r="A46" s="1">
        <f t="shared" si="1"/>
        <v>0</v>
      </c>
      <c r="B46" s="1">
        <f t="shared" si="2"/>
        <v>8.700976447276585E-16</v>
      </c>
      <c r="C46" s="1">
        <f t="shared" si="3"/>
        <v>3.2191936191580053E-15</v>
      </c>
      <c r="D46" s="1">
        <f t="shared" si="4"/>
        <v>3.5354812590952171E-16</v>
      </c>
      <c r="E46" s="1">
        <f t="shared" si="5"/>
        <v>2.1756807748278257E-15</v>
      </c>
      <c r="F46" s="1">
        <f t="shared" si="6"/>
        <v>2.1756807748278257E-15</v>
      </c>
      <c r="G46" s="1">
        <f t="shared" si="7"/>
        <v>6.1607287246400176E-16</v>
      </c>
      <c r="H46" s="1">
        <f t="shared" si="8"/>
        <v>6.1607287246400176E-16</v>
      </c>
      <c r="I46" s="1">
        <f t="shared" si="9"/>
        <v>2.3011807011898333E-15</v>
      </c>
      <c r="J46" s="1">
        <f t="shared" si="10"/>
        <v>1.4484091931761758E-15</v>
      </c>
      <c r="K46" s="1">
        <f t="shared" si="11"/>
        <v>1.6806722689084413E-3</v>
      </c>
      <c r="L46" s="1">
        <f t="shared" si="12"/>
        <v>2.3401599374687137E-4</v>
      </c>
      <c r="M46" s="1">
        <f t="shared" si="13"/>
        <v>1.0865411025468927E-4</v>
      </c>
      <c r="N46" s="1">
        <f t="shared" si="14"/>
        <v>1.5218544817544517E-3</v>
      </c>
      <c r="O46" s="1">
        <f t="shared" si="15"/>
        <v>7.0752267174778384E-5</v>
      </c>
      <c r="P46" s="1">
        <f t="shared" si="18"/>
        <v>1.7897417485226462E-4</v>
      </c>
    </row>
    <row r="47" spans="1:17" x14ac:dyDescent="0.25">
      <c r="A47" s="1">
        <f t="shared" si="1"/>
        <v>0</v>
      </c>
      <c r="B47" s="1">
        <f t="shared" si="2"/>
        <v>8.1209113507914784E-16</v>
      </c>
      <c r="C47" s="1">
        <f t="shared" si="3"/>
        <v>1.8695168869776859E-16</v>
      </c>
      <c r="D47" s="1">
        <f t="shared" si="4"/>
        <v>7.1780128481120913E-16</v>
      </c>
      <c r="E47" s="1">
        <f t="shared" si="5"/>
        <v>3.6810322298010722E-16</v>
      </c>
      <c r="F47" s="1">
        <f t="shared" si="6"/>
        <v>3.6810322298010722E-16</v>
      </c>
      <c r="G47" s="1">
        <f t="shared" si="7"/>
        <v>2.1791710800422347E-16</v>
      </c>
      <c r="H47" s="1">
        <f t="shared" si="8"/>
        <v>2.1791710800422347E-16</v>
      </c>
      <c r="I47" s="1">
        <f t="shared" si="9"/>
        <v>4.9318016103474639E-15</v>
      </c>
      <c r="J47" s="1">
        <f t="shared" si="10"/>
        <v>6.323318725856504E-16</v>
      </c>
      <c r="K47" s="1">
        <f t="shared" si="11"/>
        <v>1.6806722689096003E-3</v>
      </c>
      <c r="L47" s="1">
        <f t="shared" si="12"/>
        <v>2.3764017181246181E-4</v>
      </c>
      <c r="M47" s="1">
        <f t="shared" si="13"/>
        <v>1.1533547409008028E-4</v>
      </c>
      <c r="N47" s="1">
        <f t="shared" si="14"/>
        <v>3.9327683116443055E-3</v>
      </c>
      <c r="O47" s="1">
        <f t="shared" si="15"/>
        <v>7.6145943999799971E-5</v>
      </c>
      <c r="P47" s="1">
        <f t="shared" si="18"/>
        <v>2.1201756386170806E-4</v>
      </c>
    </row>
    <row r="48" spans="1:17" x14ac:dyDescent="0.25">
      <c r="A48" s="1">
        <f t="shared" si="1"/>
        <v>0</v>
      </c>
      <c r="B48" s="1">
        <f t="shared" si="2"/>
        <v>5.7100157935252587E-16</v>
      </c>
      <c r="C48" s="1">
        <f t="shared" si="3"/>
        <v>2.6290081223123707E-15</v>
      </c>
      <c r="D48" s="1">
        <f t="shared" si="4"/>
        <v>0</v>
      </c>
      <c r="E48" s="1">
        <f t="shared" si="5"/>
        <v>5.8460418202306806E-15</v>
      </c>
      <c r="F48" s="1">
        <f t="shared" si="6"/>
        <v>5.8460418202306806E-15</v>
      </c>
      <c r="G48" s="1">
        <f t="shared" si="7"/>
        <v>9.8121568857702448E-16</v>
      </c>
      <c r="H48" s="1">
        <f t="shared" si="8"/>
        <v>9.8121568857702448E-16</v>
      </c>
      <c r="I48" s="1">
        <f t="shared" si="9"/>
        <v>3.6174866048557199E-15</v>
      </c>
      <c r="J48" s="1">
        <f t="shared" si="10"/>
        <v>1.3914501796478984E-15</v>
      </c>
      <c r="K48" s="1">
        <f t="shared" si="11"/>
        <v>1.6806722689094277E-3</v>
      </c>
      <c r="L48" s="1">
        <f t="shared" si="12"/>
        <v>2.4221486956195663E-4</v>
      </c>
      <c r="M48" s="1">
        <f t="shared" si="13"/>
        <v>1.226175824252928E-4</v>
      </c>
      <c r="N48" s="1">
        <f t="shared" si="14"/>
        <v>9.8334099648848677E-3</v>
      </c>
      <c r="O48" s="1">
        <f t="shared" si="15"/>
        <v>8.2086246089435721E-5</v>
      </c>
      <c r="P48" s="1">
        <f t="shared" si="18"/>
        <v>2.5476555244080784E-4</v>
      </c>
    </row>
    <row r="49" spans="1:16" x14ac:dyDescent="0.25">
      <c r="A49" s="1">
        <f t="shared" si="1"/>
        <v>0</v>
      </c>
      <c r="B49" s="1">
        <f t="shared" si="2"/>
        <v>7.4962258622690567E-16</v>
      </c>
      <c r="C49" s="1">
        <f t="shared" si="3"/>
        <v>4.778883403398582E-16</v>
      </c>
      <c r="D49" s="1">
        <f t="shared" si="4"/>
        <v>4.3233389290265929E-15</v>
      </c>
      <c r="E49" s="1">
        <f t="shared" si="5"/>
        <v>6.2712169080385746E-15</v>
      </c>
      <c r="F49" s="1">
        <f t="shared" si="6"/>
        <v>6.2712169080385746E-15</v>
      </c>
      <c r="G49" s="1">
        <f t="shared" si="7"/>
        <v>5.3681346857956702E-15</v>
      </c>
      <c r="H49" s="1">
        <f t="shared" si="8"/>
        <v>5.3681346857956702E-15</v>
      </c>
      <c r="I49" s="1">
        <f t="shared" si="9"/>
        <v>3.5948664228131472E-15</v>
      </c>
      <c r="J49" s="1">
        <f t="shared" si="10"/>
        <v>1.5363882521574531E-15</v>
      </c>
      <c r="K49" s="1">
        <f t="shared" si="11"/>
        <v>1.6806722689091922E-3</v>
      </c>
      <c r="L49" s="1">
        <f t="shared" si="12"/>
        <v>2.4351813972299971E-4</v>
      </c>
      <c r="M49" s="1">
        <f t="shared" si="13"/>
        <v>1.2454759362913359E-4</v>
      </c>
      <c r="N49" s="1">
        <f t="shared" si="14"/>
        <v>5.4382893676297372E-3</v>
      </c>
      <c r="O49" s="1">
        <f t="shared" si="15"/>
        <v>8.3670468887346081E-5</v>
      </c>
      <c r="P49" s="1">
        <f t="shared" si="18"/>
        <v>2.6747210988601423E-4</v>
      </c>
    </row>
    <row r="50" spans="1:16" x14ac:dyDescent="0.25">
      <c r="A50" s="1">
        <f t="shared" si="1"/>
        <v>0</v>
      </c>
      <c r="B50" s="1">
        <f t="shared" si="2"/>
        <v>7.1655100154042456E-16</v>
      </c>
      <c r="C50" s="1">
        <f t="shared" si="3"/>
        <v>1.3099556041971675E-15</v>
      </c>
      <c r="D50" s="1">
        <f t="shared" si="4"/>
        <v>6.3451404858772332E-16</v>
      </c>
      <c r="E50" s="1">
        <f t="shared" si="5"/>
        <v>6.4427580318138052E-15</v>
      </c>
      <c r="F50" s="1">
        <f t="shared" si="6"/>
        <v>6.4427580318138052E-15</v>
      </c>
      <c r="G50" s="1">
        <f t="shared" si="7"/>
        <v>1.6197081532008786E-15</v>
      </c>
      <c r="H50" s="1">
        <f t="shared" si="8"/>
        <v>1.6197081532008786E-15</v>
      </c>
      <c r="I50" s="1">
        <f t="shared" si="9"/>
        <v>7.0433373017064571E-15</v>
      </c>
      <c r="J50" s="1">
        <f t="shared" si="10"/>
        <v>1.0535732888927774E-15</v>
      </c>
      <c r="K50" s="1">
        <f t="shared" si="11"/>
        <v>1.6806722689102719E-3</v>
      </c>
      <c r="L50" s="1">
        <f t="shared" si="12"/>
        <v>2.478332812477119E-4</v>
      </c>
      <c r="M50" s="1">
        <f t="shared" si="13"/>
        <v>1.3063262720565408E-4</v>
      </c>
      <c r="N50" s="1">
        <f t="shared" si="14"/>
        <v>2.4103020652070637E-3</v>
      </c>
      <c r="O50" s="1">
        <f t="shared" si="15"/>
        <v>8.8690692859398347E-5</v>
      </c>
      <c r="P50" s="1">
        <f t="shared" si="18"/>
        <v>3.1199310196016686E-4</v>
      </c>
    </row>
    <row r="51" spans="1:16" x14ac:dyDescent="0.25">
      <c r="A51" s="1">
        <f t="shared" si="1"/>
        <v>0</v>
      </c>
      <c r="B51" s="1">
        <f t="shared" si="2"/>
        <v>5.0755695942446746E-16</v>
      </c>
      <c r="C51" s="1">
        <f t="shared" si="3"/>
        <v>1.8175858623394171E-15</v>
      </c>
      <c r="D51" s="1">
        <f t="shared" si="4"/>
        <v>3.9804586160938697E-16</v>
      </c>
      <c r="E51" s="1">
        <f t="shared" si="5"/>
        <v>7.1444129006813036E-15</v>
      </c>
      <c r="F51" s="1">
        <f t="shared" si="6"/>
        <v>7.1444129006813036E-15</v>
      </c>
      <c r="G51" s="1">
        <f t="shared" si="7"/>
        <v>6.7134800590529088E-16</v>
      </c>
      <c r="H51" s="1">
        <f t="shared" si="8"/>
        <v>6.7134800590529088E-16</v>
      </c>
      <c r="I51" s="1">
        <f t="shared" si="9"/>
        <v>5.4974017999952986E-15</v>
      </c>
      <c r="J51" s="1">
        <f t="shared" si="10"/>
        <v>1.4583111878404972E-16</v>
      </c>
      <c r="K51" s="1">
        <f t="shared" si="11"/>
        <v>1.6806722689104987E-3</v>
      </c>
      <c r="L51" s="1">
        <f t="shared" si="12"/>
        <v>2.54581036520291E-4</v>
      </c>
      <c r="M51" s="1">
        <f t="shared" si="13"/>
        <v>1.3950640644938811E-4</v>
      </c>
      <c r="N51" s="1">
        <f t="shared" si="14"/>
        <v>1.4536677568701053E-3</v>
      </c>
      <c r="O51" s="1">
        <f t="shared" si="15"/>
        <v>9.6077752259145297E-5</v>
      </c>
      <c r="P51" s="1">
        <f t="shared" si="18"/>
        <v>3.9182002886039614E-4</v>
      </c>
    </row>
    <row r="52" spans="1:16" x14ac:dyDescent="0.25">
      <c r="A52" s="1">
        <f t="shared" si="1"/>
        <v>0</v>
      </c>
      <c r="B52" s="1">
        <f t="shared" si="2"/>
        <v>3.2056229016282154E-16</v>
      </c>
      <c r="C52" s="1">
        <f t="shared" si="3"/>
        <v>1.6312958986093381E-15</v>
      </c>
      <c r="D52" s="1">
        <f t="shared" si="4"/>
        <v>9.6407611380336134E-15</v>
      </c>
      <c r="E52" s="1">
        <f t="shared" si="5"/>
        <v>1.547680717811416E-14</v>
      </c>
      <c r="F52" s="1">
        <f t="shared" si="6"/>
        <v>1.547680717811416E-14</v>
      </c>
      <c r="G52" s="1">
        <f t="shared" si="7"/>
        <v>9.8348464450398563E-15</v>
      </c>
      <c r="H52" s="1">
        <f t="shared" si="8"/>
        <v>9.8348464450398563E-15</v>
      </c>
      <c r="I52" s="1">
        <f t="shared" si="9"/>
        <v>7.6774831987696567E-15</v>
      </c>
      <c r="J52" s="1">
        <f t="shared" si="10"/>
        <v>1.4062427924447249E-15</v>
      </c>
      <c r="K52" s="1">
        <f t="shared" si="11"/>
        <v>1.6806722689093191E-3</v>
      </c>
      <c r="L52" s="1">
        <f t="shared" si="12"/>
        <v>2.6253484662629173E-4</v>
      </c>
      <c r="M52" s="1">
        <f t="shared" si="13"/>
        <v>1.4935638710653225E-4</v>
      </c>
      <c r="N52" s="1">
        <f t="shared" si="14"/>
        <v>1.0838447308691259E-3</v>
      </c>
      <c r="O52" s="1">
        <f t="shared" si="15"/>
        <v>1.0436483227995975E-4</v>
      </c>
      <c r="P52" s="1">
        <f t="shared" si="18"/>
        <v>5.0923357528149952E-4</v>
      </c>
    </row>
    <row r="53" spans="1:16" x14ac:dyDescent="0.25">
      <c r="A53" s="1">
        <f t="shared" si="1"/>
        <v>0</v>
      </c>
      <c r="B53" s="1">
        <f t="shared" si="2"/>
        <v>3.0453417565468043E-16</v>
      </c>
      <c r="C53" s="1">
        <f t="shared" si="3"/>
        <v>1.0516032489249482E-15</v>
      </c>
      <c r="D53" s="1">
        <f t="shared" si="4"/>
        <v>2.0040823919465647E-14</v>
      </c>
      <c r="E53" s="1">
        <f t="shared" si="5"/>
        <v>1.9836788381824028E-14</v>
      </c>
      <c r="F53" s="1">
        <f t="shared" si="6"/>
        <v>1.9836788381824028E-14</v>
      </c>
      <c r="G53" s="1">
        <f t="shared" si="7"/>
        <v>1.9024273529704514E-14</v>
      </c>
      <c r="H53" s="1">
        <f t="shared" si="8"/>
        <v>1.9024273529704514E-14</v>
      </c>
      <c r="I53" s="1">
        <f t="shared" si="9"/>
        <v>4.5615008150360528E-15</v>
      </c>
      <c r="J53" s="1">
        <f t="shared" si="10"/>
        <v>8.0979741187319995E-16</v>
      </c>
      <c r="K53" s="1">
        <f t="shared" si="11"/>
        <v>1.6806722689077171E-3</v>
      </c>
      <c r="L53" s="1">
        <f t="shared" si="12"/>
        <v>2.7176117044822815E-4</v>
      </c>
      <c r="M53" s="1">
        <f t="shared" si="13"/>
        <v>1.6028954650313895E-4</v>
      </c>
      <c r="N53" s="1">
        <f t="shared" si="14"/>
        <v>8.9230496683920311E-4</v>
      </c>
      <c r="O53" s="1">
        <f t="shared" si="15"/>
        <v>1.1366583289718727E-4</v>
      </c>
      <c r="P53" s="1">
        <f t="shared" si="18"/>
        <v>6.9525780284598968E-4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Atencia Tatis</dc:creator>
  <cp:lastModifiedBy>Tomas Atencia Tatis</cp:lastModifiedBy>
  <dcterms:created xsi:type="dcterms:W3CDTF">2025-03-20T21:35:56Z</dcterms:created>
  <dcterms:modified xsi:type="dcterms:W3CDTF">2025-03-20T22:17:58Z</dcterms:modified>
</cp:coreProperties>
</file>