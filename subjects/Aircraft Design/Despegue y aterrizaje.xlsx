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novo\Documents\Universidad\2025-2\Diseño\"/>
    </mc:Choice>
  </mc:AlternateContent>
  <xr:revisionPtr revIDLastSave="0" documentId="8_{7C03F186-55FC-463A-BE7A-4955FD3881F7}" xr6:coauthVersionLast="47" xr6:coauthVersionMax="47" xr10:uidLastSave="{00000000-0000-0000-0000-000000000000}"/>
  <bookViews>
    <workbookView xWindow="-120" yWindow="-120" windowWidth="29040" windowHeight="15720" activeTab="1" xr2:uid="{BE7CC51B-8855-4092-BCAC-AD453559DC34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1" i="1" l="1"/>
  <c r="J10" i="1"/>
  <c r="M7" i="1"/>
  <c r="M8" i="1"/>
  <c r="C12" i="1"/>
  <c r="C13" i="1"/>
  <c r="C14" i="1"/>
  <c r="C11" i="1"/>
  <c r="C8" i="1"/>
  <c r="C7" i="1"/>
  <c r="E4" i="1"/>
  <c r="C4" i="1"/>
</calcChain>
</file>

<file path=xl/sharedStrings.xml><?xml version="1.0" encoding="utf-8"?>
<sst xmlns="http://schemas.openxmlformats.org/spreadsheetml/2006/main" count="39" uniqueCount="25">
  <si>
    <t>S_L</t>
  </si>
  <si>
    <t>&lt;</t>
  </si>
  <si>
    <t>ft</t>
  </si>
  <si>
    <t>h</t>
  </si>
  <si>
    <t>V_S_L</t>
  </si>
  <si>
    <t>rho</t>
  </si>
  <si>
    <t>q</t>
  </si>
  <si>
    <t>kts</t>
  </si>
  <si>
    <t>(W/S)_TO</t>
  </si>
  <si>
    <t>W_L</t>
  </si>
  <si>
    <t>W_TO</t>
  </si>
  <si>
    <t>C_Lmax_L</t>
  </si>
  <si>
    <t>FAR25</t>
  </si>
  <si>
    <t>?</t>
  </si>
  <si>
    <t>V_A</t>
  </si>
  <si>
    <t>V_SL</t>
  </si>
  <si>
    <t>S_FL</t>
  </si>
  <si>
    <t>V_A^2</t>
  </si>
  <si>
    <t>RAIZ(S_FL/0.3)</t>
  </si>
  <si>
    <t>VA/1.3</t>
  </si>
  <si>
    <t>slug/ft3</t>
  </si>
  <si>
    <t>q*Clmax</t>
  </si>
  <si>
    <t>Velocidad stall</t>
  </si>
  <si>
    <t>(W/S)_L</t>
  </si>
  <si>
    <t>Clmax_xl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</si>
</sst>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4CB7F2-3586-42B9-A779-B862DFEBC81A}">
  <dimension ref="A1:M14"/>
  <sheetViews>
    <sheetView workbookViewId="0">
      <selection activeCell="J22" sqref="J22"/>
    </sheetView>
  </sheetViews>
  <sheetFormatPr baseColWidth="10" defaultRowHeight="15" x14ac:dyDescent="0.25"/>
  <cols>
    <col min="9" max="9" width="16.5703125" customWidth="1"/>
  </cols>
  <sheetData>
    <row r="1" spans="1:13" x14ac:dyDescent="0.25">
      <c r="A1" t="s">
        <v>12</v>
      </c>
    </row>
    <row r="2" spans="1:13" x14ac:dyDescent="0.25">
      <c r="B2" t="s">
        <v>0</v>
      </c>
      <c r="C2" t="s">
        <v>1</v>
      </c>
      <c r="D2">
        <v>2500</v>
      </c>
      <c r="E2" t="s">
        <v>2</v>
      </c>
      <c r="H2" t="s">
        <v>0</v>
      </c>
      <c r="I2" t="s">
        <v>1</v>
      </c>
      <c r="J2">
        <v>5000</v>
      </c>
      <c r="K2" t="s">
        <v>2</v>
      </c>
    </row>
    <row r="3" spans="1:13" x14ac:dyDescent="0.25">
      <c r="B3" t="s">
        <v>3</v>
      </c>
      <c r="C3">
        <v>5000</v>
      </c>
      <c r="D3" t="s">
        <v>2</v>
      </c>
      <c r="H3" t="s">
        <v>3</v>
      </c>
      <c r="I3" t="s">
        <v>13</v>
      </c>
    </row>
    <row r="4" spans="1:13" x14ac:dyDescent="0.25">
      <c r="B4" t="s">
        <v>4</v>
      </c>
      <c r="C4">
        <f>SQRT(D2/0.5136)</f>
        <v>69.768196523243461</v>
      </c>
      <c r="D4" t="s">
        <v>7</v>
      </c>
      <c r="E4">
        <f>C4*1.68781</f>
        <v>117.75545977389555</v>
      </c>
      <c r="H4" t="s">
        <v>9</v>
      </c>
      <c r="I4">
        <v>0.85</v>
      </c>
      <c r="J4" t="s">
        <v>10</v>
      </c>
    </row>
    <row r="5" spans="1:13" x14ac:dyDescent="0.25">
      <c r="B5" t="s">
        <v>9</v>
      </c>
      <c r="C5">
        <v>0.95</v>
      </c>
      <c r="D5" t="s">
        <v>10</v>
      </c>
      <c r="H5" t="s">
        <v>14</v>
      </c>
      <c r="I5">
        <v>1.3</v>
      </c>
      <c r="J5" t="s">
        <v>15</v>
      </c>
    </row>
    <row r="6" spans="1:13" x14ac:dyDescent="0.25">
      <c r="B6" t="s">
        <v>5</v>
      </c>
      <c r="C6">
        <v>2.049E-3</v>
      </c>
      <c r="H6" t="s">
        <v>16</v>
      </c>
      <c r="I6">
        <v>0.3</v>
      </c>
      <c r="J6" t="s">
        <v>17</v>
      </c>
    </row>
    <row r="7" spans="1:13" x14ac:dyDescent="0.25">
      <c r="B7" t="s">
        <v>6</v>
      </c>
      <c r="C7">
        <f>(1/2)*C6*E4^2</f>
        <v>14.206073840072291</v>
      </c>
      <c r="H7" t="s">
        <v>14</v>
      </c>
      <c r="I7" t="s">
        <v>18</v>
      </c>
      <c r="J7">
        <v>129.1</v>
      </c>
      <c r="M7">
        <f>J7*1.68781</f>
        <v>217.89627099999998</v>
      </c>
    </row>
    <row r="8" spans="1:13" x14ac:dyDescent="0.25">
      <c r="B8" t="s">
        <v>8</v>
      </c>
      <c r="C8">
        <f>C7/C5</f>
        <v>14.953761936918202</v>
      </c>
      <c r="D8" t="s">
        <v>11</v>
      </c>
      <c r="H8" t="s">
        <v>15</v>
      </c>
      <c r="I8" t="s">
        <v>19</v>
      </c>
      <c r="J8">
        <v>99.3</v>
      </c>
      <c r="K8" t="s">
        <v>22</v>
      </c>
      <c r="M8">
        <f>J8*1.68781</f>
        <v>167.59953300000001</v>
      </c>
    </row>
    <row r="9" spans="1:13" x14ac:dyDescent="0.25">
      <c r="H9" t="s">
        <v>5</v>
      </c>
      <c r="I9">
        <v>2.3770000000000002E-3</v>
      </c>
      <c r="J9" t="s">
        <v>20</v>
      </c>
    </row>
    <row r="10" spans="1:13" x14ac:dyDescent="0.25">
      <c r="B10" t="s">
        <v>11</v>
      </c>
      <c r="C10" t="s">
        <v>8</v>
      </c>
      <c r="H10" t="s">
        <v>23</v>
      </c>
      <c r="I10" t="s">
        <v>21</v>
      </c>
      <c r="J10">
        <f>(1/2)*I9*(M8^2)</f>
        <v>33.384493714370805</v>
      </c>
      <c r="K10" t="s">
        <v>24</v>
      </c>
    </row>
    <row r="11" spans="1:13" x14ac:dyDescent="0.25">
      <c r="B11">
        <v>1.6</v>
      </c>
      <c r="C11">
        <f>$C$8*B11</f>
        <v>23.926019099069123</v>
      </c>
      <c r="H11" t="s">
        <v>8</v>
      </c>
      <c r="I11">
        <f>J10/0.85</f>
        <v>39.2758749580833</v>
      </c>
      <c r="J11" t="s">
        <v>24</v>
      </c>
    </row>
    <row r="12" spans="1:13" x14ac:dyDescent="0.25">
      <c r="B12">
        <v>2</v>
      </c>
      <c r="C12">
        <f t="shared" ref="C12:C15" si="0">$C$8*B12</f>
        <v>29.907523873836404</v>
      </c>
    </row>
    <row r="13" spans="1:13" x14ac:dyDescent="0.25">
      <c r="B13">
        <v>2.4</v>
      </c>
      <c r="C13">
        <f t="shared" si="0"/>
        <v>35.889028648603684</v>
      </c>
    </row>
    <row r="14" spans="1:13" x14ac:dyDescent="0.25">
      <c r="B14">
        <v>2.8</v>
      </c>
      <c r="C14">
        <f t="shared" si="0"/>
        <v>41.870533423370965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E6FF83-3672-4C97-83F1-1DA25055CA9E}">
  <dimension ref="A1"/>
  <sheetViews>
    <sheetView tabSelected="1" workbookViewId="0">
      <selection activeCell="O34" sqref="O34"/>
    </sheetView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Tomas Atencia Tatis</dc:creator>
  <cp:lastModifiedBy>Tomas Atencia Tatis</cp:lastModifiedBy>
  <dcterms:created xsi:type="dcterms:W3CDTF">2025-08-14T18:11:20Z</dcterms:created>
  <dcterms:modified xsi:type="dcterms:W3CDTF">2025-08-14T18:47:49Z</dcterms:modified>
</cp:coreProperties>
</file>