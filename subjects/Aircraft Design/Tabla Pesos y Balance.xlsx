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versidad\2025-2\Diseño\"/>
    </mc:Choice>
  </mc:AlternateContent>
  <xr:revisionPtr revIDLastSave="0" documentId="13_ncr:1_{8D4EBAA6-8C13-4F6D-93F9-9E55DC433E25}" xr6:coauthVersionLast="47" xr6:coauthVersionMax="47" xr10:uidLastSave="{00000000-0000-0000-0000-000000000000}"/>
  <bookViews>
    <workbookView xWindow="-120" yWindow="-120" windowWidth="29040" windowHeight="15720" xr2:uid="{69968FB8-3505-4320-B8DE-A03851A617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C30" i="1"/>
  <c r="D29" i="1"/>
  <c r="E29" i="1"/>
  <c r="C29" i="1"/>
  <c r="D28" i="1"/>
  <c r="E28" i="1"/>
  <c r="C28" i="1"/>
  <c r="D27" i="1"/>
  <c r="C27" i="1"/>
  <c r="D26" i="1"/>
  <c r="C26" i="1"/>
  <c r="E27" i="1"/>
  <c r="E26" i="1"/>
  <c r="H23" i="1"/>
  <c r="I23" i="1"/>
  <c r="I17" i="1"/>
  <c r="I18" i="1"/>
  <c r="I19" i="1"/>
  <c r="I20" i="1"/>
  <c r="I21" i="1"/>
  <c r="I16" i="1"/>
  <c r="H14" i="1"/>
  <c r="I14" i="1"/>
  <c r="I12" i="1"/>
  <c r="I4" i="1"/>
  <c r="I5" i="1"/>
  <c r="I6" i="1"/>
  <c r="I7" i="1"/>
  <c r="I8" i="1"/>
  <c r="I9" i="1"/>
  <c r="I10" i="1"/>
  <c r="I11" i="1"/>
  <c r="I3" i="1"/>
  <c r="G17" i="1"/>
  <c r="G18" i="1"/>
  <c r="G19" i="1"/>
  <c r="G20" i="1"/>
  <c r="G21" i="1"/>
  <c r="G16" i="1"/>
  <c r="E17" i="1"/>
  <c r="E18" i="1"/>
  <c r="E19" i="1"/>
  <c r="E20" i="1"/>
  <c r="E21" i="1"/>
  <c r="E16" i="1"/>
  <c r="G4" i="1"/>
  <c r="G5" i="1"/>
  <c r="G6" i="1"/>
  <c r="G7" i="1"/>
  <c r="G8" i="1"/>
  <c r="G9" i="1"/>
  <c r="G10" i="1"/>
  <c r="G11" i="1"/>
  <c r="G12" i="1"/>
  <c r="G3" i="1"/>
  <c r="E4" i="1"/>
  <c r="E5" i="1"/>
  <c r="E6" i="1"/>
  <c r="E7" i="1"/>
  <c r="E8" i="1"/>
  <c r="E9" i="1"/>
  <c r="E10" i="1"/>
  <c r="E11" i="1"/>
  <c r="E12" i="1"/>
  <c r="E3" i="1"/>
  <c r="C14" i="1"/>
  <c r="C23" i="1" s="1"/>
  <c r="G14" i="1" l="1"/>
  <c r="G23" i="1" s="1"/>
  <c r="F23" i="1" s="1"/>
  <c r="E14" i="1"/>
  <c r="D14" i="1" s="1"/>
  <c r="E23" i="1"/>
  <c r="D23" i="1" s="1"/>
</calcChain>
</file>

<file path=xl/sharedStrings.xml><?xml version="1.0" encoding="utf-8"?>
<sst xmlns="http://schemas.openxmlformats.org/spreadsheetml/2006/main" count="34" uniqueCount="32">
  <si>
    <t>Component</t>
  </si>
  <si>
    <t>Weight</t>
  </si>
  <si>
    <t>Wing</t>
  </si>
  <si>
    <t>Empennage HT</t>
  </si>
  <si>
    <t>Empennage VT</t>
  </si>
  <si>
    <t>Fuselage</t>
  </si>
  <si>
    <t>Naceles</t>
  </si>
  <si>
    <t>Landing Gear N.G</t>
  </si>
  <si>
    <t>Landing Gear M.G</t>
  </si>
  <si>
    <t>Engines + inst.</t>
  </si>
  <si>
    <t>Propellers</t>
  </si>
  <si>
    <t>Fixed Equipment</t>
  </si>
  <si>
    <t>Empty Weight WE</t>
  </si>
  <si>
    <t>TFO</t>
  </si>
  <si>
    <t>Fuel</t>
  </si>
  <si>
    <t>2 Pax</t>
  </si>
  <si>
    <t>Baggage</t>
  </si>
  <si>
    <t>WTO</t>
  </si>
  <si>
    <t>Weight [lbs]</t>
  </si>
  <si>
    <t>x</t>
  </si>
  <si>
    <t>Wx</t>
  </si>
  <si>
    <t>y</t>
  </si>
  <si>
    <t>Wy</t>
  </si>
  <si>
    <t>z</t>
  </si>
  <si>
    <t>Wz</t>
  </si>
  <si>
    <t>x [in]</t>
  </si>
  <si>
    <t>Wx [in.lbs]</t>
  </si>
  <si>
    <t xml:space="preserve">WE </t>
  </si>
  <si>
    <t>WE + TFO</t>
  </si>
  <si>
    <t>WE + TFO + Wcrew</t>
  </si>
  <si>
    <t>WE + TFO + Wcrew +Wf</t>
  </si>
  <si>
    <t>WE + TFO + Wcrew +Wf + Wpay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</si>
</sst>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Hoja1!$B$14</c:f>
              <c:strCache>
                <c:ptCount val="1"/>
                <c:pt idx="0">
                  <c:v>Empty Weight WE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Hoja1!$D$14</c:f>
              <c:numCache>
                <c:formatCode>0.00</c:formatCode>
                <c:ptCount val="1"/>
                <c:pt idx="0">
                  <c:v>288.07367346938776</c:v>
                </c:pt>
              </c:numCache>
            </c:numRef>
          </c:xVal>
          <c:yVal>
            <c:numRef>
              <c:f>Hoja1!$C$14</c:f>
              <c:numCache>
                <c:formatCode>General</c:formatCode>
                <c:ptCount val="1"/>
                <c:pt idx="0">
                  <c:v>4900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44-4CC8-BE22-B6CD432A5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18879"/>
        <c:axId val="676231839"/>
      </c:scatterChart>
      <c:valAx>
        <c:axId val="67621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6231839"/>
        <c:crosses val="autoZero"/>
        <c:crossBetween val="midCat"/>
      </c:valAx>
      <c:valAx>
        <c:axId val="6762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621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2</xdr:row>
      <xdr:rowOff>185736</xdr:rowOff>
    </xdr:from>
    <xdr:to>
      <xdr:col>18</xdr:col>
      <xdr:colOff>619125</xdr:colOff>
      <xdr:row>23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35722E-65BC-4597-5C75-B5E7CECAB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31E1-6076-4833-983D-5B408112C016}">
  <dimension ref="A2:I30"/>
  <sheetViews>
    <sheetView tabSelected="1" workbookViewId="0">
      <selection activeCell="J29" sqref="J29"/>
    </sheetView>
  </sheetViews>
  <sheetFormatPr baseColWidth="10" defaultRowHeight="15" x14ac:dyDescent="0.25"/>
  <cols>
    <col min="2" max="2" width="21.28515625" customWidth="1"/>
    <col min="3" max="3" width="16.85546875" customWidth="1"/>
  </cols>
  <sheetData>
    <row r="2" spans="2:9" x14ac:dyDescent="0.25">
      <c r="B2" t="s">
        <v>0</v>
      </c>
      <c r="C2" t="s">
        <v>18</v>
      </c>
      <c r="D2" t="s">
        <v>25</v>
      </c>
      <c r="E2" t="s">
        <v>26</v>
      </c>
      <c r="F2" t="s">
        <v>21</v>
      </c>
      <c r="G2" t="s">
        <v>22</v>
      </c>
      <c r="H2" t="s">
        <v>23</v>
      </c>
      <c r="I2" t="s">
        <v>24</v>
      </c>
    </row>
    <row r="3" spans="2:9" x14ac:dyDescent="0.25">
      <c r="B3" t="s">
        <v>2</v>
      </c>
      <c r="C3">
        <v>738</v>
      </c>
      <c r="D3">
        <v>269</v>
      </c>
      <c r="E3">
        <f>$C3*D3</f>
        <v>198522</v>
      </c>
      <c r="F3">
        <v>0</v>
      </c>
      <c r="G3">
        <f>$C3*F3</f>
        <v>0</v>
      </c>
      <c r="H3">
        <v>118</v>
      </c>
      <c r="I3">
        <f>$C3*H3</f>
        <v>87084</v>
      </c>
    </row>
    <row r="4" spans="2:9" x14ac:dyDescent="0.25">
      <c r="B4" t="s">
        <v>3</v>
      </c>
      <c r="C4">
        <v>120</v>
      </c>
      <c r="D4">
        <v>559</v>
      </c>
      <c r="E4">
        <f t="shared" ref="E4:E12" si="0">$C4*D4</f>
        <v>67080</v>
      </c>
      <c r="F4">
        <v>0</v>
      </c>
      <c r="G4">
        <f t="shared" ref="G4:G12" si="1">$C4*F4</f>
        <v>0</v>
      </c>
      <c r="H4">
        <v>189</v>
      </c>
      <c r="I4">
        <f t="shared" ref="I4:I12" si="2">$C4*H4</f>
        <v>22680</v>
      </c>
    </row>
    <row r="5" spans="2:9" x14ac:dyDescent="0.25">
      <c r="B5" t="s">
        <v>4</v>
      </c>
      <c r="C5">
        <v>59</v>
      </c>
      <c r="D5">
        <v>504</v>
      </c>
      <c r="E5">
        <f t="shared" si="0"/>
        <v>29736</v>
      </c>
      <c r="F5">
        <v>0</v>
      </c>
      <c r="G5">
        <f t="shared" si="1"/>
        <v>0</v>
      </c>
      <c r="H5">
        <v>146</v>
      </c>
      <c r="I5">
        <f t="shared" si="2"/>
        <v>8614</v>
      </c>
    </row>
    <row r="6" spans="2:9" x14ac:dyDescent="0.25">
      <c r="B6" t="s">
        <v>5</v>
      </c>
      <c r="C6">
        <v>621</v>
      </c>
      <c r="D6">
        <v>220</v>
      </c>
      <c r="E6">
        <f t="shared" si="0"/>
        <v>136620</v>
      </c>
      <c r="F6">
        <v>0</v>
      </c>
      <c r="G6">
        <f t="shared" si="1"/>
        <v>0</v>
      </c>
      <c r="H6">
        <v>76</v>
      </c>
      <c r="I6">
        <f t="shared" si="2"/>
        <v>47196</v>
      </c>
    </row>
    <row r="7" spans="2:9" x14ac:dyDescent="0.25">
      <c r="B7" t="s">
        <v>6</v>
      </c>
      <c r="C7">
        <v>249</v>
      </c>
      <c r="D7">
        <v>315</v>
      </c>
      <c r="E7">
        <f t="shared" si="0"/>
        <v>78435</v>
      </c>
      <c r="F7">
        <v>0</v>
      </c>
      <c r="G7">
        <f t="shared" si="1"/>
        <v>0</v>
      </c>
      <c r="H7">
        <v>126</v>
      </c>
      <c r="I7">
        <f t="shared" si="2"/>
        <v>31374</v>
      </c>
    </row>
    <row r="8" spans="2:9" x14ac:dyDescent="0.25">
      <c r="B8" t="s">
        <v>7</v>
      </c>
      <c r="C8">
        <v>76</v>
      </c>
      <c r="D8">
        <v>110</v>
      </c>
      <c r="E8">
        <f t="shared" si="0"/>
        <v>8360</v>
      </c>
      <c r="F8">
        <v>0</v>
      </c>
      <c r="G8">
        <f t="shared" si="1"/>
        <v>0</v>
      </c>
      <c r="H8">
        <v>47</v>
      </c>
      <c r="I8">
        <f t="shared" si="2"/>
        <v>3572</v>
      </c>
    </row>
    <row r="9" spans="2:9" x14ac:dyDescent="0.25">
      <c r="B9" t="s">
        <v>8</v>
      </c>
      <c r="C9">
        <v>304</v>
      </c>
      <c r="D9">
        <v>315</v>
      </c>
      <c r="E9">
        <f t="shared" si="0"/>
        <v>95760</v>
      </c>
      <c r="F9">
        <v>0</v>
      </c>
      <c r="G9">
        <f t="shared" si="1"/>
        <v>0</v>
      </c>
      <c r="H9">
        <v>55</v>
      </c>
      <c r="I9">
        <f t="shared" si="2"/>
        <v>16720</v>
      </c>
    </row>
    <row r="10" spans="2:9" x14ac:dyDescent="0.25">
      <c r="B10" t="s">
        <v>9</v>
      </c>
      <c r="C10">
        <v>1508</v>
      </c>
      <c r="D10">
        <v>331</v>
      </c>
      <c r="E10">
        <f t="shared" si="0"/>
        <v>499148</v>
      </c>
      <c r="F10">
        <v>0</v>
      </c>
      <c r="G10">
        <f t="shared" si="1"/>
        <v>0</v>
      </c>
      <c r="H10">
        <v>126</v>
      </c>
      <c r="I10">
        <f t="shared" si="2"/>
        <v>190008</v>
      </c>
    </row>
    <row r="11" spans="2:9" x14ac:dyDescent="0.25">
      <c r="B11" t="s">
        <v>10</v>
      </c>
      <c r="C11">
        <v>200</v>
      </c>
      <c r="D11">
        <v>362</v>
      </c>
      <c r="E11">
        <f t="shared" si="0"/>
        <v>72400</v>
      </c>
      <c r="F11">
        <v>0</v>
      </c>
      <c r="G11">
        <f t="shared" si="1"/>
        <v>0</v>
      </c>
      <c r="H11">
        <v>129</v>
      </c>
      <c r="I11">
        <f t="shared" si="2"/>
        <v>25800</v>
      </c>
    </row>
    <row r="12" spans="2:9" x14ac:dyDescent="0.25">
      <c r="B12" t="s">
        <v>11</v>
      </c>
      <c r="C12">
        <v>1025</v>
      </c>
      <c r="D12">
        <v>220</v>
      </c>
      <c r="E12">
        <f t="shared" si="0"/>
        <v>225500</v>
      </c>
      <c r="F12">
        <v>0</v>
      </c>
      <c r="G12">
        <f t="shared" si="1"/>
        <v>0</v>
      </c>
      <c r="H12">
        <v>76</v>
      </c>
      <c r="I12">
        <f t="shared" si="2"/>
        <v>77900</v>
      </c>
    </row>
    <row r="14" spans="2:9" x14ac:dyDescent="0.25">
      <c r="B14" t="s">
        <v>12</v>
      </c>
      <c r="C14">
        <f>SUM(C3:C12)</f>
        <v>4900</v>
      </c>
      <c r="D14" s="1">
        <f>E14/$C$14</f>
        <v>288.07367346938776</v>
      </c>
      <c r="E14">
        <f>SUM(E3:E12)</f>
        <v>1411561</v>
      </c>
      <c r="F14">
        <v>0</v>
      </c>
      <c r="G14">
        <f>SUM(G3:G12)</f>
        <v>0</v>
      </c>
      <c r="H14" s="1">
        <f>I14/$C$14</f>
        <v>104.27510204081632</v>
      </c>
      <c r="I14">
        <f>SUM(I3:I12)</f>
        <v>510948</v>
      </c>
    </row>
    <row r="16" spans="2:9" x14ac:dyDescent="0.25">
      <c r="B16" t="s">
        <v>13</v>
      </c>
      <c r="C16">
        <v>44</v>
      </c>
      <c r="D16">
        <v>315</v>
      </c>
      <c r="E16">
        <f>$C16*D16</f>
        <v>13860</v>
      </c>
      <c r="F16">
        <v>0</v>
      </c>
      <c r="G16">
        <f>$C16*F16</f>
        <v>0</v>
      </c>
      <c r="H16">
        <v>118</v>
      </c>
      <c r="I16">
        <f>$C16*H16</f>
        <v>5192</v>
      </c>
    </row>
    <row r="17" spans="1:9" x14ac:dyDescent="0.25">
      <c r="B17" t="s">
        <v>14</v>
      </c>
      <c r="C17">
        <v>1706</v>
      </c>
      <c r="D17">
        <v>276</v>
      </c>
      <c r="E17">
        <f t="shared" ref="E17:E21" si="3">$C17*D17</f>
        <v>470856</v>
      </c>
      <c r="F17">
        <v>0</v>
      </c>
      <c r="G17">
        <f t="shared" ref="G17:G21" si="4">$C17*F17</f>
        <v>0</v>
      </c>
      <c r="H17">
        <v>118</v>
      </c>
      <c r="I17">
        <f t="shared" ref="I17:I21" si="5">$C17*H17</f>
        <v>201308</v>
      </c>
    </row>
    <row r="18" spans="1:9" x14ac:dyDescent="0.25">
      <c r="B18" t="s">
        <v>15</v>
      </c>
      <c r="C18">
        <v>350</v>
      </c>
      <c r="D18">
        <v>184</v>
      </c>
      <c r="E18">
        <f t="shared" si="3"/>
        <v>64400</v>
      </c>
      <c r="F18">
        <v>0</v>
      </c>
      <c r="G18">
        <f t="shared" si="4"/>
        <v>0</v>
      </c>
      <c r="H18">
        <v>76</v>
      </c>
      <c r="I18">
        <f t="shared" si="5"/>
        <v>26600</v>
      </c>
    </row>
    <row r="19" spans="1:9" x14ac:dyDescent="0.25">
      <c r="B19" t="s">
        <v>15</v>
      </c>
      <c r="C19">
        <v>350</v>
      </c>
      <c r="D19">
        <v>282</v>
      </c>
      <c r="E19">
        <f t="shared" si="3"/>
        <v>98700</v>
      </c>
      <c r="F19">
        <v>0</v>
      </c>
      <c r="G19">
        <f t="shared" si="4"/>
        <v>0</v>
      </c>
      <c r="H19">
        <v>76</v>
      </c>
      <c r="I19">
        <f t="shared" si="5"/>
        <v>26600</v>
      </c>
    </row>
    <row r="20" spans="1:9" x14ac:dyDescent="0.25">
      <c r="B20" t="s">
        <v>15</v>
      </c>
      <c r="C20">
        <v>350</v>
      </c>
      <c r="D20">
        <v>337</v>
      </c>
      <c r="E20">
        <f t="shared" si="3"/>
        <v>117950</v>
      </c>
      <c r="F20">
        <v>0</v>
      </c>
      <c r="G20">
        <f t="shared" si="4"/>
        <v>0</v>
      </c>
      <c r="H20">
        <v>76</v>
      </c>
      <c r="I20">
        <f t="shared" si="5"/>
        <v>26600</v>
      </c>
    </row>
    <row r="21" spans="1:9" x14ac:dyDescent="0.25">
      <c r="B21" t="s">
        <v>16</v>
      </c>
      <c r="C21">
        <v>200</v>
      </c>
      <c r="D21">
        <v>220</v>
      </c>
      <c r="E21">
        <f t="shared" si="3"/>
        <v>44000</v>
      </c>
      <c r="F21">
        <v>14</v>
      </c>
      <c r="G21">
        <f t="shared" si="4"/>
        <v>2800</v>
      </c>
      <c r="H21">
        <v>76</v>
      </c>
      <c r="I21">
        <f t="shared" si="5"/>
        <v>15200</v>
      </c>
    </row>
    <row r="23" spans="1:9" x14ac:dyDescent="0.25">
      <c r="B23" t="s">
        <v>17</v>
      </c>
      <c r="C23">
        <f>C14+SUM(C16:C21)</f>
        <v>7900</v>
      </c>
      <c r="D23" s="1">
        <f>E23/$C$23</f>
        <v>281.18063291139242</v>
      </c>
      <c r="E23">
        <f>SUM(E16:E21)+E14</f>
        <v>2221327</v>
      </c>
      <c r="F23" s="1">
        <f>G23/$C$23</f>
        <v>0.35443037974683544</v>
      </c>
      <c r="G23">
        <f>SUM(G16:G21)+G14</f>
        <v>2800</v>
      </c>
      <c r="H23" s="1">
        <f>I23/$C$23</f>
        <v>102.84151898734177</v>
      </c>
      <c r="I23">
        <f>SUM(I16:I21)+I14</f>
        <v>812448</v>
      </c>
    </row>
    <row r="25" spans="1:9" x14ac:dyDescent="0.25">
      <c r="C25" t="s">
        <v>1</v>
      </c>
      <c r="D25" t="s">
        <v>19</v>
      </c>
      <c r="E25" t="s">
        <v>20</v>
      </c>
    </row>
    <row r="26" spans="1:9" x14ac:dyDescent="0.25">
      <c r="A26" s="2" t="s">
        <v>27</v>
      </c>
      <c r="B26" s="2"/>
      <c r="C26" s="1">
        <f>C14</f>
        <v>4900</v>
      </c>
      <c r="D26" s="1">
        <f>D14</f>
        <v>288.07367346938776</v>
      </c>
      <c r="E26">
        <f>E14</f>
        <v>1411561</v>
      </c>
    </row>
    <row r="27" spans="1:9" x14ac:dyDescent="0.25">
      <c r="A27" s="2" t="s">
        <v>28</v>
      </c>
      <c r="B27" s="2"/>
      <c r="C27">
        <f>C14+C16</f>
        <v>4944</v>
      </c>
      <c r="D27" s="1">
        <f>E27/C27</f>
        <v>288.31330906148867</v>
      </c>
      <c r="E27">
        <f>E14+E16</f>
        <v>1425421</v>
      </c>
    </row>
    <row r="28" spans="1:9" x14ac:dyDescent="0.25">
      <c r="A28" s="2" t="s">
        <v>29</v>
      </c>
      <c r="B28" s="2"/>
      <c r="C28">
        <f>C14+C16+C18/2</f>
        <v>5119</v>
      </c>
      <c r="D28" s="1">
        <f>E28/C28</f>
        <v>284.74721625317443</v>
      </c>
      <c r="E28">
        <f>E14+E16+E18/2</f>
        <v>1457621</v>
      </c>
    </row>
    <row r="29" spans="1:9" x14ac:dyDescent="0.25">
      <c r="A29" s="2" t="s">
        <v>30</v>
      </c>
      <c r="B29" s="2"/>
      <c r="C29">
        <f>C14+C16+C18+C17</f>
        <v>7000</v>
      </c>
      <c r="D29" s="1">
        <f>E29/C29</f>
        <v>280.09671428571431</v>
      </c>
      <c r="E29">
        <f>E14+E16+E18+E17</f>
        <v>1960677</v>
      </c>
    </row>
    <row r="30" spans="1:9" x14ac:dyDescent="0.25">
      <c r="A30" s="2" t="s">
        <v>31</v>
      </c>
      <c r="B30" s="2"/>
      <c r="C30">
        <f>C14+C16+C18+C17+D17</f>
        <v>7276</v>
      </c>
      <c r="D30" s="1">
        <f>E30/C30</f>
        <v>275.51910390324355</v>
      </c>
      <c r="E30">
        <f>E14+E16+E18+E17+E21</f>
        <v>2004677</v>
      </c>
    </row>
  </sheetData>
  <mergeCells count="5">
    <mergeCell ref="A26:B26"/>
    <mergeCell ref="A27:B27"/>
    <mergeCell ref="A28:B28"/>
    <mergeCell ref="A29:B29"/>
    <mergeCell ref="A30:B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2025-10-16T18:25:46Z</dcterms:created>
  <dcterms:modified xsi:type="dcterms:W3CDTF">2025-10-16T19:27:27Z</dcterms:modified>
</cp:coreProperties>
</file>