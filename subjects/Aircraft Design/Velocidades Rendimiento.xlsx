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2\Diseño\"/>
    </mc:Choice>
  </mc:AlternateContent>
  <xr:revisionPtr revIDLastSave="0" documentId="8_{326BB002-DD22-4ED8-BEB7-74418799C171}" xr6:coauthVersionLast="47" xr6:coauthVersionMax="47" xr10:uidLastSave="{00000000-0000-0000-0000-000000000000}"/>
  <bookViews>
    <workbookView xWindow="-120" yWindow="-120" windowWidth="29040" windowHeight="15720" xr2:uid="{E4DF735C-2E58-438B-9B12-9057BF31BA62}"/>
  </bookViews>
  <sheets>
    <sheet name="Hélice" sheetId="1" r:id="rId1"/>
    <sheet name="J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3" i="1" l="1"/>
  <c r="R43" i="1"/>
  <c r="R42" i="1"/>
  <c r="S43" i="1"/>
  <c r="S42" i="1"/>
  <c r="Q3" i="1"/>
  <c r="P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P12" i="1"/>
  <c r="P13" i="1"/>
  <c r="P15" i="1"/>
  <c r="P24" i="1"/>
  <c r="P25" i="1"/>
  <c r="P27" i="1"/>
  <c r="P6" i="1"/>
  <c r="R38" i="1"/>
  <c r="R37" i="1"/>
  <c r="R36" i="1"/>
  <c r="F8" i="1"/>
  <c r="N3" i="1"/>
  <c r="D8" i="1"/>
  <c r="J3" i="1"/>
  <c r="S34" i="1"/>
  <c r="R3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P37" i="2"/>
  <c r="R34" i="2"/>
  <c r="Q3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4" i="2"/>
  <c r="D8" i="2"/>
  <c r="K4" i="2"/>
  <c r="L4" i="2" s="1"/>
  <c r="M4" i="2" s="1"/>
  <c r="N4" i="2" s="1"/>
  <c r="L12" i="2"/>
  <c r="M12" i="2" s="1"/>
  <c r="N12" i="2" s="1"/>
  <c r="L13" i="2"/>
  <c r="M13" i="2" s="1"/>
  <c r="N13" i="2" s="1"/>
  <c r="L24" i="2"/>
  <c r="M24" i="2" s="1"/>
  <c r="N24" i="2" s="1"/>
  <c r="L25" i="2"/>
  <c r="M25" i="2" s="1"/>
  <c r="N25" i="2" s="1"/>
  <c r="L36" i="2"/>
  <c r="M36" i="2" s="1"/>
  <c r="N36" i="2" s="1"/>
  <c r="L37" i="2"/>
  <c r="L46" i="2"/>
  <c r="L48" i="2"/>
  <c r="M48" i="2" s="1"/>
  <c r="N48" i="2" s="1"/>
  <c r="L49" i="2"/>
  <c r="M49" i="2" s="1"/>
  <c r="N49" i="2" s="1"/>
  <c r="L60" i="2"/>
  <c r="M60" i="2" s="1"/>
  <c r="N60" i="2" s="1"/>
  <c r="L61" i="2"/>
  <c r="M61" i="2" s="1"/>
  <c r="N61" i="2" s="1"/>
  <c r="L72" i="2"/>
  <c r="L73" i="2"/>
  <c r="M72" i="2"/>
  <c r="N72" i="2" s="1"/>
  <c r="B12" i="2"/>
  <c r="L8" i="2" s="1"/>
  <c r="M8" i="2" s="1"/>
  <c r="N8" i="2" s="1"/>
  <c r="B13" i="1"/>
  <c r="K4" i="1"/>
  <c r="K5" i="1"/>
  <c r="K6" i="1"/>
  <c r="L6" i="1" s="1"/>
  <c r="K7" i="1"/>
  <c r="K8" i="1"/>
  <c r="K9" i="1"/>
  <c r="K10" i="1"/>
  <c r="K11" i="1"/>
  <c r="K12" i="1"/>
  <c r="L12" i="1" s="1"/>
  <c r="M12" i="1" s="1"/>
  <c r="N12" i="1" s="1"/>
  <c r="O12" i="1" s="1"/>
  <c r="K13" i="1"/>
  <c r="L13" i="1" s="1"/>
  <c r="M13" i="1" s="1"/>
  <c r="N13" i="1" s="1"/>
  <c r="O13" i="1" s="1"/>
  <c r="K14" i="1"/>
  <c r="L14" i="1" s="1"/>
  <c r="M14" i="1" s="1"/>
  <c r="N14" i="1" s="1"/>
  <c r="O14" i="1" s="1"/>
  <c r="K15" i="1"/>
  <c r="L15" i="1" s="1"/>
  <c r="M15" i="1" s="1"/>
  <c r="N15" i="1" s="1"/>
  <c r="O15" i="1" s="1"/>
  <c r="K16" i="1"/>
  <c r="K17" i="1"/>
  <c r="K18" i="1"/>
  <c r="K19" i="1"/>
  <c r="K20" i="1"/>
  <c r="K21" i="1"/>
  <c r="K22" i="1"/>
  <c r="K23" i="1"/>
  <c r="L23" i="1" s="1"/>
  <c r="K24" i="1"/>
  <c r="L24" i="1" s="1"/>
  <c r="M24" i="1" s="1"/>
  <c r="N24" i="1" s="1"/>
  <c r="O24" i="1" s="1"/>
  <c r="K25" i="1"/>
  <c r="L25" i="1" s="1"/>
  <c r="M25" i="1" s="1"/>
  <c r="N25" i="1" s="1"/>
  <c r="O25" i="1" s="1"/>
  <c r="K26" i="1"/>
  <c r="L26" i="1" s="1"/>
  <c r="M26" i="1" s="1"/>
  <c r="N26" i="1" s="1"/>
  <c r="O26" i="1" s="1"/>
  <c r="K27" i="1"/>
  <c r="L27" i="1" s="1"/>
  <c r="M27" i="1" s="1"/>
  <c r="N27" i="1" s="1"/>
  <c r="O27" i="1" s="1"/>
  <c r="K28" i="1"/>
  <c r="K3" i="1"/>
  <c r="L3" i="1" s="1"/>
  <c r="M3" i="1" s="1"/>
  <c r="O3" i="1" s="1"/>
  <c r="K5" i="2"/>
  <c r="L5" i="2" s="1"/>
  <c r="M5" i="2" s="1"/>
  <c r="N5" i="2" s="1"/>
  <c r="K6" i="2"/>
  <c r="L6" i="2" s="1"/>
  <c r="M6" i="2" s="1"/>
  <c r="N6" i="2" s="1"/>
  <c r="K7" i="2"/>
  <c r="K8" i="2"/>
  <c r="K9" i="2"/>
  <c r="K10" i="2"/>
  <c r="K11" i="2"/>
  <c r="K12" i="2"/>
  <c r="K13" i="2"/>
  <c r="K14" i="2"/>
  <c r="L14" i="2" s="1"/>
  <c r="M14" i="2" s="1"/>
  <c r="N14" i="2" s="1"/>
  <c r="K15" i="2"/>
  <c r="L15" i="2" s="1"/>
  <c r="M15" i="2" s="1"/>
  <c r="N15" i="2" s="1"/>
  <c r="K16" i="2"/>
  <c r="L16" i="2" s="1"/>
  <c r="M16" i="2" s="1"/>
  <c r="N16" i="2" s="1"/>
  <c r="K17" i="2"/>
  <c r="L17" i="2" s="1"/>
  <c r="M17" i="2" s="1"/>
  <c r="N17" i="2" s="1"/>
  <c r="K18" i="2"/>
  <c r="L18" i="2" s="1"/>
  <c r="M18" i="2" s="1"/>
  <c r="N18" i="2" s="1"/>
  <c r="K19" i="2"/>
  <c r="K20" i="2"/>
  <c r="K21" i="2"/>
  <c r="K22" i="2"/>
  <c r="K23" i="2"/>
  <c r="K24" i="2"/>
  <c r="K25" i="2"/>
  <c r="K26" i="2"/>
  <c r="L26" i="2" s="1"/>
  <c r="M26" i="2" s="1"/>
  <c r="N26" i="2" s="1"/>
  <c r="K27" i="2"/>
  <c r="L27" i="2" s="1"/>
  <c r="M27" i="2" s="1"/>
  <c r="N27" i="2" s="1"/>
  <c r="K28" i="2"/>
  <c r="L28" i="2" s="1"/>
  <c r="M28" i="2" s="1"/>
  <c r="N28" i="2" s="1"/>
  <c r="K29" i="2"/>
  <c r="L29" i="2" s="1"/>
  <c r="M29" i="2" s="1"/>
  <c r="N29" i="2" s="1"/>
  <c r="K30" i="2"/>
  <c r="L30" i="2" s="1"/>
  <c r="M30" i="2" s="1"/>
  <c r="N30" i="2" s="1"/>
  <c r="K31" i="2"/>
  <c r="K32" i="2"/>
  <c r="K33" i="2"/>
  <c r="K34" i="2"/>
  <c r="K35" i="2"/>
  <c r="K36" i="2"/>
  <c r="K37" i="2"/>
  <c r="M37" i="2" s="1"/>
  <c r="N37" i="2" s="1"/>
  <c r="K38" i="2"/>
  <c r="L38" i="2" s="1"/>
  <c r="K39" i="2"/>
  <c r="L39" i="2" s="1"/>
  <c r="K40" i="2"/>
  <c r="L40" i="2" s="1"/>
  <c r="M40" i="2" s="1"/>
  <c r="N40" i="2" s="1"/>
  <c r="K41" i="2"/>
  <c r="L41" i="2" s="1"/>
  <c r="K42" i="2"/>
  <c r="L42" i="2" s="1"/>
  <c r="K43" i="2"/>
  <c r="L43" i="2" s="1"/>
  <c r="M43" i="2" s="1"/>
  <c r="N43" i="2" s="1"/>
  <c r="K44" i="2"/>
  <c r="K45" i="2"/>
  <c r="K46" i="2"/>
  <c r="M46" i="2" s="1"/>
  <c r="N46" i="2" s="1"/>
  <c r="K47" i="2"/>
  <c r="K48" i="2"/>
  <c r="K49" i="2"/>
  <c r="K50" i="2"/>
  <c r="L50" i="2" s="1"/>
  <c r="M50" i="2" s="1"/>
  <c r="N50" i="2" s="1"/>
  <c r="K51" i="2"/>
  <c r="L51" i="2" s="1"/>
  <c r="M51" i="2" s="1"/>
  <c r="N51" i="2" s="1"/>
  <c r="K52" i="2"/>
  <c r="L52" i="2" s="1"/>
  <c r="M52" i="2" s="1"/>
  <c r="N52" i="2" s="1"/>
  <c r="K53" i="2"/>
  <c r="L53" i="2" s="1"/>
  <c r="K54" i="2"/>
  <c r="L54" i="2" s="1"/>
  <c r="K55" i="2"/>
  <c r="L55" i="2" s="1"/>
  <c r="K56" i="2"/>
  <c r="K57" i="2"/>
  <c r="K58" i="2"/>
  <c r="K59" i="2"/>
  <c r="K60" i="2"/>
  <c r="K61" i="2"/>
  <c r="K62" i="2"/>
  <c r="L62" i="2" s="1"/>
  <c r="M62" i="2" s="1"/>
  <c r="N62" i="2" s="1"/>
  <c r="K63" i="2"/>
  <c r="L63" i="2" s="1"/>
  <c r="M63" i="2" s="1"/>
  <c r="N63" i="2" s="1"/>
  <c r="K64" i="2"/>
  <c r="L64" i="2" s="1"/>
  <c r="M64" i="2" s="1"/>
  <c r="N64" i="2" s="1"/>
  <c r="K65" i="2"/>
  <c r="L65" i="2" s="1"/>
  <c r="K66" i="2"/>
  <c r="L66" i="2" s="1"/>
  <c r="K67" i="2"/>
  <c r="L67" i="2" s="1"/>
  <c r="M67" i="2" s="1"/>
  <c r="N67" i="2" s="1"/>
  <c r="K68" i="2"/>
  <c r="K69" i="2"/>
  <c r="K70" i="2"/>
  <c r="K71" i="2"/>
  <c r="K72" i="2"/>
  <c r="K73" i="2"/>
  <c r="M73" i="2" s="1"/>
  <c r="N73" i="2" s="1"/>
  <c r="K74" i="2"/>
  <c r="L74" i="2" s="1"/>
  <c r="M74" i="2" s="1"/>
  <c r="N74" i="2" s="1"/>
  <c r="T43" i="1" l="1"/>
  <c r="T42" i="1"/>
  <c r="Y42" i="1" s="1"/>
  <c r="P26" i="1"/>
  <c r="P14" i="1"/>
  <c r="P23" i="1"/>
  <c r="T34" i="1"/>
  <c r="U34" i="1" s="1"/>
  <c r="V34" i="1" s="1"/>
  <c r="W34" i="1" s="1"/>
  <c r="M22" i="1"/>
  <c r="N22" i="1" s="1"/>
  <c r="O22" i="1" s="1"/>
  <c r="M10" i="1"/>
  <c r="N10" i="1" s="1"/>
  <c r="O10" i="1" s="1"/>
  <c r="M9" i="1"/>
  <c r="N9" i="1" s="1"/>
  <c r="O9" i="1" s="1"/>
  <c r="L11" i="1"/>
  <c r="M11" i="1" s="1"/>
  <c r="N11" i="1" s="1"/>
  <c r="O11" i="1" s="1"/>
  <c r="L22" i="1"/>
  <c r="P22" i="1" s="1"/>
  <c r="L10" i="1"/>
  <c r="P10" i="1" s="1"/>
  <c r="M23" i="1"/>
  <c r="N23" i="1" s="1"/>
  <c r="O23" i="1" s="1"/>
  <c r="L9" i="1"/>
  <c r="P9" i="1" s="1"/>
  <c r="L20" i="1"/>
  <c r="L21" i="1"/>
  <c r="M21" i="1" s="1"/>
  <c r="N21" i="1" s="1"/>
  <c r="O21" i="1" s="1"/>
  <c r="L18" i="1"/>
  <c r="L17" i="1"/>
  <c r="L5" i="1"/>
  <c r="M6" i="1"/>
  <c r="N6" i="1" s="1"/>
  <c r="O6" i="1" s="1"/>
  <c r="L7" i="1"/>
  <c r="L28" i="1"/>
  <c r="L16" i="1"/>
  <c r="L4" i="1"/>
  <c r="L8" i="1"/>
  <c r="L19" i="1"/>
  <c r="S34" i="2"/>
  <c r="T34" i="2" s="1"/>
  <c r="U34" i="2" s="1"/>
  <c r="L71" i="2"/>
  <c r="M71" i="2" s="1"/>
  <c r="N71" i="2" s="1"/>
  <c r="L59" i="2"/>
  <c r="M59" i="2" s="1"/>
  <c r="N59" i="2" s="1"/>
  <c r="L47" i="2"/>
  <c r="M47" i="2" s="1"/>
  <c r="N47" i="2" s="1"/>
  <c r="L35" i="2"/>
  <c r="M35" i="2" s="1"/>
  <c r="N35" i="2" s="1"/>
  <c r="L23" i="2"/>
  <c r="M23" i="2" s="1"/>
  <c r="N23" i="2" s="1"/>
  <c r="L11" i="2"/>
  <c r="M11" i="2" s="1"/>
  <c r="N11" i="2" s="1"/>
  <c r="M42" i="2"/>
  <c r="N42" i="2" s="1"/>
  <c r="L70" i="2"/>
  <c r="M70" i="2" s="1"/>
  <c r="N70" i="2" s="1"/>
  <c r="L58" i="2"/>
  <c r="M58" i="2" s="1"/>
  <c r="N58" i="2" s="1"/>
  <c r="L34" i="2"/>
  <c r="M34" i="2" s="1"/>
  <c r="N34" i="2" s="1"/>
  <c r="L22" i="2"/>
  <c r="M22" i="2" s="1"/>
  <c r="N22" i="2" s="1"/>
  <c r="L10" i="2"/>
  <c r="M10" i="2" s="1"/>
  <c r="N10" i="2" s="1"/>
  <c r="M41" i="2"/>
  <c r="N41" i="2" s="1"/>
  <c r="L69" i="2"/>
  <c r="M69" i="2" s="1"/>
  <c r="N69" i="2" s="1"/>
  <c r="L57" i="2"/>
  <c r="M57" i="2" s="1"/>
  <c r="N57" i="2" s="1"/>
  <c r="L45" i="2"/>
  <c r="M45" i="2" s="1"/>
  <c r="N45" i="2" s="1"/>
  <c r="L33" i="2"/>
  <c r="M33" i="2" s="1"/>
  <c r="N33" i="2" s="1"/>
  <c r="L21" i="2"/>
  <c r="M21" i="2" s="1"/>
  <c r="N21" i="2" s="1"/>
  <c r="L9" i="2"/>
  <c r="M9" i="2" s="1"/>
  <c r="N9" i="2" s="1"/>
  <c r="M55" i="2"/>
  <c r="N55" i="2" s="1"/>
  <c r="M39" i="2"/>
  <c r="N39" i="2" s="1"/>
  <c r="L68" i="2"/>
  <c r="M68" i="2" s="1"/>
  <c r="N68" i="2" s="1"/>
  <c r="L56" i="2"/>
  <c r="M56" i="2" s="1"/>
  <c r="N56" i="2" s="1"/>
  <c r="L44" i="2"/>
  <c r="M44" i="2" s="1"/>
  <c r="N44" i="2" s="1"/>
  <c r="L32" i="2"/>
  <c r="M32" i="2" s="1"/>
  <c r="N32" i="2" s="1"/>
  <c r="L20" i="2"/>
  <c r="M20" i="2" s="1"/>
  <c r="N20" i="2" s="1"/>
  <c r="M54" i="2"/>
  <c r="N54" i="2" s="1"/>
  <c r="L31" i="2"/>
  <c r="M31" i="2" s="1"/>
  <c r="N31" i="2" s="1"/>
  <c r="L19" i="2"/>
  <c r="M19" i="2" s="1"/>
  <c r="N19" i="2" s="1"/>
  <c r="L7" i="2"/>
  <c r="M7" i="2" s="1"/>
  <c r="N7" i="2" s="1"/>
  <c r="M66" i="2"/>
  <c r="N66" i="2" s="1"/>
  <c r="M53" i="2"/>
  <c r="N53" i="2" s="1"/>
  <c r="M38" i="2"/>
  <c r="N38" i="2" s="1"/>
  <c r="M65" i="2"/>
  <c r="N65" i="2" s="1"/>
  <c r="X43" i="1" l="1"/>
  <c r="U43" i="1"/>
  <c r="V43" i="1" s="1"/>
  <c r="W43" i="1" s="1"/>
  <c r="X42" i="1"/>
  <c r="U42" i="1"/>
  <c r="V42" i="1" s="1"/>
  <c r="W42" i="1" s="1"/>
  <c r="M28" i="1"/>
  <c r="N28" i="1" s="1"/>
  <c r="O28" i="1" s="1"/>
  <c r="P28" i="1"/>
  <c r="M7" i="1"/>
  <c r="N7" i="1" s="1"/>
  <c r="O7" i="1" s="1"/>
  <c r="P7" i="1"/>
  <c r="M5" i="1"/>
  <c r="N5" i="1" s="1"/>
  <c r="O5" i="1" s="1"/>
  <c r="P5" i="1"/>
  <c r="M17" i="1"/>
  <c r="N17" i="1" s="1"/>
  <c r="O17" i="1" s="1"/>
  <c r="P17" i="1"/>
  <c r="M18" i="1"/>
  <c r="N18" i="1" s="1"/>
  <c r="O18" i="1" s="1"/>
  <c r="P18" i="1"/>
  <c r="M20" i="1"/>
  <c r="N20" i="1" s="1"/>
  <c r="O20" i="1" s="1"/>
  <c r="P20" i="1"/>
  <c r="M19" i="1"/>
  <c r="N19" i="1" s="1"/>
  <c r="O19" i="1" s="1"/>
  <c r="P19" i="1"/>
  <c r="M8" i="1"/>
  <c r="N8" i="1" s="1"/>
  <c r="O8" i="1" s="1"/>
  <c r="P8" i="1"/>
  <c r="P21" i="1"/>
  <c r="M4" i="1"/>
  <c r="N4" i="1" s="1"/>
  <c r="O4" i="1" s="1"/>
  <c r="P4" i="1"/>
  <c r="M16" i="1"/>
  <c r="N16" i="1" s="1"/>
  <c r="O16" i="1" s="1"/>
  <c r="P16" i="1"/>
  <c r="P11" i="1"/>
</calcChain>
</file>

<file path=xl/sharedStrings.xml><?xml version="1.0" encoding="utf-8"?>
<sst xmlns="http://schemas.openxmlformats.org/spreadsheetml/2006/main" count="86" uniqueCount="43">
  <si>
    <t>Cessna T41</t>
  </si>
  <si>
    <t>emb</t>
  </si>
  <si>
    <t>S</t>
  </si>
  <si>
    <t>ft</t>
  </si>
  <si>
    <t>ft2</t>
  </si>
  <si>
    <t>WTO</t>
  </si>
  <si>
    <t>lbs</t>
  </si>
  <si>
    <t>Fuel Capac.</t>
  </si>
  <si>
    <t>Gal</t>
  </si>
  <si>
    <t>Engine</t>
  </si>
  <si>
    <t>HP at Sea L.</t>
  </si>
  <si>
    <t>Sfc</t>
  </si>
  <si>
    <t>lbs*hp/h</t>
  </si>
  <si>
    <t>Cp</t>
  </si>
  <si>
    <t>C_D0</t>
  </si>
  <si>
    <t>e</t>
  </si>
  <si>
    <t>eta_p</t>
  </si>
  <si>
    <t>Cessna Citation</t>
  </si>
  <si>
    <t>Engines</t>
  </si>
  <si>
    <t>lbs at Sea L.</t>
  </si>
  <si>
    <t>Cj</t>
  </si>
  <si>
    <t>lbsfuel/lbsthrust*h</t>
  </si>
  <si>
    <t>slug/ft3</t>
  </si>
  <si>
    <t>rho</t>
  </si>
  <si>
    <t>CL</t>
  </si>
  <si>
    <t>CD</t>
  </si>
  <si>
    <t>CL/CD</t>
  </si>
  <si>
    <t>Thrust</t>
  </si>
  <si>
    <t>V [ft/s]</t>
  </si>
  <si>
    <t>AR</t>
  </si>
  <si>
    <t>turbofan</t>
  </si>
  <si>
    <t>Max Thrust</t>
  </si>
  <si>
    <t>Find V max</t>
  </si>
  <si>
    <t>q</t>
  </si>
  <si>
    <t>Preq</t>
  </si>
  <si>
    <t>Reciprocal</t>
  </si>
  <si>
    <t>Max HP</t>
  </si>
  <si>
    <t>CL/CD max</t>
  </si>
  <si>
    <t>CL^1/2/CD max</t>
  </si>
  <si>
    <t>CL^3/2/CD max</t>
  </si>
  <si>
    <t>CL^1/2/CD</t>
  </si>
  <si>
    <t>CL^3/2/CD</t>
  </si>
  <si>
    <t xml:space="preserve">Find V max endurance and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</si>
</sst>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64" fontId="0" fillId="0" borderId="0" xfId="0" applyNumberFormat="1"/>
    <xf numFmtId="0" fontId="0" fillId="2" borderId="0" xfId="0" applyFill="1"/>
    <xf numFmtId="164" fontId="0" fillId="0" borderId="1" xfId="0" applyNumberFormat="1" applyBorder="1"/>
    <xf numFmtId="16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Hélice!$M$2</c:f>
              <c:strCache>
                <c:ptCount val="1"/>
                <c:pt idx="0">
                  <c:v>CL/CD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Hélice!$I$3:$I$28</c:f>
              <c:numCache>
                <c:formatCode>General</c:formatCode>
                <c:ptCount val="2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</c:numCache>
            </c:numRef>
          </c:xVal>
          <c:yVal>
            <c:numRef>
              <c:f>Hélice!$M$3:$M$28</c:f>
              <c:numCache>
                <c:formatCode>General</c:formatCode>
                <c:ptCount val="26"/>
                <c:pt idx="0">
                  <c:v>10.572702777408134</c:v>
                </c:pt>
                <c:pt idx="1">
                  <c:v>11.779972999879034</c:v>
                </c:pt>
                <c:pt idx="2">
                  <c:v>12.698592076570481</c:v>
                </c:pt>
                <c:pt idx="3">
                  <c:v>13.295364093215046</c:v>
                </c:pt>
                <c:pt idx="4">
                  <c:v>13.574986803016403</c:v>
                </c:pt>
                <c:pt idx="5">
                  <c:v>13.572213637693102</c:v>
                </c:pt>
                <c:pt idx="6">
                  <c:v>13.339453031479437</c:v>
                </c:pt>
                <c:pt idx="7">
                  <c:v>12.934628182538345</c:v>
                </c:pt>
                <c:pt idx="8">
                  <c:v>12.412278247945586</c:v>
                </c:pt>
                <c:pt idx="9">
                  <c:v>11.818635010018863</c:v>
                </c:pt>
                <c:pt idx="10">
                  <c:v>11.189960579481594</c:v>
                </c:pt>
                <c:pt idx="11">
                  <c:v>10.552955729561255</c:v>
                </c:pt>
                <c:pt idx="12">
                  <c:v>9.9261804704749341</c:v>
                </c:pt>
                <c:pt idx="13">
                  <c:v>9.3217716182154042</c:v>
                </c:pt>
                <c:pt idx="14">
                  <c:v>8.7470657219798245</c:v>
                </c:pt>
                <c:pt idx="15">
                  <c:v>8.2059613936016067</c:v>
                </c:pt>
                <c:pt idx="16">
                  <c:v>7.6999850196092927</c:v>
                </c:pt>
                <c:pt idx="17">
                  <c:v>7.2290861107681392</c:v>
                </c:pt>
                <c:pt idx="18">
                  <c:v>6.7922109187380908</c:v>
                </c:pt>
                <c:pt idx="19">
                  <c:v>6.3877050627247751</c:v>
                </c:pt>
                <c:pt idx="20">
                  <c:v>6.0135894579699745</c:v>
                </c:pt>
                <c:pt idx="21">
                  <c:v>5.667744947828349</c:v>
                </c:pt>
                <c:pt idx="22">
                  <c:v>5.3480325116500946</c:v>
                </c:pt>
                <c:pt idx="23">
                  <c:v>5.052368780342138</c:v>
                </c:pt>
                <c:pt idx="24">
                  <c:v>4.7787710229263345</c:v>
                </c:pt>
                <c:pt idx="25">
                  <c:v>4.5253816043636927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87-40A7-A84E-9DBBEB7005C5}"/>
            </c:ext>
          </c:extLst>
        </c:ser>
        <c:ser>
          <c:idx val="0"/>
          <c:order val="1"/>
          <c:tx>
            <c:strRef>
              <c:f>Hélice!$P$2</c:f>
              <c:strCache>
                <c:ptCount val="1"/>
                <c:pt idx="0">
                  <c:v>CL^1/2/CD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Hélice!$I$3:$I$28</c:f>
              <c:numCache>
                <c:formatCode>General</c:formatCode>
                <c:ptCount val="2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</c:numCache>
            </c:numRef>
          </c:xVal>
          <c:yVal>
            <c:numRef>
              <c:f>Hélice!$P$3:$P$28</c:f>
              <c:numCache>
                <c:formatCode>General</c:formatCode>
                <c:ptCount val="26"/>
                <c:pt idx="0">
                  <c:v>8.8521595413967464</c:v>
                </c:pt>
                <c:pt idx="1">
                  <c:v>10.849261805808807</c:v>
                </c:pt>
                <c:pt idx="2">
                  <c:v>12.758512033814174</c:v>
                </c:pt>
                <c:pt idx="3">
                  <c:v>14.47127499651835</c:v>
                </c:pt>
                <c:pt idx="4">
                  <c:v>15.912215833136427</c:v>
                </c:pt>
                <c:pt idx="5">
                  <c:v>17.045319864780048</c:v>
                </c:pt>
                <c:pt idx="6">
                  <c:v>17.869862632581771</c:v>
                </c:pt>
                <c:pt idx="7">
                  <c:v>18.410521034672168</c:v>
                </c:pt>
                <c:pt idx="8">
                  <c:v>18.706270794261865</c:v>
                </c:pt>
                <c:pt idx="9">
                  <c:v>18.80113772782666</c:v>
                </c:pt>
                <c:pt idx="10">
                  <c:v>18.737936438197039</c:v>
                </c:pt>
                <c:pt idx="11">
                  <c:v>18.554814639930246</c:v>
                </c:pt>
                <c:pt idx="12">
                  <c:v>18.283867145874591</c:v>
                </c:pt>
                <c:pt idx="13">
                  <c:v>17.951035417663796</c:v>
                </c:pt>
                <c:pt idx="14">
                  <c:v>17.57667977702026</c:v>
                </c:pt>
                <c:pt idx="15">
                  <c:v>17.176421435473141</c:v>
                </c:pt>
                <c:pt idx="16">
                  <c:v>16.762023199455303</c:v>
                </c:pt>
                <c:pt idx="17">
                  <c:v>16.342194359699665</c:v>
                </c:pt>
                <c:pt idx="18">
                  <c:v>15.923275313848682</c:v>
                </c:pt>
                <c:pt idx="19">
                  <c:v>15.509795175025134</c:v>
                </c:pt>
                <c:pt idx="20">
                  <c:v>15.104913403645808</c:v>
                </c:pt>
                <c:pt idx="21">
                  <c:v>14.710763092529334</c:v>
                </c:pt>
                <c:pt idx="22">
                  <c:v>14.328714395146267</c:v>
                </c:pt>
                <c:pt idx="23">
                  <c:v>13.959574857596788</c:v>
                </c:pt>
                <c:pt idx="24">
                  <c:v>13.603740779536135</c:v>
                </c:pt>
                <c:pt idx="25">
                  <c:v>13.261311016512314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87-40A7-A84E-9DBBEB7005C5}"/>
            </c:ext>
          </c:extLst>
        </c:ser>
        <c:ser>
          <c:idx val="1"/>
          <c:order val="2"/>
          <c:tx>
            <c:strRef>
              <c:f>Hélice!$Q$2</c:f>
              <c:strCache>
                <c:ptCount val="1"/>
                <c:pt idx="0">
                  <c:v>CL^3/2/CD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Hélice!$I$3:$I$28</c:f>
              <c:numCache>
                <c:formatCode>General</c:formatCode>
                <c:ptCount val="2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</c:numCache>
            </c:numRef>
          </c:xVal>
          <c:yVal>
            <c:numRef>
              <c:f>Hélice!$Q$3:$Q$28</c:f>
              <c:numCache>
                <c:formatCode>General</c:formatCode>
                <c:ptCount val="26"/>
                <c:pt idx="0">
                  <c:v>12.627658086896165</c:v>
                </c:pt>
                <c:pt idx="1">
                  <c:v>12.79052587739945</c:v>
                </c:pt>
                <c:pt idx="2">
                  <c:v>12.638953531553121</c:v>
                </c:pt>
                <c:pt idx="3">
                  <c:v>12.215005686346249</c:v>
                </c:pt>
                <c:pt idx="4">
                  <c:v>11.581056254799829</c:v>
                </c:pt>
                <c:pt idx="5">
                  <c:v>10.806777724822684</c:v>
                </c:pt>
                <c:pt idx="6">
                  <c:v>9.9576035271032008</c:v>
                </c:pt>
                <c:pt idx="7">
                  <c:v>9.0874454832339477</c:v>
                </c:pt>
                <c:pt idx="8">
                  <c:v>8.2359895779805772</c:v>
                </c:pt>
                <c:pt idx="9">
                  <c:v>7.4293447302026694</c:v>
                </c:pt>
                <c:pt idx="10">
                  <c:v>6.6824443653839323</c:v>
                </c:pt>
                <c:pt idx="11">
                  <c:v>6.0019394853140069</c:v>
                </c:pt>
                <c:pt idx="12">
                  <c:v>5.3888522568197077</c:v>
                </c:pt>
                <c:pt idx="13">
                  <c:v>4.8406915857712161</c:v>
                </c:pt>
                <c:pt idx="14">
                  <c:v>4.3529926991481673</c:v>
                </c:pt>
                <c:pt idx="15">
                  <c:v>3.920362727838782</c:v>
                </c:pt>
                <c:pt idx="16">
                  <c:v>3.5371487437229057</c:v>
                </c:pt>
                <c:pt idx="17">
                  <c:v>3.1978377472840944</c:v>
                </c:pt>
                <c:pt idx="18">
                  <c:v>2.897276361509713</c:v>
                </c:pt>
                <c:pt idx="19">
                  <c:v>2.630774649691245</c:v>
                </c:pt>
                <c:pt idx="20">
                  <c:v>2.3941387284139632</c:v>
                </c:pt>
                <c:pt idx="21">
                  <c:v>2.1836618937835506</c:v>
                </c:pt>
                <c:pt idx="22">
                  <c:v>1.9960933658748146</c:v>
                </c:pt>
                <c:pt idx="23">
                  <c:v>1.8285965405804925</c:v>
                </c:pt>
                <c:pt idx="24">
                  <c:v>1.6787038844428126</c:v>
                </c:pt>
                <c:pt idx="25">
                  <c:v>1.5442725564323021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87-40A7-A84E-9DBBEB700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370384"/>
        <c:axId val="887368464"/>
      </c:scatterChart>
      <c:valAx>
        <c:axId val="8873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7368464"/>
        <c:crosses val="autoZero"/>
        <c:crossBetween val="midCat"/>
      </c:valAx>
      <c:valAx>
        <c:axId val="8873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737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Hélice!$N$2</c:f>
              <c:strCache>
                <c:ptCount val="1"/>
                <c:pt idx="0">
                  <c:v>Thrust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Hélice!$I$3:$I$28</c:f>
              <c:numCache>
                <c:formatCode>General</c:formatCode>
                <c:ptCount val="2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</c:numCache>
            </c:numRef>
          </c:xVal>
          <c:yVal>
            <c:numRef>
              <c:f>Hélice!$N$3:$N$28</c:f>
              <c:numCache>
                <c:formatCode>General</c:formatCode>
                <c:ptCount val="26"/>
                <c:pt idx="0">
                  <c:v>279.02042288596175</c:v>
                </c:pt>
                <c:pt idx="1">
                  <c:v>250.42502219914198</c:v>
                </c:pt>
                <c:pt idx="2">
                  <c:v>232.30921839302903</c:v>
                </c:pt>
                <c:pt idx="3">
                  <c:v>221.88185139701878</c:v>
                </c:pt>
                <c:pt idx="4">
                  <c:v>217.31144514589886</c:v>
                </c:pt>
                <c:pt idx="5">
                  <c:v>217.35584767153856</c:v>
                </c:pt>
                <c:pt idx="6">
                  <c:v>221.14849784607884</c:v>
                </c:pt>
                <c:pt idx="7">
                  <c:v>228.0699497788795</c:v>
                </c:pt>
                <c:pt idx="8">
                  <c:v>237.6678915080129</c:v>
                </c:pt>
                <c:pt idx="9">
                  <c:v>249.60581298087584</c:v>
                </c:pt>
                <c:pt idx="10">
                  <c:v>263.62916822149043</c:v>
                </c:pt>
                <c:pt idx="11">
                  <c:v>279.54253534262176</c:v>
                </c:pt>
                <c:pt idx="12">
                  <c:v>297.19387117478556</c:v>
                </c:pt>
                <c:pt idx="13">
                  <c:v>316.46344931209109</c:v>
                </c:pt>
                <c:pt idx="14">
                  <c:v>337.25595459825723</c:v>
                </c:pt>
                <c:pt idx="15">
                  <c:v>359.49474516175383</c:v>
                </c:pt>
                <c:pt idx="16">
                  <c:v>383.11762847425473</c:v>
                </c:pt>
                <c:pt idx="17">
                  <c:v>408.07371150356136</c:v>
                </c:pt>
                <c:pt idx="18">
                  <c:v>434.32102378647477</c:v>
                </c:pt>
                <c:pt idx="19">
                  <c:v>461.82470402627382</c:v>
                </c:pt>
                <c:pt idx="20">
                  <c:v>490.55560254288469</c:v>
                </c:pt>
                <c:pt idx="21">
                  <c:v>520.48919405421032</c:v>
                </c:pt>
                <c:pt idx="22">
                  <c:v>551.60472446151982</c:v>
                </c:pt>
                <c:pt idx="23">
                  <c:v>583.88453579990471</c:v>
                </c:pt>
                <c:pt idx="24">
                  <c:v>617.31352806971995</c:v>
                </c:pt>
                <c:pt idx="25">
                  <c:v>651.87872712334388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A6-44D7-971D-458669C11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815568"/>
        <c:axId val="1318816048"/>
      </c:scatterChart>
      <c:valAx>
        <c:axId val="13188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8816048"/>
        <c:crosses val="autoZero"/>
        <c:crossBetween val="midCat"/>
      </c:valAx>
      <c:valAx>
        <c:axId val="13188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881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Hélice!$O$2</c:f>
              <c:strCache>
                <c:ptCount val="1"/>
                <c:pt idx="0">
                  <c:v>Preq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Hélice!$I$3:$I$28</c:f>
              <c:numCache>
                <c:formatCode>General</c:formatCode>
                <c:ptCount val="2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</c:numCache>
            </c:numRef>
          </c:xVal>
          <c:yVal>
            <c:numRef>
              <c:f>Hélice!$O$3:$O$28</c:f>
              <c:numCache>
                <c:formatCode>0.0000</c:formatCode>
                <c:ptCount val="26"/>
                <c:pt idx="0">
                  <c:v>50.730935248279792</c:v>
                </c:pt>
                <c:pt idx="1">
                  <c:v>50.084954354823957</c:v>
                </c:pt>
                <c:pt idx="2">
                  <c:v>50.685596963740501</c:v>
                </c:pt>
                <c:pt idx="3">
                  <c:v>52.444748794494103</c:v>
                </c:pt>
                <c:pt idx="4">
                  <c:v>55.315585266951857</c:v>
                </c:pt>
                <c:pt idx="5">
                  <c:v>59.278808267915693</c:v>
                </c:pt>
                <c:pt idx="6">
                  <c:v>64.334044130205385</c:v>
                </c:pt>
                <c:pt idx="7">
                  <c:v>70.494277619123721</c:v>
                </c:pt>
                <c:pt idx="8">
                  <c:v>77.782141256766991</c:v>
                </c:pt>
                <c:pt idx="9">
                  <c:v>86.227376438658069</c:v>
                </c:pt>
                <c:pt idx="10">
                  <c:v>95.865056215389899</c:v>
                </c:pt>
                <c:pt idx="11">
                  <c:v>106.7343158509421</c:v>
                </c:pt>
                <c:pt idx="12">
                  <c:v>118.87742959236574</c:v>
                </c:pt>
                <c:pt idx="13">
                  <c:v>132.33912828215927</c:v>
                </c:pt>
                <c:pt idx="14">
                  <c:v>147.16608756755022</c:v>
                </c:pt>
                <c:pt idx="15">
                  <c:v>163.40653893954939</c:v>
                </c:pt>
                <c:pt idx="16">
                  <c:v>181.10997053222331</c:v>
                </c:pt>
                <c:pt idx="17">
                  <c:v>200.32689441101718</c:v>
                </c:pt>
                <c:pt idx="18">
                  <c:v>221.10866372786597</c:v>
                </c:pt>
                <c:pt idx="19">
                  <c:v>243.50732770628224</c:v>
                </c:pt>
                <c:pt idx="20">
                  <c:v>267.5755156294266</c:v>
                </c:pt>
                <c:pt idx="21">
                  <c:v>293.3663432821001</c:v>
                </c:pt>
                <c:pt idx="22">
                  <c:v>320.93333693486272</c:v>
                </c:pt>
                <c:pt idx="23">
                  <c:v>350.33037114922132</c:v>
                </c:pt>
                <c:pt idx="24">
                  <c:v>381.61161755837315</c:v>
                </c:pt>
                <c:pt idx="25">
                  <c:v>414.83150242839247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4-42FB-AF2F-AB238E67E3A8}"/>
            </c:ext>
          </c:extLst>
        </c:ser>
        <c:ser>
          <c:idx val="0"/>
          <c:order val="1"/>
          <c:tx>
            <c:v>Max HP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Hélice!$I$3:$I$28</c:f>
              <c:numCache>
                <c:formatCode>General</c:formatCode>
                <c:ptCount val="2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</c:numCache>
            </c:numRef>
          </c:xVal>
          <c:yVal>
            <c:numRef>
              <c:f>Hélice!$J$3:$J$28</c:f>
              <c:numCache>
                <c:formatCode>General</c:formatCode>
                <c:ptCount val="26"/>
                <c:pt idx="0">
                  <c:v>184</c:v>
                </c:pt>
                <c:pt idx="1">
                  <c:v>184</c:v>
                </c:pt>
                <c:pt idx="2">
                  <c:v>184</c:v>
                </c:pt>
                <c:pt idx="3">
                  <c:v>184</c:v>
                </c:pt>
                <c:pt idx="4">
                  <c:v>184</c:v>
                </c:pt>
                <c:pt idx="5">
                  <c:v>184</c:v>
                </c:pt>
                <c:pt idx="6">
                  <c:v>184</c:v>
                </c:pt>
                <c:pt idx="7">
                  <c:v>184</c:v>
                </c:pt>
                <c:pt idx="8">
                  <c:v>184</c:v>
                </c:pt>
                <c:pt idx="9">
                  <c:v>184</c:v>
                </c:pt>
                <c:pt idx="10">
                  <c:v>184</c:v>
                </c:pt>
                <c:pt idx="11">
                  <c:v>184</c:v>
                </c:pt>
                <c:pt idx="12">
                  <c:v>184</c:v>
                </c:pt>
                <c:pt idx="13">
                  <c:v>184</c:v>
                </c:pt>
                <c:pt idx="14">
                  <c:v>184</c:v>
                </c:pt>
                <c:pt idx="15">
                  <c:v>184</c:v>
                </c:pt>
                <c:pt idx="16">
                  <c:v>184</c:v>
                </c:pt>
                <c:pt idx="17">
                  <c:v>184</c:v>
                </c:pt>
                <c:pt idx="18">
                  <c:v>184</c:v>
                </c:pt>
                <c:pt idx="19">
                  <c:v>184</c:v>
                </c:pt>
                <c:pt idx="20">
                  <c:v>184</c:v>
                </c:pt>
                <c:pt idx="21">
                  <c:v>184</c:v>
                </c:pt>
                <c:pt idx="22">
                  <c:v>184</c:v>
                </c:pt>
                <c:pt idx="23">
                  <c:v>184</c:v>
                </c:pt>
                <c:pt idx="24">
                  <c:v>184</c:v>
                </c:pt>
                <c:pt idx="25">
                  <c:v>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24-42FB-AF2F-AB238E67E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815568"/>
        <c:axId val="1318816048"/>
      </c:scatterChart>
      <c:valAx>
        <c:axId val="13188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8816048"/>
        <c:crosses val="autoZero"/>
        <c:crossBetween val="midCat"/>
      </c:valAx>
      <c:valAx>
        <c:axId val="13188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881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Jet!$M$3</c:f>
              <c:strCache>
                <c:ptCount val="1"/>
                <c:pt idx="0">
                  <c:v>CL/CD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Jet!$I$4:$I$74</c:f>
              <c:numCache>
                <c:formatCode>General</c:formatCode>
                <c:ptCount val="7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</c:numCache>
            </c:numRef>
          </c:xVal>
          <c:yVal>
            <c:numRef>
              <c:f>Jet!$M$4:$M$74</c:f>
              <c:numCache>
                <c:formatCode>General</c:formatCode>
                <c:ptCount val="71"/>
                <c:pt idx="0">
                  <c:v>16.678509029208698</c:v>
                </c:pt>
                <c:pt idx="1">
                  <c:v>16.485921417257725</c:v>
                </c:pt>
                <c:pt idx="2">
                  <c:v>16.237819322707853</c:v>
                </c:pt>
                <c:pt idx="3">
                  <c:v>15.94390159686105</c:v>
                </c:pt>
                <c:pt idx="4">
                  <c:v>15.613206894703168</c:v>
                </c:pt>
                <c:pt idx="5">
                  <c:v>15.253955087491459</c:v>
                </c:pt>
                <c:pt idx="6">
                  <c:v>14.873465411646769</c:v>
                </c:pt>
                <c:pt idx="7">
                  <c:v>14.47813474841089</c:v>
                </c:pt>
                <c:pt idx="8">
                  <c:v>14.073460028741733</c:v>
                </c:pt>
                <c:pt idx="9">
                  <c:v>13.664090662005149</c:v>
                </c:pt>
                <c:pt idx="10">
                  <c:v>13.253899383011923</c:v>
                </c:pt>
                <c:pt idx="11">
                  <c:v>12.846062504081456</c:v>
                </c:pt>
                <c:pt idx="12">
                  <c:v>12.443142946131211</c:v>
                </c:pt>
                <c:pt idx="13">
                  <c:v>12.047171455012593</c:v>
                </c:pt>
                <c:pt idx="14">
                  <c:v>11.659723039539392</c:v>
                </c:pt>
                <c:pt idx="15">
                  <c:v>11.281986911847152</c:v>
                </c:pt>
                <c:pt idx="16">
                  <c:v>10.914829117409962</c:v>
                </c:pt>
                <c:pt idx="17">
                  <c:v>10.558847671988726</c:v>
                </c:pt>
                <c:pt idx="18">
                  <c:v>10.214420436737608</c:v>
                </c:pt>
                <c:pt idx="19">
                  <c:v>9.8817462149566797</c:v>
                </c:pt>
                <c:pt idx="20">
                  <c:v>9.5608796897956676</c:v>
                </c:pt>
                <c:pt idx="21">
                  <c:v>9.2517608774284277</c:v>
                </c:pt>
                <c:pt idx="22">
                  <c:v>8.954239772107508</c:v>
                </c:pt>
                <c:pt idx="23">
                  <c:v>8.6680968281268225</c:v>
                </c:pt>
                <c:pt idx="24">
                  <c:v>8.393059873341862</c:v>
                </c:pt>
                <c:pt idx="25">
                  <c:v>8.1288179893470147</c:v>
                </c:pt>
                <c:pt idx="26">
                  <c:v>7.875032831203483</c:v>
                </c:pt>
                <c:pt idx="27">
                  <c:v>7.631347798865681</c:v>
                </c:pt>
                <c:pt idx="28">
                  <c:v>7.3973954155974493</c:v>
                </c:pt>
                <c:pt idx="29">
                  <c:v>7.1728032169741489</c:v>
                </c:pt>
                <c:pt idx="30">
                  <c:v>6.9571984080379901</c:v>
                </c:pt>
                <c:pt idx="31">
                  <c:v>6.7502115058291432</c:v>
                </c:pt>
                <c:pt idx="32">
                  <c:v>6.5514791495771618</c:v>
                </c:pt>
                <c:pt idx="33">
                  <c:v>6.3606462308681264</c:v>
                </c:pt>
                <c:pt idx="34">
                  <c:v>6.1773674705902497</c:v>
                </c:pt>
                <c:pt idx="35">
                  <c:v>6.0013085478753965</c:v>
                </c:pt>
                <c:pt idx="36">
                  <c:v>5.8321468680832576</c:v>
                </c:pt>
                <c:pt idx="37">
                  <c:v>5.669572041642545</c:v>
                </c:pt>
                <c:pt idx="38">
                  <c:v>5.5132861328390863</c:v>
                </c:pt>
                <c:pt idx="39">
                  <c:v>5.3630037270428357</c:v>
                </c:pt>
                <c:pt idx="40">
                  <c:v>5.2184518560617796</c:v>
                </c:pt>
                <c:pt idx="41">
                  <c:v>5.0793698140133365</c:v>
                </c:pt>
                <c:pt idx="42">
                  <c:v>4.9455088900675648</c:v>
                </c:pt>
                <c:pt idx="43">
                  <c:v>4.8166320394324096</c:v>
                </c:pt>
                <c:pt idx="44">
                  <c:v>4.6925135098434723</c:v>
                </c:pt>
                <c:pt idx="45">
                  <c:v>4.5729384374406692</c:v>
                </c:pt>
                <c:pt idx="46">
                  <c:v>4.4577024231378672</c:v>
                </c:pt>
                <c:pt idx="47">
                  <c:v>4.3466110983151136</c:v>
                </c:pt>
                <c:pt idx="48">
                  <c:v>4.239479686800065</c:v>
                </c:pt>
                <c:pt idx="49">
                  <c:v>4.1361325685836539</c:v>
                </c:pt>
                <c:pt idx="50">
                  <c:v>4.0364028494753077</c:v>
                </c:pt>
                <c:pt idx="51">
                  <c:v>3.9401319398954002</c:v>
                </c:pt>
                <c:pt idx="52">
                  <c:v>3.8471691451863301</c:v>
                </c:pt>
                <c:pt idx="53">
                  <c:v>3.7573712691644459</c:v>
                </c:pt>
                <c:pt idx="54">
                  <c:v>3.670602232105121</c:v>
                </c:pt>
                <c:pt idx="55">
                  <c:v>3.5867327039293087</c:v>
                </c:pt>
                <c:pt idx="56">
                  <c:v>3.5056397530227255</c:v>
                </c:pt>
                <c:pt idx="57">
                  <c:v>3.4272065108527592</c:v>
                </c:pt>
                <c:pt idx="58">
                  <c:v>3.3513218523399821</c:v>
                </c:pt>
                <c:pt idx="59">
                  <c:v>3.2778800917803328</c:v>
                </c:pt>
                <c:pt idx="60">
                  <c:v>3.2067806939915271</c:v>
                </c:pt>
                <c:pt idx="61">
                  <c:v>3.1379280002659304</c:v>
                </c:pt>
                <c:pt idx="62">
                  <c:v>3.0712309686458954</c:v>
                </c:pt>
                <c:pt idx="63">
                  <c:v>3.0066029279916262</c:v>
                </c:pt>
                <c:pt idx="64">
                  <c:v>2.9439613452818096</c:v>
                </c:pt>
                <c:pt idx="65">
                  <c:v>2.8832276055703607</c:v>
                </c:pt>
                <c:pt idx="66">
                  <c:v>2.8243268040159082</c:v>
                </c:pt>
                <c:pt idx="67">
                  <c:v>2.767187549401843</c:v>
                </c:pt>
                <c:pt idx="68">
                  <c:v>2.7117417785721774</c:v>
                </c:pt>
                <c:pt idx="69">
                  <c:v>2.6579245812205117</c:v>
                </c:pt>
                <c:pt idx="70">
                  <c:v>2.6056740344850224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FE-4C37-B4D5-0FEB48451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823023"/>
        <c:axId val="1318817488"/>
      </c:scatterChart>
      <c:valAx>
        <c:axId val="151982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8817488"/>
        <c:crosses val="autoZero"/>
        <c:crossBetween val="midCat"/>
      </c:valAx>
      <c:valAx>
        <c:axId val="13188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982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Jet!$N$3</c:f>
              <c:strCache>
                <c:ptCount val="1"/>
                <c:pt idx="0">
                  <c:v>Thrust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Jet!$I$4:$I$74</c:f>
              <c:numCache>
                <c:formatCode>General</c:formatCode>
                <c:ptCount val="7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</c:numCache>
            </c:numRef>
          </c:xVal>
          <c:yVal>
            <c:numRef>
              <c:f>Jet!$N$4:$N$74</c:f>
              <c:numCache>
                <c:formatCode>General</c:formatCode>
                <c:ptCount val="71"/>
                <c:pt idx="0">
                  <c:v>1188.0558367236806</c:v>
                </c:pt>
                <c:pt idx="1">
                  <c:v>1201.9346385611993</c:v>
                </c:pt>
                <c:pt idx="2">
                  <c:v>1220.2993275266724</c:v>
                </c:pt>
                <c:pt idx="3">
                  <c:v>1242.7949256724635</c:v>
                </c:pt>
                <c:pt idx="4">
                  <c:v>1269.1178778090941</c:v>
                </c:pt>
                <c:pt idx="5">
                  <c:v>1299.0073647357653</c:v>
                </c:pt>
                <c:pt idx="6">
                  <c:v>1332.238281502556</c:v>
                </c:pt>
                <c:pt idx="7">
                  <c:v>1368.6155257102357</c:v>
                </c:pt>
                <c:pt idx="8">
                  <c:v>1407.9693237862275</c:v>
                </c:pt>
                <c:pt idx="9">
                  <c:v>1450.1513851264385</c:v>
                </c:pt>
                <c:pt idx="10">
                  <c:v>1495.0317206570705</c:v>
                </c:pt>
                <c:pt idx="11">
                  <c:v>1542.4959977973306</c:v>
                </c:pt>
                <c:pt idx="12">
                  <c:v>1592.4433308998373</c:v>
                </c:pt>
                <c:pt idx="13">
                  <c:v>1644.7844271159074</c:v>
                </c:pt>
                <c:pt idx="14">
                  <c:v>1699.4400238157609</c:v>
                </c:pt>
                <c:pt idx="15">
                  <c:v>1756.3395663216359</c:v>
                </c:pt>
                <c:pt idx="16">
                  <c:v>1815.4200846253841</c:v>
                </c:pt>
                <c:pt idx="17">
                  <c:v>1876.6252355895485</c:v>
                </c:pt>
                <c:pt idx="18">
                  <c:v>1939.9044833451881</c:v>
                </c:pt>
                <c:pt idx="19">
                  <c:v>2005.2123955590644</c:v>
                </c:pt>
                <c:pt idx="20">
                  <c:v>2072.5080372205248</c:v>
                </c:pt>
                <c:pt idx="21">
                  <c:v>2141.7544468040419</c:v>
                </c:pt>
                <c:pt idx="22">
                  <c:v>2212.9181822586215</c:v>
                </c:pt>
                <c:pt idx="23">
                  <c:v>2285.9689263856581</c:v>
                </c:pt>
                <c:pt idx="24">
                  <c:v>2360.8791428900254</c:v>
                </c:pt>
                <c:pt idx="25">
                  <c:v>2437.623775802087</c:v>
                </c:pt>
                <c:pt idx="26">
                  <c:v>2516.1799861311588</c:v>
                </c:pt>
                <c:pt idx="27">
                  <c:v>2596.5269205716572</c:v>
                </c:pt>
                <c:pt idx="28">
                  <c:v>2678.6455078797007</c:v>
                </c:pt>
                <c:pt idx="29">
                  <c:v>2762.5182792006062</c:v>
                </c:pt>
                <c:pt idx="30">
                  <c:v>2848.1292091809205</c:v>
                </c:pt>
                <c:pt idx="31">
                  <c:v>2935.4635751618689</c:v>
                </c:pt>
                <c:pt idx="32">
                  <c:v>3024.5078321403003</c:v>
                </c:pt>
                <c:pt idx="33">
                  <c:v>3115.2495015110389</c:v>
                </c:pt>
                <c:pt idx="34">
                  <c:v>3207.6770718816683</c:v>
                </c:pt>
                <c:pt idx="35">
                  <c:v>3301.779910485518</c:v>
                </c:pt>
                <c:pt idx="36">
                  <c:v>3397.5481839181161</c:v>
                </c:pt>
                <c:pt idx="37">
                  <c:v>3494.9727870922952</c:v>
                </c:pt>
                <c:pt idx="38">
                  <c:v>3594.0452794522739</c:v>
                </c:pt>
                <c:pt idx="39">
                  <c:v>3694.7578276112827</c:v>
                </c:pt>
                <c:pt idx="40">
                  <c:v>3797.1031536839414</c:v>
                </c:pt>
                <c:pt idx="41">
                  <c:v>3901.0744886763177</c:v>
                </c:pt>
                <c:pt idx="42">
                  <c:v>4006.6655303756397</c:v>
                </c:pt>
                <c:pt idx="43">
                  <c:v>4113.8704052500125</c:v>
                </c:pt>
                <c:pt idx="44">
                  <c:v>4222.6836339275596</c:v>
                </c:pt>
                <c:pt idx="45">
                  <c:v>4333.1000998757891</c:v>
                </c:pt>
                <c:pt idx="46">
                  <c:v>4445.1150209465577</c:v>
                </c:pt>
                <c:pt idx="47">
                  <c:v>4558.723923490862</c:v>
                </c:pt>
                <c:pt idx="48">
                  <c:v>4673.9226187816103</c:v>
                </c:pt>
                <c:pt idx="49">
                  <c:v>4790.707181512149</c:v>
                </c:pt>
                <c:pt idx="50">
                  <c:v>4909.0739301642679</c:v>
                </c:pt>
                <c:pt idx="51">
                  <c:v>5029.0194090622344</c:v>
                </c:pt>
                <c:pt idx="52">
                  <c:v>5150.5403719493333</c:v>
                </c:pt>
                <c:pt idx="53">
                  <c:v>5273.6337669411114</c:v>
                </c:pt>
                <c:pt idx="54">
                  <c:v>5398.296722724961</c:v>
                </c:pt>
                <c:pt idx="55">
                  <c:v>5524.5265358894549</c:v>
                </c:pt>
                <c:pt idx="56">
                  <c:v>5652.3206592789766</c:v>
                </c:pt>
                <c:pt idx="57">
                  <c:v>5781.6766912798676</c:v>
                </c:pt>
                <c:pt idx="58">
                  <c:v>5912.5923659539412</c:v>
                </c:pt>
                <c:pt idx="59">
                  <c:v>6045.0655439436077</c:v>
                </c:pt>
                <c:pt idx="60">
                  <c:v>6179.0942040804102</c:v>
                </c:pt>
                <c:pt idx="61">
                  <c:v>6314.6764356354688</c:v>
                </c:pt>
                <c:pt idx="62">
                  <c:v>6451.8104311563475</c:v>
                </c:pt>
                <c:pt idx="63">
                  <c:v>6590.4944798401348</c:v>
                </c:pt>
                <c:pt idx="64">
                  <c:v>6730.7269613973876</c:v>
                </c:pt>
                <c:pt idx="65">
                  <c:v>6872.5063403657969</c:v>
                </c:pt>
                <c:pt idx="66">
                  <c:v>7015.8311608362974</c:v>
                </c:pt>
                <c:pt idx="67">
                  <c:v>7160.7000415577986</c:v>
                </c:pt>
                <c:pt idx="68">
                  <c:v>7307.1116713897663</c:v>
                </c:pt>
                <c:pt idx="69">
                  <c:v>7455.0648050747195</c:v>
                </c:pt>
                <c:pt idx="70">
                  <c:v>7604.5582593051313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A7-4175-B17D-9643C8F7E75C}"/>
            </c:ext>
          </c:extLst>
        </c:ser>
        <c:ser>
          <c:idx val="0"/>
          <c:order val="1"/>
          <c:tx>
            <c:v>Maximum Thrust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Jet!$I$4:$I$74</c:f>
              <c:numCache>
                <c:formatCode>General</c:formatCode>
                <c:ptCount val="7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</c:numCache>
            </c:numRef>
          </c:xVal>
          <c:yVal>
            <c:numRef>
              <c:f>Jet!$J$4:$J$74</c:f>
              <c:numCache>
                <c:formatCode>General</c:formatCode>
                <c:ptCount val="71"/>
                <c:pt idx="0">
                  <c:v>7300</c:v>
                </c:pt>
                <c:pt idx="1">
                  <c:v>7300</c:v>
                </c:pt>
                <c:pt idx="2">
                  <c:v>7300</c:v>
                </c:pt>
                <c:pt idx="3">
                  <c:v>7300</c:v>
                </c:pt>
                <c:pt idx="4">
                  <c:v>7300</c:v>
                </c:pt>
                <c:pt idx="5">
                  <c:v>7300</c:v>
                </c:pt>
                <c:pt idx="6">
                  <c:v>7300</c:v>
                </c:pt>
                <c:pt idx="7">
                  <c:v>7300</c:v>
                </c:pt>
                <c:pt idx="8">
                  <c:v>7300</c:v>
                </c:pt>
                <c:pt idx="9">
                  <c:v>7300</c:v>
                </c:pt>
                <c:pt idx="10">
                  <c:v>7300</c:v>
                </c:pt>
                <c:pt idx="11">
                  <c:v>7300</c:v>
                </c:pt>
                <c:pt idx="12">
                  <c:v>7300</c:v>
                </c:pt>
                <c:pt idx="13">
                  <c:v>7300</c:v>
                </c:pt>
                <c:pt idx="14">
                  <c:v>7300</c:v>
                </c:pt>
                <c:pt idx="15">
                  <c:v>7300</c:v>
                </c:pt>
                <c:pt idx="16">
                  <c:v>7300</c:v>
                </c:pt>
                <c:pt idx="17">
                  <c:v>7300</c:v>
                </c:pt>
                <c:pt idx="18">
                  <c:v>7300</c:v>
                </c:pt>
                <c:pt idx="19">
                  <c:v>7300</c:v>
                </c:pt>
                <c:pt idx="20">
                  <c:v>7300</c:v>
                </c:pt>
                <c:pt idx="21">
                  <c:v>7300</c:v>
                </c:pt>
                <c:pt idx="22">
                  <c:v>7300</c:v>
                </c:pt>
                <c:pt idx="23">
                  <c:v>7300</c:v>
                </c:pt>
                <c:pt idx="24">
                  <c:v>7300</c:v>
                </c:pt>
                <c:pt idx="25">
                  <c:v>7300</c:v>
                </c:pt>
                <c:pt idx="26">
                  <c:v>7300</c:v>
                </c:pt>
                <c:pt idx="27">
                  <c:v>7300</c:v>
                </c:pt>
                <c:pt idx="28">
                  <c:v>7300</c:v>
                </c:pt>
                <c:pt idx="29">
                  <c:v>7300</c:v>
                </c:pt>
                <c:pt idx="30">
                  <c:v>7300</c:v>
                </c:pt>
                <c:pt idx="31">
                  <c:v>7300</c:v>
                </c:pt>
                <c:pt idx="32">
                  <c:v>7300</c:v>
                </c:pt>
                <c:pt idx="33">
                  <c:v>7300</c:v>
                </c:pt>
                <c:pt idx="34">
                  <c:v>7300</c:v>
                </c:pt>
                <c:pt idx="35">
                  <c:v>7300</c:v>
                </c:pt>
                <c:pt idx="36">
                  <c:v>7300</c:v>
                </c:pt>
                <c:pt idx="37">
                  <c:v>7300</c:v>
                </c:pt>
                <c:pt idx="38">
                  <c:v>7300</c:v>
                </c:pt>
                <c:pt idx="39">
                  <c:v>7300</c:v>
                </c:pt>
                <c:pt idx="40">
                  <c:v>7300</c:v>
                </c:pt>
                <c:pt idx="41">
                  <c:v>7300</c:v>
                </c:pt>
                <c:pt idx="42">
                  <c:v>7300</c:v>
                </c:pt>
                <c:pt idx="43">
                  <c:v>7300</c:v>
                </c:pt>
                <c:pt idx="44">
                  <c:v>7300</c:v>
                </c:pt>
                <c:pt idx="45">
                  <c:v>7300</c:v>
                </c:pt>
                <c:pt idx="46">
                  <c:v>7300</c:v>
                </c:pt>
                <c:pt idx="47">
                  <c:v>7300</c:v>
                </c:pt>
                <c:pt idx="48">
                  <c:v>7300</c:v>
                </c:pt>
                <c:pt idx="49">
                  <c:v>7300</c:v>
                </c:pt>
                <c:pt idx="50">
                  <c:v>7300</c:v>
                </c:pt>
                <c:pt idx="51">
                  <c:v>7300</c:v>
                </c:pt>
                <c:pt idx="52">
                  <c:v>7300</c:v>
                </c:pt>
                <c:pt idx="53">
                  <c:v>7300</c:v>
                </c:pt>
                <c:pt idx="54">
                  <c:v>7300</c:v>
                </c:pt>
                <c:pt idx="55">
                  <c:v>7300</c:v>
                </c:pt>
                <c:pt idx="56">
                  <c:v>7300</c:v>
                </c:pt>
                <c:pt idx="57">
                  <c:v>7300</c:v>
                </c:pt>
                <c:pt idx="58">
                  <c:v>7300</c:v>
                </c:pt>
                <c:pt idx="59">
                  <c:v>7300</c:v>
                </c:pt>
                <c:pt idx="60">
                  <c:v>7300</c:v>
                </c:pt>
                <c:pt idx="61">
                  <c:v>7300</c:v>
                </c:pt>
                <c:pt idx="62">
                  <c:v>7300</c:v>
                </c:pt>
                <c:pt idx="63">
                  <c:v>7300</c:v>
                </c:pt>
                <c:pt idx="64">
                  <c:v>7300</c:v>
                </c:pt>
                <c:pt idx="65">
                  <c:v>7300</c:v>
                </c:pt>
                <c:pt idx="66">
                  <c:v>7300</c:v>
                </c:pt>
                <c:pt idx="67">
                  <c:v>7300</c:v>
                </c:pt>
                <c:pt idx="68">
                  <c:v>7300</c:v>
                </c:pt>
                <c:pt idx="69">
                  <c:v>7300</c:v>
                </c:pt>
                <c:pt idx="70">
                  <c:v>7300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A7-4175-B17D-9643C8F7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293823"/>
        <c:axId val="1588310623"/>
      </c:scatterChart>
      <c:valAx>
        <c:axId val="158829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8310623"/>
        <c:crosses val="autoZero"/>
        <c:crossBetween val="midCat"/>
      </c:valAx>
      <c:valAx>
        <c:axId val="15883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8829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619320</xdr:colOff>
      <xdr:row>15</xdr:row>
      <xdr:rowOff>1521</xdr:rowOff>
    </xdr:from>
    <xdr:to>
      <xdr:col>24</xdr:col>
      <xdr:colOff>137472</xdr:colOff>
      <xdr:row>29</xdr:row>
      <xdr:rowOff>117834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02F77E-4039-347F-03DE-B413D64DA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171008</xdr:colOff>
      <xdr:row>0</xdr:row>
      <xdr:rowOff>72615</xdr:rowOff>
    </xdr:from>
    <xdr:to>
      <xdr:col>29</xdr:col>
      <xdr:colOff>373145</xdr:colOff>
      <xdr:row>14</xdr:row>
      <xdr:rowOff>148815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CE8281-BCA6-4C19-B4F2-6BBF64A7A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340641</xdr:colOff>
      <xdr:row>0</xdr:row>
      <xdr:rowOff>39279</xdr:rowOff>
    </xdr:from>
    <xdr:to>
      <xdr:col>24</xdr:col>
      <xdr:colOff>117835</xdr:colOff>
      <xdr:row>15</xdr:row>
      <xdr:rowOff>111552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636ADC-9604-4E87-AF6C-7B2FE4B4B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338137</xdr:colOff>
      <xdr:row>15</xdr:row>
      <xdr:rowOff>166687</xdr:rowOff>
    </xdr:from>
    <xdr:to>
      <xdr:col>20</xdr:col>
      <xdr:colOff>338137</xdr:colOff>
      <xdr:row>30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F11DE4-39CF-38A9-4319-75456E489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328612</xdr:colOff>
      <xdr:row>1</xdr:row>
      <xdr:rowOff>166687</xdr:rowOff>
    </xdr:from>
    <xdr:to>
      <xdr:col>20</xdr:col>
      <xdr:colOff>328612</xdr:colOff>
      <xdr:row>16</xdr:row>
      <xdr:rowOff>52387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E39AA5-28B6-40EF-F69D-35978B357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5BD0-D985-446D-BDF5-A8C40AE0745A}">
  <dimension ref="A1:Y43"/>
  <sheetViews>
    <sheetView tabSelected="1" topLeftCell="D1" zoomScale="97" workbookViewId="0">
      <selection activeCell="Y30" sqref="Y30"/>
    </sheetView>
  </sheetViews>
  <sheetFormatPr baseColWidth="10" defaultRowHeight="15" x14ac:dyDescent="0.25"/>
  <cols>
    <col min="2" max="2" width="15.7109375" customWidth="1"/>
    <col min="3" max="3" width="13.28515625" customWidth="1"/>
    <col min="14" max="14" width="13.85546875" customWidth="1"/>
    <col min="17" max="17" width="15.5703125" customWidth="1"/>
  </cols>
  <sheetData>
    <row r="1" spans="1:17" x14ac:dyDescent="0.25">
      <c r="E1" t="s">
        <v>23</v>
      </c>
      <c r="F1">
        <v>2.3770000000000002E-3</v>
      </c>
      <c r="G1" t="s">
        <v>22</v>
      </c>
    </row>
    <row r="2" spans="1:17" x14ac:dyDescent="0.25">
      <c r="B2" t="s">
        <v>0</v>
      </c>
      <c r="E2" t="s">
        <v>33</v>
      </c>
      <c r="I2" t="s">
        <v>28</v>
      </c>
      <c r="K2" t="s">
        <v>24</v>
      </c>
      <c r="L2" t="s">
        <v>25</v>
      </c>
      <c r="M2" t="s">
        <v>26</v>
      </c>
      <c r="N2" t="s">
        <v>27</v>
      </c>
      <c r="O2" t="s">
        <v>34</v>
      </c>
      <c r="P2" t="s">
        <v>40</v>
      </c>
      <c r="Q2" t="s">
        <v>41</v>
      </c>
    </row>
    <row r="3" spans="1:17" x14ac:dyDescent="0.25">
      <c r="A3" t="s">
        <v>1</v>
      </c>
      <c r="B3">
        <v>35.799999999999997</v>
      </c>
      <c r="C3" t="s">
        <v>3</v>
      </c>
      <c r="I3">
        <v>100</v>
      </c>
      <c r="J3">
        <f>D8</f>
        <v>184</v>
      </c>
      <c r="K3">
        <f>(2*$B$5)/($F$1*I3^2*$B$4)</f>
        <v>1.426505930879743</v>
      </c>
      <c r="L3">
        <f>$B$10+(K3^2)/(PI()*$B$11*$B$13)</f>
        <v>0.13492348748589778</v>
      </c>
      <c r="M3">
        <f>K3/L3</f>
        <v>10.572702777408134</v>
      </c>
      <c r="N3">
        <f>$B$5/M3</f>
        <v>279.02042288596175</v>
      </c>
      <c r="O3" s="4">
        <f>N3*I3*0.00181818</f>
        <v>50.730935248279792</v>
      </c>
      <c r="P3">
        <f>K3^(1/2)/L3</f>
        <v>8.8521595413967464</v>
      </c>
      <c r="Q3">
        <f>K3^(3/2)/L3</f>
        <v>12.627658086896165</v>
      </c>
    </row>
    <row r="4" spans="1:17" x14ac:dyDescent="0.25">
      <c r="A4" t="s">
        <v>2</v>
      </c>
      <c r="B4">
        <v>174</v>
      </c>
      <c r="C4" t="s">
        <v>4</v>
      </c>
      <c r="I4">
        <v>110</v>
      </c>
      <c r="J4">
        <f t="shared" ref="J4:J29" si="0">$B$8*$B$12</f>
        <v>184</v>
      </c>
      <c r="K4">
        <f t="shared" ref="K4:K29" si="1">(2*$B$5)/($F$1*I4^2*$B$4)</f>
        <v>1.1789305213882173</v>
      </c>
      <c r="L4">
        <f t="shared" ref="L4:L29" si="2">$B$10+(K4^2)/(PI()*$B$11*$B$13)</f>
        <v>0.10007922101352215</v>
      </c>
      <c r="M4">
        <f t="shared" ref="M4:M29" si="3">K4/L4</f>
        <v>11.779972999879034</v>
      </c>
      <c r="N4">
        <f t="shared" ref="N4:N29" si="4">$B$5/M4</f>
        <v>250.42502219914198</v>
      </c>
      <c r="O4" s="4">
        <f t="shared" ref="O4:O29" si="5">N4*I4*0.00181818</f>
        <v>50.084954354823957</v>
      </c>
      <c r="P4">
        <f t="shared" ref="P4:P29" si="6">K4^(1/2)/L4</f>
        <v>10.849261805808807</v>
      </c>
      <c r="Q4">
        <f t="shared" ref="Q4:Q28" si="7">K4^(3/2)/L4</f>
        <v>12.79052587739945</v>
      </c>
    </row>
    <row r="5" spans="1:17" x14ac:dyDescent="0.25">
      <c r="A5" t="s">
        <v>5</v>
      </c>
      <c r="B5">
        <v>2950</v>
      </c>
      <c r="C5" t="s">
        <v>6</v>
      </c>
      <c r="I5">
        <v>120</v>
      </c>
      <c r="J5">
        <f t="shared" si="0"/>
        <v>184</v>
      </c>
      <c r="K5">
        <f t="shared" si="1"/>
        <v>0.99062911866648828</v>
      </c>
      <c r="L5">
        <f t="shared" si="2"/>
        <v>7.801094111009732E-2</v>
      </c>
      <c r="M5">
        <f t="shared" si="3"/>
        <v>12.698592076570481</v>
      </c>
      <c r="N5">
        <f t="shared" si="4"/>
        <v>232.30921839302903</v>
      </c>
      <c r="O5" s="4">
        <f t="shared" si="5"/>
        <v>50.685596963740501</v>
      </c>
      <c r="P5">
        <f t="shared" si="6"/>
        <v>12.758512033814174</v>
      </c>
      <c r="Q5">
        <f t="shared" si="7"/>
        <v>12.638953531553121</v>
      </c>
    </row>
    <row r="6" spans="1:17" x14ac:dyDescent="0.25">
      <c r="A6" t="s">
        <v>7</v>
      </c>
      <c r="B6">
        <v>65</v>
      </c>
      <c r="C6" t="s">
        <v>8</v>
      </c>
      <c r="I6">
        <v>130</v>
      </c>
      <c r="J6">
        <f t="shared" si="0"/>
        <v>184</v>
      </c>
      <c r="K6">
        <f t="shared" si="1"/>
        <v>0.84408634963298412</v>
      </c>
      <c r="L6">
        <f t="shared" si="2"/>
        <v>6.3487268473056885E-2</v>
      </c>
      <c r="M6">
        <f t="shared" si="3"/>
        <v>13.295364093215046</v>
      </c>
      <c r="N6">
        <f t="shared" si="4"/>
        <v>221.88185139701878</v>
      </c>
      <c r="O6" s="4">
        <f t="shared" si="5"/>
        <v>52.444748794494103</v>
      </c>
      <c r="P6">
        <f t="shared" si="6"/>
        <v>14.47127499651835</v>
      </c>
      <c r="Q6">
        <f t="shared" si="7"/>
        <v>12.215005686346249</v>
      </c>
    </row>
    <row r="7" spans="1:17" x14ac:dyDescent="0.25">
      <c r="A7" t="s">
        <v>9</v>
      </c>
      <c r="B7">
        <v>1</v>
      </c>
      <c r="C7" t="s">
        <v>35</v>
      </c>
      <c r="I7">
        <v>140</v>
      </c>
      <c r="J7">
        <f t="shared" si="0"/>
        <v>184</v>
      </c>
      <c r="K7">
        <f>(2*$B$5)/($F$1*I7^2*$B$4)</f>
        <v>0.72780914840803212</v>
      </c>
      <c r="L7">
        <f>$B$10+(K7^2)/(PI()*$B$11*$B$13)</f>
        <v>5.3613985705408623E-2</v>
      </c>
      <c r="M7">
        <f>K7/L7</f>
        <v>13.574986803016403</v>
      </c>
      <c r="N7">
        <f>$B$5/M7</f>
        <v>217.31144514589886</v>
      </c>
      <c r="O7" s="4">
        <f>N7*I7*0.00181818</f>
        <v>55.315585266951857</v>
      </c>
      <c r="P7">
        <f>K7^(1/2)/L7</f>
        <v>15.912215833136427</v>
      </c>
      <c r="Q7">
        <f t="shared" si="7"/>
        <v>11.581056254799829</v>
      </c>
    </row>
    <row r="8" spans="1:17" x14ac:dyDescent="0.25">
      <c r="A8" t="s">
        <v>9</v>
      </c>
      <c r="B8">
        <v>230</v>
      </c>
      <c r="C8" t="s">
        <v>10</v>
      </c>
      <c r="D8">
        <f>B8*B12</f>
        <v>184</v>
      </c>
      <c r="E8" t="s">
        <v>10</v>
      </c>
      <c r="F8">
        <f>D8/0.001818</f>
        <v>101210.12101210121</v>
      </c>
      <c r="I8">
        <v>150</v>
      </c>
      <c r="J8">
        <f t="shared" si="0"/>
        <v>184</v>
      </c>
      <c r="K8">
        <f>(2*$B$5)/($F$1*I8^2*$B$4)</f>
        <v>0.63400263594655248</v>
      </c>
      <c r="L8">
        <f>$B$10+(K8^2)/(PI()*$B$11*$B$13)</f>
        <v>4.6713281478695856E-2</v>
      </c>
      <c r="M8">
        <f>K8/L8</f>
        <v>13.572213637693102</v>
      </c>
      <c r="N8">
        <f>$B$5/M8</f>
        <v>217.35584767153856</v>
      </c>
      <c r="O8" s="4">
        <f>N8*I8*0.00181818</f>
        <v>59.278808267915693</v>
      </c>
      <c r="P8">
        <f>K8^(1/2)/L8</f>
        <v>17.045319864780048</v>
      </c>
      <c r="Q8">
        <f t="shared" si="7"/>
        <v>10.806777724822684</v>
      </c>
    </row>
    <row r="9" spans="1:17" x14ac:dyDescent="0.25">
      <c r="A9" t="s">
        <v>11</v>
      </c>
      <c r="B9">
        <v>0.45</v>
      </c>
      <c r="C9" t="s">
        <v>12</v>
      </c>
      <c r="D9" t="s">
        <v>13</v>
      </c>
      <c r="I9">
        <v>160</v>
      </c>
      <c r="J9">
        <f t="shared" si="0"/>
        <v>184</v>
      </c>
      <c r="K9">
        <f>(2*$B$5)/($F$1*I9^2*$B$4)</f>
        <v>0.55722887924989961</v>
      </c>
      <c r="L9">
        <f>$B$10+(K9^2)/(PI()*$B$11*$B$13)</f>
        <v>4.177299308561673E-2</v>
      </c>
      <c r="M9">
        <f>K9/L9</f>
        <v>13.339453031479437</v>
      </c>
      <c r="N9">
        <f>$B$5/M9</f>
        <v>221.14849784607884</v>
      </c>
      <c r="O9" s="4">
        <f>N9*I9*0.00181818</f>
        <v>64.334044130205385</v>
      </c>
      <c r="P9">
        <f>K9^(1/2)/L9</f>
        <v>17.869862632581771</v>
      </c>
      <c r="Q9">
        <f t="shared" si="7"/>
        <v>9.9576035271032008</v>
      </c>
    </row>
    <row r="10" spans="1:17" x14ac:dyDescent="0.25">
      <c r="A10" t="s">
        <v>14</v>
      </c>
      <c r="B10">
        <v>2.5000000000000001E-2</v>
      </c>
      <c r="I10">
        <v>170</v>
      </c>
      <c r="J10">
        <f t="shared" si="0"/>
        <v>184</v>
      </c>
      <c r="K10">
        <f>(2*$B$5)/($F$1*I10^2*$B$4)</f>
        <v>0.49360066812447856</v>
      </c>
      <c r="L10">
        <f>$B$10+(K10^2)/(PI()*$B$11*$B$13)</f>
        <v>3.8161179522024136E-2</v>
      </c>
      <c r="M10">
        <f>K10/L10</f>
        <v>12.934628182538345</v>
      </c>
      <c r="N10">
        <f>$B$5/M10</f>
        <v>228.0699497788795</v>
      </c>
      <c r="O10" s="4">
        <f>N10*I10*0.00181818</f>
        <v>70.494277619123721</v>
      </c>
      <c r="P10">
        <f>K10^(1/2)/L10</f>
        <v>18.410521034672168</v>
      </c>
      <c r="Q10">
        <f t="shared" si="7"/>
        <v>9.0874454832339477</v>
      </c>
    </row>
    <row r="11" spans="1:17" x14ac:dyDescent="0.25">
      <c r="A11" t="s">
        <v>15</v>
      </c>
      <c r="B11">
        <v>0.8</v>
      </c>
      <c r="I11">
        <v>180</v>
      </c>
      <c r="J11">
        <f t="shared" si="0"/>
        <v>184</v>
      </c>
      <c r="K11">
        <f>(2*$B$5)/($F$1*I11^2*$B$4)</f>
        <v>0.44027960829621698</v>
      </c>
      <c r="L11">
        <f>$B$10+(K11^2)/(PI()*$B$11*$B$13)</f>
        <v>3.5471297009401936E-2</v>
      </c>
      <c r="M11">
        <f>K11/L11</f>
        <v>12.412278247945586</v>
      </c>
      <c r="N11">
        <f>$B$5/M11</f>
        <v>237.6678915080129</v>
      </c>
      <c r="O11" s="4">
        <f>N11*I11*0.00181818</f>
        <v>77.782141256766991</v>
      </c>
      <c r="P11">
        <f>K11^(1/2)/L11</f>
        <v>18.706270794261865</v>
      </c>
      <c r="Q11">
        <f t="shared" si="7"/>
        <v>8.2359895779805772</v>
      </c>
    </row>
    <row r="12" spans="1:17" x14ac:dyDescent="0.25">
      <c r="A12" t="s">
        <v>16</v>
      </c>
      <c r="B12">
        <v>0.8</v>
      </c>
      <c r="I12">
        <v>190</v>
      </c>
      <c r="J12">
        <f t="shared" si="0"/>
        <v>184</v>
      </c>
      <c r="K12">
        <f>(2*$B$5)/($F$1*I12^2*$B$4)</f>
        <v>0.39515399747361307</v>
      </c>
      <c r="L12">
        <f>$B$10+(K12^2)/(PI()*$B$11*$B$13)</f>
        <v>3.3434825353235303E-2</v>
      </c>
      <c r="M12">
        <f>K12/L12</f>
        <v>11.818635010018863</v>
      </c>
      <c r="N12">
        <f>$B$5/M12</f>
        <v>249.60581298087584</v>
      </c>
      <c r="O12" s="4">
        <f>N12*I12*0.00181818</f>
        <v>86.227376438658069</v>
      </c>
      <c r="P12">
        <f>K12^(1/2)/L12</f>
        <v>18.80113772782666</v>
      </c>
      <c r="Q12">
        <f t="shared" si="7"/>
        <v>7.4293447302026694</v>
      </c>
    </row>
    <row r="13" spans="1:17" x14ac:dyDescent="0.25">
      <c r="A13" t="s">
        <v>29</v>
      </c>
      <c r="B13">
        <f>B3^2/B4</f>
        <v>7.3657471264367809</v>
      </c>
      <c r="I13">
        <v>200</v>
      </c>
      <c r="J13">
        <f t="shared" si="0"/>
        <v>184</v>
      </c>
      <c r="K13">
        <f>(2*$B$5)/($F$1*I13^2*$B$4)</f>
        <v>0.35662648271993574</v>
      </c>
      <c r="L13">
        <f>$B$10+(K13^2)/(PI()*$B$11*$B$13)</f>
        <v>3.1870217967868611E-2</v>
      </c>
      <c r="M13">
        <f>K13/L13</f>
        <v>11.189960579481594</v>
      </c>
      <c r="N13">
        <f>$B$5/M13</f>
        <v>263.62916822149043</v>
      </c>
      <c r="O13" s="4">
        <f>N13*I13*0.00181818</f>
        <v>95.865056215389899</v>
      </c>
      <c r="P13">
        <f>K13^(1/2)/L13</f>
        <v>18.737936438197039</v>
      </c>
      <c r="Q13">
        <f t="shared" si="7"/>
        <v>6.6824443653839323</v>
      </c>
    </row>
    <row r="14" spans="1:17" x14ac:dyDescent="0.25">
      <c r="I14">
        <v>210</v>
      </c>
      <c r="J14">
        <f t="shared" si="0"/>
        <v>184</v>
      </c>
      <c r="K14">
        <f>(2*$B$5)/($F$1*I14^2*$B$4)</f>
        <v>0.32347073262579201</v>
      </c>
      <c r="L14">
        <f>$B$10+(K14^2)/(PI()*$B$11*$B$13)</f>
        <v>3.0652145324525159E-2</v>
      </c>
      <c r="M14">
        <f>K14/L14</f>
        <v>10.552955729561255</v>
      </c>
      <c r="N14">
        <f>$B$5/M14</f>
        <v>279.54253534262176</v>
      </c>
      <c r="O14" s="4">
        <f>N14*I14*0.00181818</f>
        <v>106.7343158509421</v>
      </c>
      <c r="P14">
        <f>K14^(1/2)/L14</f>
        <v>18.554814639930246</v>
      </c>
      <c r="Q14">
        <f t="shared" si="7"/>
        <v>6.0019394853140069</v>
      </c>
    </row>
    <row r="15" spans="1:17" x14ac:dyDescent="0.25">
      <c r="I15">
        <v>220</v>
      </c>
      <c r="J15">
        <f t="shared" si="0"/>
        <v>184</v>
      </c>
      <c r="K15">
        <f>(2*$B$5)/($F$1*I15^2*$B$4)</f>
        <v>0.29473263034705433</v>
      </c>
      <c r="L15">
        <f>$B$10+(K15^2)/(PI()*$B$11*$B$13)</f>
        <v>2.9692451313345136E-2</v>
      </c>
      <c r="M15">
        <f>K15/L15</f>
        <v>9.9261804704749341</v>
      </c>
      <c r="N15">
        <f>$B$5/M15</f>
        <v>297.19387117478556</v>
      </c>
      <c r="O15" s="4">
        <f>N15*I15*0.00181818</f>
        <v>118.87742959236574</v>
      </c>
      <c r="P15">
        <f>K15^(1/2)/L15</f>
        <v>18.283867145874591</v>
      </c>
      <c r="Q15">
        <f t="shared" si="7"/>
        <v>5.3888522568197077</v>
      </c>
    </row>
    <row r="16" spans="1:17" x14ac:dyDescent="0.25">
      <c r="I16">
        <v>230</v>
      </c>
      <c r="J16">
        <f t="shared" si="0"/>
        <v>184</v>
      </c>
      <c r="K16">
        <f>(2*$B$5)/($F$1*I16^2*$B$4)</f>
        <v>0.26966085649900623</v>
      </c>
      <c r="L16">
        <f>$B$10+(K16^2)/(PI()*$B$11*$B$13)</f>
        <v>2.8928069421060451E-2</v>
      </c>
      <c r="M16">
        <f>K16/L16</f>
        <v>9.3217716182154042</v>
      </c>
      <c r="N16">
        <f>$B$5/M16</f>
        <v>316.46344931209109</v>
      </c>
      <c r="O16" s="4">
        <f>N16*I16*0.00181818</f>
        <v>132.33912828215927</v>
      </c>
      <c r="P16">
        <f>K16^(1/2)/L16</f>
        <v>17.951035417663796</v>
      </c>
      <c r="Q16">
        <f t="shared" si="7"/>
        <v>4.8406915857712161</v>
      </c>
    </row>
    <row r="17" spans="9:23" x14ac:dyDescent="0.25">
      <c r="I17">
        <v>240</v>
      </c>
      <c r="J17">
        <f t="shared" si="0"/>
        <v>184</v>
      </c>
      <c r="K17">
        <f>(2*$B$5)/($F$1*I17^2*$B$4)</f>
        <v>0.24765727966662207</v>
      </c>
      <c r="L17">
        <f>$B$10+(K17^2)/(PI()*$B$11*$B$13)</f>
        <v>2.8313183819381083E-2</v>
      </c>
      <c r="M17">
        <f>K17/L17</f>
        <v>8.7470657219798245</v>
      </c>
      <c r="N17">
        <f>$B$5/M17</f>
        <v>337.25595459825723</v>
      </c>
      <c r="O17" s="4">
        <f>N17*I17*0.00181818</f>
        <v>147.16608756755022</v>
      </c>
      <c r="P17">
        <f>K17^(1/2)/L17</f>
        <v>17.57667977702026</v>
      </c>
      <c r="Q17">
        <f t="shared" si="7"/>
        <v>4.3529926991481673</v>
      </c>
    </row>
    <row r="18" spans="9:23" x14ac:dyDescent="0.25">
      <c r="I18">
        <v>250</v>
      </c>
      <c r="J18">
        <f t="shared" si="0"/>
        <v>184</v>
      </c>
      <c r="K18">
        <f>(2*$B$5)/($F$1*I18^2*$B$4)</f>
        <v>0.22824094894075891</v>
      </c>
      <c r="L18">
        <f>$B$10+(K18^2)/(PI()*$B$11*$B$13)</f>
        <v>2.7814041279638983E-2</v>
      </c>
      <c r="M18">
        <f>K18/L18</f>
        <v>8.2059613936016067</v>
      </c>
      <c r="N18">
        <f>$B$5/M18</f>
        <v>359.49474516175383</v>
      </c>
      <c r="O18" s="4">
        <f>N18*I18*0.00181818</f>
        <v>163.40653893954939</v>
      </c>
      <c r="P18">
        <f>K18^(1/2)/L18</f>
        <v>17.176421435473141</v>
      </c>
      <c r="Q18">
        <f t="shared" si="7"/>
        <v>3.920362727838782</v>
      </c>
    </row>
    <row r="19" spans="9:23" x14ac:dyDescent="0.25">
      <c r="I19">
        <v>260</v>
      </c>
      <c r="J19">
        <f t="shared" si="0"/>
        <v>184</v>
      </c>
      <c r="K19">
        <f>(2*$B$5)/($F$1*I19^2*$B$4)</f>
        <v>0.21102158740824603</v>
      </c>
      <c r="L19">
        <f>$B$10+(K19^2)/(PI()*$B$11*$B$13)</f>
        <v>2.7405454279566057E-2</v>
      </c>
      <c r="M19">
        <f>K19/L19</f>
        <v>7.6999850196092927</v>
      </c>
      <c r="N19">
        <f>$B$5/M19</f>
        <v>383.11762847425473</v>
      </c>
      <c r="O19" s="4">
        <f>N19*I19*0.00181818</f>
        <v>181.10997053222331</v>
      </c>
      <c r="P19">
        <f>K19^(1/2)/L19</f>
        <v>16.762023199455303</v>
      </c>
      <c r="Q19">
        <f t="shared" si="7"/>
        <v>3.5371487437229057</v>
      </c>
    </row>
    <row r="20" spans="9:23" x14ac:dyDescent="0.25">
      <c r="I20">
        <v>270</v>
      </c>
      <c r="J20">
        <f t="shared" si="0"/>
        <v>184</v>
      </c>
      <c r="K20">
        <f>(2*$B$5)/($F$1*I20^2*$B$4)</f>
        <v>0.19567982590942976</v>
      </c>
      <c r="L20">
        <f>$B$10+(K20^2)/(PI()*$B$11*$B$13)</f>
        <v>2.7068404347536185E-2</v>
      </c>
      <c r="M20">
        <f>K20/L20</f>
        <v>7.2290861107681392</v>
      </c>
      <c r="N20">
        <f>$B$5/M20</f>
        <v>408.07371150356136</v>
      </c>
      <c r="O20" s="4">
        <f>N20*I20*0.00181818</f>
        <v>200.32689441101718</v>
      </c>
      <c r="P20">
        <f>K20^(1/2)/L20</f>
        <v>16.342194359699665</v>
      </c>
      <c r="Q20">
        <f t="shared" si="7"/>
        <v>3.1978377472840944</v>
      </c>
    </row>
    <row r="21" spans="9:23" x14ac:dyDescent="0.25">
      <c r="I21">
        <v>280</v>
      </c>
      <c r="J21">
        <f t="shared" si="0"/>
        <v>184</v>
      </c>
      <c r="K21">
        <f>(2*$B$5)/($F$1*I21^2*$B$4)</f>
        <v>0.18195228710200803</v>
      </c>
      <c r="L21">
        <f>$B$10+(K21^2)/(PI()*$B$11*$B$13)</f>
        <v>2.6788374106588041E-2</v>
      </c>
      <c r="M21">
        <f>K21/L21</f>
        <v>6.7922109187380908</v>
      </c>
      <c r="N21">
        <f>$B$5/M21</f>
        <v>434.32102378647477</v>
      </c>
      <c r="O21" s="4">
        <f>N21*I21*0.00181818</f>
        <v>221.10866372786597</v>
      </c>
      <c r="P21">
        <f>K21^(1/2)/L21</f>
        <v>15.923275313848682</v>
      </c>
      <c r="Q21">
        <f t="shared" si="7"/>
        <v>2.897276361509713</v>
      </c>
    </row>
    <row r="22" spans="9:23" x14ac:dyDescent="0.25">
      <c r="I22">
        <v>290</v>
      </c>
      <c r="J22">
        <f t="shared" si="0"/>
        <v>184</v>
      </c>
      <c r="K22">
        <f>(2*$B$5)/($F$1*I22^2*$B$4)</f>
        <v>0.16962020581209786</v>
      </c>
      <c r="L22">
        <f>$B$10+(K22^2)/(PI()*$B$11*$B$13)</f>
        <v>2.6554169947812793E-2</v>
      </c>
      <c r="M22">
        <f>K22/L22</f>
        <v>6.3877050627247751</v>
      </c>
      <c r="N22">
        <f>$B$5/M22</f>
        <v>461.82470402627382</v>
      </c>
      <c r="O22" s="4">
        <f>N22*I22*0.00181818</f>
        <v>243.50732770628224</v>
      </c>
      <c r="P22">
        <f>K22^(1/2)/L22</f>
        <v>15.509795175025134</v>
      </c>
      <c r="Q22">
        <f t="shared" si="7"/>
        <v>2.630774649691245</v>
      </c>
    </row>
    <row r="23" spans="9:23" x14ac:dyDescent="0.25">
      <c r="I23">
        <v>300</v>
      </c>
      <c r="J23">
        <f t="shared" si="0"/>
        <v>184</v>
      </c>
      <c r="K23">
        <f>(2*$B$5)/($F$1*I23^2*$B$4)</f>
        <v>0.15850065898663812</v>
      </c>
      <c r="L23">
        <f>$B$10+(K23^2)/(PI()*$B$11*$B$13)</f>
        <v>2.6357080092418491E-2</v>
      </c>
      <c r="M23">
        <f>K23/L23</f>
        <v>6.0135894579699745</v>
      </c>
      <c r="N23">
        <f>$B$5/M23</f>
        <v>490.55560254288469</v>
      </c>
      <c r="O23" s="4">
        <f>N23*I23*0.00181818</f>
        <v>267.5755156294266</v>
      </c>
      <c r="P23">
        <f>K23^(1/2)/L23</f>
        <v>15.104913403645808</v>
      </c>
      <c r="Q23">
        <f t="shared" si="7"/>
        <v>2.3941387284139632</v>
      </c>
    </row>
    <row r="24" spans="9:23" x14ac:dyDescent="0.25">
      <c r="I24">
        <v>310</v>
      </c>
      <c r="J24">
        <f t="shared" si="0"/>
        <v>184</v>
      </c>
      <c r="K24">
        <f>(2*$B$5)/($F$1*I24^2*$B$4)</f>
        <v>0.14843974306761115</v>
      </c>
      <c r="L24">
        <f>$B$10+(K24^2)/(PI()*$B$11*$B$13)</f>
        <v>2.6190265164364405E-2</v>
      </c>
      <c r="M24">
        <f>K24/L24</f>
        <v>5.667744947828349</v>
      </c>
      <c r="N24">
        <f>$B$5/M24</f>
        <v>520.48919405421032</v>
      </c>
      <c r="O24" s="4">
        <f>N24*I24*0.00181818</f>
        <v>293.3663432821001</v>
      </c>
      <c r="P24">
        <f>K24^(1/2)/L24</f>
        <v>14.710763092529334</v>
      </c>
      <c r="Q24">
        <f t="shared" si="7"/>
        <v>2.1836618937835506</v>
      </c>
    </row>
    <row r="25" spans="9:23" x14ac:dyDescent="0.25">
      <c r="I25">
        <v>320</v>
      </c>
      <c r="J25">
        <f t="shared" si="0"/>
        <v>184</v>
      </c>
      <c r="K25">
        <f>(2*$B$5)/($F$1*I25^2*$B$4)</f>
        <v>0.1393072198124749</v>
      </c>
      <c r="L25">
        <f>$B$10+(K25^2)/(PI()*$B$11*$B$13)</f>
        <v>2.6048312067851048E-2</v>
      </c>
      <c r="M25">
        <f>K25/L25</f>
        <v>5.3480325116500946</v>
      </c>
      <c r="N25">
        <f>$B$5/M25</f>
        <v>551.60472446151982</v>
      </c>
      <c r="O25" s="4">
        <f>N25*I25*0.00181818</f>
        <v>320.93333693486272</v>
      </c>
      <c r="P25">
        <f>K25^(1/2)/L25</f>
        <v>14.328714395146267</v>
      </c>
      <c r="Q25">
        <f t="shared" si="7"/>
        <v>1.9960933658748146</v>
      </c>
    </row>
    <row r="26" spans="9:23" x14ac:dyDescent="0.25">
      <c r="I26">
        <v>330</v>
      </c>
      <c r="J26">
        <f t="shared" si="0"/>
        <v>184</v>
      </c>
      <c r="K26">
        <f>(2*$B$5)/($F$1*I26^2*$B$4)</f>
        <v>0.13099228015424638</v>
      </c>
      <c r="L26">
        <f>$B$10+(K26^2)/(PI()*$B$11*$B$13)</f>
        <v>2.5926903963129903E-2</v>
      </c>
      <c r="M26">
        <f>K26/L26</f>
        <v>5.052368780342138</v>
      </c>
      <c r="N26">
        <f>$B$5/M26</f>
        <v>583.88453579990471</v>
      </c>
      <c r="O26" s="4">
        <f>N26*I26*0.00181818</f>
        <v>350.33037114922132</v>
      </c>
      <c r="P26">
        <f>K26^(1/2)/L26</f>
        <v>13.959574857596788</v>
      </c>
      <c r="Q26">
        <f t="shared" si="7"/>
        <v>1.8285965405804925</v>
      </c>
    </row>
    <row r="27" spans="9:23" x14ac:dyDescent="0.25">
      <c r="I27">
        <v>340</v>
      </c>
      <c r="J27">
        <f t="shared" si="0"/>
        <v>184</v>
      </c>
      <c r="K27">
        <f>(2*$B$5)/($F$1*I27^2*$B$4)</f>
        <v>0.12340016703111964</v>
      </c>
      <c r="L27">
        <f>$B$10+(K27^2)/(PI()*$B$11*$B$13)</f>
        <v>2.5822573720126508E-2</v>
      </c>
      <c r="M27">
        <f>K27/L27</f>
        <v>4.7787710229263345</v>
      </c>
      <c r="N27">
        <f>$B$5/M27</f>
        <v>617.31352806971995</v>
      </c>
      <c r="O27" s="4">
        <f>N27*I27*0.00181818</f>
        <v>381.61161755837315</v>
      </c>
      <c r="P27">
        <f>K27^(1/2)/L27</f>
        <v>13.603740779536135</v>
      </c>
      <c r="Q27">
        <f t="shared" si="7"/>
        <v>1.6787038844428126</v>
      </c>
    </row>
    <row r="28" spans="9:23" x14ac:dyDescent="0.25">
      <c r="I28">
        <v>350</v>
      </c>
      <c r="J28">
        <f t="shared" si="0"/>
        <v>184</v>
      </c>
      <c r="K28">
        <f>(2*$B$5)/($F$1*I28^2*$B$4)</f>
        <v>0.11644946374528516</v>
      </c>
      <c r="L28">
        <f>$B$10+(K28^2)/(PI()*$B$11*$B$13)</f>
        <v>2.5732518034058464E-2</v>
      </c>
      <c r="M28">
        <f>K28/L28</f>
        <v>4.5253816043636927</v>
      </c>
      <c r="N28">
        <f>$B$5/M28</f>
        <v>651.87872712334388</v>
      </c>
      <c r="O28" s="4">
        <f>N28*I28*0.00181818</f>
        <v>414.83150242839247</v>
      </c>
      <c r="P28">
        <f>K28^(1/2)/L28</f>
        <v>13.261311016512314</v>
      </c>
      <c r="Q28">
        <f t="shared" si="7"/>
        <v>1.5442725564323021</v>
      </c>
    </row>
    <row r="32" spans="9:23" x14ac:dyDescent="0.25">
      <c r="Q32" s="1" t="s">
        <v>32</v>
      </c>
      <c r="R32" s="1"/>
      <c r="S32" s="1"/>
      <c r="T32" s="1"/>
      <c r="U32" s="1"/>
      <c r="V32" s="1"/>
      <c r="W32" s="1"/>
    </row>
    <row r="33" spans="17:25" x14ac:dyDescent="0.25">
      <c r="Q33" s="2" t="s">
        <v>28</v>
      </c>
      <c r="R33" s="2" t="s">
        <v>36</v>
      </c>
      <c r="S33" s="2" t="s">
        <v>24</v>
      </c>
      <c r="T33" s="2" t="s">
        <v>25</v>
      </c>
      <c r="U33" s="2" t="s">
        <v>26</v>
      </c>
      <c r="V33" s="2" t="s">
        <v>27</v>
      </c>
      <c r="W33" s="2" t="s">
        <v>34</v>
      </c>
    </row>
    <row r="34" spans="17:25" x14ac:dyDescent="0.25">
      <c r="Q34" s="3">
        <v>261.5562864643943</v>
      </c>
      <c r="R34" s="2">
        <f>$B$8*$B$12</f>
        <v>184</v>
      </c>
      <c r="S34" s="2">
        <f>(2*$B$5)/($F$1*Q34^2*$B$4)</f>
        <v>0.20851785860814187</v>
      </c>
      <c r="T34" s="2">
        <f>$B$10+(S34^2)/(PI()*$B$11*$B$13)</f>
        <v>2.7348712438793863E-2</v>
      </c>
      <c r="U34" s="2">
        <f>S34/T34</f>
        <v>7.6244122671150496</v>
      </c>
      <c r="V34" s="2">
        <f>$B$5/U34</f>
        <v>386.91506920785002</v>
      </c>
      <c r="W34" s="7">
        <f>V34*Q34*0.00181818</f>
        <v>183.99994087100126</v>
      </c>
    </row>
    <row r="36" spans="17:25" x14ac:dyDescent="0.25">
      <c r="Q36" s="2" t="s">
        <v>37</v>
      </c>
      <c r="R36" s="2">
        <f>SQRT(B10*PI()*B11*B13)/(2*B10)</f>
        <v>13.605933135397636</v>
      </c>
    </row>
    <row r="37" spans="17:25" x14ac:dyDescent="0.25">
      <c r="Q37" s="2" t="s">
        <v>38</v>
      </c>
      <c r="R37" s="2">
        <f>(((1/3)*B10*PI()*B11*B13)^(1/4))/(4/3*B10)</f>
        <v>18.801396547155864</v>
      </c>
    </row>
    <row r="38" spans="17:25" x14ac:dyDescent="0.25">
      <c r="Q38" s="2" t="s">
        <v>39</v>
      </c>
      <c r="R38" s="2">
        <f>(((3*B10*PI()*B11*B13)^(3/4))/(4*B10))</f>
        <v>12.790527213634935</v>
      </c>
    </row>
    <row r="40" spans="17:25" x14ac:dyDescent="0.25">
      <c r="Q40" s="1" t="s">
        <v>42</v>
      </c>
      <c r="R40" s="1"/>
      <c r="S40" s="1"/>
      <c r="T40" s="1"/>
      <c r="U40" s="1"/>
      <c r="V40" s="1"/>
      <c r="W40" s="1"/>
      <c r="X40" s="1"/>
      <c r="Y40" s="1"/>
    </row>
    <row r="41" spans="17:25" x14ac:dyDescent="0.25">
      <c r="Q41" s="2" t="s">
        <v>28</v>
      </c>
      <c r="R41" s="2"/>
      <c r="S41" s="2" t="s">
        <v>24</v>
      </c>
      <c r="T41" s="2" t="s">
        <v>25</v>
      </c>
      <c r="U41" s="2" t="s">
        <v>26</v>
      </c>
      <c r="V41" s="2" t="s">
        <v>27</v>
      </c>
      <c r="W41" s="2" t="s">
        <v>34</v>
      </c>
      <c r="X41" s="2" t="s">
        <v>40</v>
      </c>
      <c r="Y41" s="2" t="s">
        <v>41</v>
      </c>
    </row>
    <row r="42" spans="17:25" x14ac:dyDescent="0.25">
      <c r="Q42" s="3">
        <v>189.54880744231514</v>
      </c>
      <c r="R42" s="2">
        <f>$D$8</f>
        <v>184</v>
      </c>
      <c r="S42" s="2">
        <f>(2*$B$5)/($F$1*Q42^2*$B$4)</f>
        <v>0.39703744630328675</v>
      </c>
      <c r="T42" s="2">
        <f>$B$10+(S42^2)/(PI()*$B$11*$B$13)</f>
        <v>3.351542391800378E-2</v>
      </c>
      <c r="U42" s="2">
        <f>S42/T42</f>
        <v>11.846409798504938</v>
      </c>
      <c r="V42" s="2">
        <f>$B$5/U42</f>
        <v>249.02059359556355</v>
      </c>
      <c r="W42" s="6">
        <f>V42*Q42*0.00181818</f>
        <v>85.82092607829081</v>
      </c>
      <c r="X42" s="8">
        <f>S42^(1/2)/T42</f>
        <v>18.800570044017068</v>
      </c>
      <c r="Y42" s="9">
        <f>S42^(3/2)/T42</f>
        <v>7.46453031932261</v>
      </c>
    </row>
    <row r="43" spans="17:25" x14ac:dyDescent="0.25">
      <c r="Q43" s="3">
        <v>109.29513617925907</v>
      </c>
      <c r="R43" s="2">
        <f>$D$8</f>
        <v>184</v>
      </c>
      <c r="S43" s="2">
        <f>(2*$B$5)/($F$1*Q43^2*$B$4)</f>
        <v>1.1941858216252388</v>
      </c>
      <c r="T43" s="2">
        <f>$B$10+(S43^2)/(PI()*$B$11*$B$13)</f>
        <v>0.10203483495584542</v>
      </c>
      <c r="U43" s="2">
        <f>S43/T43</f>
        <v>11.70370709319039</v>
      </c>
      <c r="V43" s="2">
        <f>$B$5/U43</f>
        <v>252.05688902761494</v>
      </c>
      <c r="W43" s="6">
        <f>V43*Q43*0.00181818</f>
        <v>50.088299022911919</v>
      </c>
      <c r="X43" s="2">
        <f>S43^(1/2)/T43</f>
        <v>10.709951125554392</v>
      </c>
      <c r="Y43" s="8">
        <f>S43^(3/2)/T43</f>
        <v>12.789671784436322</v>
      </c>
    </row>
  </sheetData>
  <mergeCells count="2">
    <mergeCell ref="Q32:W32"/>
    <mergeCell ref="Q40:Y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AC3D-EFF1-450D-8965-D015B26CCE76}">
  <dimension ref="A1:U74"/>
  <sheetViews>
    <sheetView topLeftCell="A2" workbookViewId="0">
      <selection activeCell="P37" sqref="P37"/>
    </sheetView>
  </sheetViews>
  <sheetFormatPr baseColWidth="10" defaultRowHeight="15" x14ac:dyDescent="0.25"/>
  <cols>
    <col min="2" max="2" width="15.5703125" customWidth="1"/>
    <col min="3" max="3" width="13.5703125" customWidth="1"/>
  </cols>
  <sheetData>
    <row r="1" spans="1:14" x14ac:dyDescent="0.25">
      <c r="E1" t="s">
        <v>23</v>
      </c>
      <c r="F1">
        <v>2.3770000000000002E-3</v>
      </c>
      <c r="G1" t="s">
        <v>22</v>
      </c>
    </row>
    <row r="2" spans="1:14" x14ac:dyDescent="0.25">
      <c r="B2" t="s">
        <v>17</v>
      </c>
    </row>
    <row r="3" spans="1:14" x14ac:dyDescent="0.25">
      <c r="A3" t="s">
        <v>1</v>
      </c>
      <c r="B3">
        <v>53.3</v>
      </c>
      <c r="C3" t="s">
        <v>3</v>
      </c>
      <c r="I3" t="s">
        <v>28</v>
      </c>
      <c r="J3" t="s">
        <v>31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25">
      <c r="A4" t="s">
        <v>2</v>
      </c>
      <c r="B4">
        <v>318</v>
      </c>
      <c r="C4" t="s">
        <v>4</v>
      </c>
      <c r="I4">
        <v>300</v>
      </c>
      <c r="J4">
        <f>$D$8</f>
        <v>7300</v>
      </c>
      <c r="K4">
        <f>(2*$B$5)/($F$1*I4^2*$B$4)</f>
        <v>0.58253934235232996</v>
      </c>
      <c r="L4">
        <f>$B$10+(K4^2)/(PI()*$B$11*$B$12)</f>
        <v>3.4927543063480192E-2</v>
      </c>
      <c r="M4">
        <f>K4/L4</f>
        <v>16.678509029208698</v>
      </c>
      <c r="N4">
        <f>$B$5/M4</f>
        <v>1188.0558367236806</v>
      </c>
    </row>
    <row r="5" spans="1:14" x14ac:dyDescent="0.25">
      <c r="A5" t="s">
        <v>5</v>
      </c>
      <c r="B5">
        <v>19815</v>
      </c>
      <c r="C5" t="s">
        <v>6</v>
      </c>
      <c r="I5">
        <v>310</v>
      </c>
      <c r="J5">
        <f t="shared" ref="J5:J68" si="0">$D$8</f>
        <v>7300</v>
      </c>
      <c r="K5">
        <f t="shared" ref="K5:K68" si="1">(2*$B$5)/($F$1*I5^2*$B$4)</f>
        <v>0.54556233935181786</v>
      </c>
      <c r="L5">
        <f t="shared" ref="L5:L68" si="2">$B$10+(K5^2)/(PI()*$B$11*$B$12)</f>
        <v>3.3092620396741337E-2</v>
      </c>
      <c r="M5">
        <f t="shared" ref="M5:M68" si="3">K5/L5</f>
        <v>16.485921417257725</v>
      </c>
      <c r="N5">
        <f t="shared" ref="N5:N68" si="4">$B$5/M5</f>
        <v>1201.9346385611993</v>
      </c>
    </row>
    <row r="6" spans="1:14" x14ac:dyDescent="0.25">
      <c r="A6" t="s">
        <v>7</v>
      </c>
      <c r="B6">
        <v>1119</v>
      </c>
      <c r="C6" t="s">
        <v>8</v>
      </c>
      <c r="I6">
        <v>320</v>
      </c>
      <c r="J6">
        <f t="shared" si="0"/>
        <v>7300</v>
      </c>
      <c r="K6">
        <f t="shared" si="1"/>
        <v>0.51199746886435249</v>
      </c>
      <c r="L6">
        <f t="shared" si="2"/>
        <v>3.1531171685618357E-2</v>
      </c>
      <c r="M6">
        <f t="shared" si="3"/>
        <v>16.237819322707853</v>
      </c>
      <c r="N6">
        <f t="shared" si="4"/>
        <v>1220.2993275266724</v>
      </c>
    </row>
    <row r="7" spans="1:14" x14ac:dyDescent="0.25">
      <c r="A7" t="s">
        <v>18</v>
      </c>
      <c r="B7">
        <v>2</v>
      </c>
      <c r="C7" t="s">
        <v>30</v>
      </c>
      <c r="I7">
        <v>330</v>
      </c>
      <c r="J7">
        <f t="shared" si="0"/>
        <v>7300</v>
      </c>
      <c r="K7">
        <f t="shared" si="1"/>
        <v>0.48143747301845452</v>
      </c>
      <c r="L7">
        <f t="shared" si="2"/>
        <v>3.0195712767898501E-2</v>
      </c>
      <c r="M7">
        <f t="shared" si="3"/>
        <v>15.94390159686105</v>
      </c>
      <c r="N7">
        <f t="shared" si="4"/>
        <v>1242.7949256724635</v>
      </c>
    </row>
    <row r="8" spans="1:14" x14ac:dyDescent="0.25">
      <c r="A8" t="s">
        <v>9</v>
      </c>
      <c r="B8">
        <v>3650</v>
      </c>
      <c r="C8" t="s">
        <v>19</v>
      </c>
      <c r="D8">
        <f>B8*B7</f>
        <v>7300</v>
      </c>
      <c r="I8">
        <v>340</v>
      </c>
      <c r="J8">
        <f t="shared" si="0"/>
        <v>7300</v>
      </c>
      <c r="K8">
        <f t="shared" si="1"/>
        <v>0.45353409006669293</v>
      </c>
      <c r="L8">
        <f t="shared" si="2"/>
        <v>2.9048106076180663E-2</v>
      </c>
      <c r="M8">
        <f t="shared" si="3"/>
        <v>15.613206894703168</v>
      </c>
      <c r="N8">
        <f t="shared" si="4"/>
        <v>1269.1178778090941</v>
      </c>
    </row>
    <row r="9" spans="1:14" x14ac:dyDescent="0.25">
      <c r="A9" t="s">
        <v>11</v>
      </c>
      <c r="B9">
        <v>0.6</v>
      </c>
      <c r="C9" t="s">
        <v>21</v>
      </c>
      <c r="D9" t="s">
        <v>20</v>
      </c>
      <c r="I9">
        <v>350</v>
      </c>
      <c r="J9">
        <f t="shared" si="0"/>
        <v>7300</v>
      </c>
      <c r="K9">
        <f t="shared" si="1"/>
        <v>0.4279880882588547</v>
      </c>
      <c r="L9">
        <f t="shared" si="2"/>
        <v>2.805751595596432E-2</v>
      </c>
      <c r="M9">
        <f t="shared" si="3"/>
        <v>15.253955087491459</v>
      </c>
      <c r="N9">
        <f t="shared" si="4"/>
        <v>1299.0073647357653</v>
      </c>
    </row>
    <row r="10" spans="1:14" x14ac:dyDescent="0.25">
      <c r="A10" t="s">
        <v>14</v>
      </c>
      <c r="B10">
        <v>0.02</v>
      </c>
      <c r="I10">
        <v>360</v>
      </c>
      <c r="J10">
        <f t="shared" si="0"/>
        <v>7300</v>
      </c>
      <c r="K10">
        <f t="shared" si="1"/>
        <v>0.4045412099668958</v>
      </c>
      <c r="L10">
        <f t="shared" si="2"/>
        <v>2.7198853715027099E-2</v>
      </c>
      <c r="M10">
        <f t="shared" si="3"/>
        <v>14.873465411646769</v>
      </c>
      <c r="N10">
        <f t="shared" si="4"/>
        <v>1332.238281502556</v>
      </c>
    </row>
    <row r="11" spans="1:14" x14ac:dyDescent="0.25">
      <c r="A11" t="s">
        <v>15</v>
      </c>
      <c r="B11">
        <v>0.81</v>
      </c>
      <c r="I11">
        <v>370</v>
      </c>
      <c r="J11">
        <f t="shared" si="0"/>
        <v>7300</v>
      </c>
      <c r="K11">
        <f t="shared" si="1"/>
        <v>0.38296961878531555</v>
      </c>
      <c r="L11">
        <f t="shared" si="2"/>
        <v>2.6451585472869705E-2</v>
      </c>
      <c r="M11">
        <f t="shared" si="3"/>
        <v>14.47813474841089</v>
      </c>
      <c r="N11">
        <f t="shared" si="4"/>
        <v>1368.6155257102357</v>
      </c>
    </row>
    <row r="12" spans="1:14" x14ac:dyDescent="0.25">
      <c r="A12" t="s">
        <v>29</v>
      </c>
      <c r="B12">
        <f>B3^2/B4</f>
        <v>8.9336163522012573</v>
      </c>
      <c r="I12">
        <v>380</v>
      </c>
      <c r="J12">
        <f t="shared" si="0"/>
        <v>7300</v>
      </c>
      <c r="K12">
        <f t="shared" si="1"/>
        <v>0.36307853747721397</v>
      </c>
      <c r="L12">
        <f t="shared" si="2"/>
        <v>2.5798811147771154E-2</v>
      </c>
      <c r="M12">
        <f t="shared" si="3"/>
        <v>14.073460028741733</v>
      </c>
      <c r="N12">
        <f t="shared" si="4"/>
        <v>1407.9693237862275</v>
      </c>
    </row>
    <row r="13" spans="1:14" x14ac:dyDescent="0.25">
      <c r="I13">
        <v>390</v>
      </c>
      <c r="J13">
        <f t="shared" si="0"/>
        <v>7300</v>
      </c>
      <c r="K13">
        <f t="shared" si="1"/>
        <v>0.34469783571143786</v>
      </c>
      <c r="L13">
        <f t="shared" si="2"/>
        <v>2.5226547762151254E-2</v>
      </c>
      <c r="M13">
        <f t="shared" si="3"/>
        <v>13.664090662005149</v>
      </c>
      <c r="N13">
        <f t="shared" si="4"/>
        <v>1450.1513851264385</v>
      </c>
    </row>
    <row r="14" spans="1:14" x14ac:dyDescent="0.25">
      <c r="I14">
        <v>400</v>
      </c>
      <c r="J14">
        <f t="shared" si="0"/>
        <v>7300</v>
      </c>
      <c r="K14">
        <f t="shared" si="1"/>
        <v>0.32767838007318562</v>
      </c>
      <c r="L14">
        <f t="shared" si="2"/>
        <v>2.472316792242928E-2</v>
      </c>
      <c r="M14">
        <f t="shared" si="3"/>
        <v>13.253899383011923</v>
      </c>
      <c r="N14">
        <f t="shared" si="4"/>
        <v>1495.0317206570705</v>
      </c>
    </row>
    <row r="15" spans="1:14" x14ac:dyDescent="0.25">
      <c r="I15">
        <v>410</v>
      </c>
      <c r="J15">
        <f t="shared" si="0"/>
        <v>7300</v>
      </c>
      <c r="K15">
        <f t="shared" si="1"/>
        <v>0.31188899947477511</v>
      </c>
      <c r="L15">
        <f t="shared" si="2"/>
        <v>2.4278957024822325E-2</v>
      </c>
      <c r="M15">
        <f t="shared" si="3"/>
        <v>12.846062504081456</v>
      </c>
      <c r="N15">
        <f t="shared" si="4"/>
        <v>1542.4959977973306</v>
      </c>
    </row>
    <row r="16" spans="1:14" x14ac:dyDescent="0.25">
      <c r="I16">
        <v>420</v>
      </c>
      <c r="J16">
        <f t="shared" si="0"/>
        <v>7300</v>
      </c>
      <c r="K16">
        <f t="shared" si="1"/>
        <v>0.29721395017976016</v>
      </c>
      <c r="L16">
        <f t="shared" si="2"/>
        <v>2.3885761938640199E-2</v>
      </c>
      <c r="M16">
        <f t="shared" si="3"/>
        <v>12.443142946131211</v>
      </c>
      <c r="N16">
        <f t="shared" si="4"/>
        <v>1592.4433308998373</v>
      </c>
    </row>
    <row r="17" spans="9:21" x14ac:dyDescent="0.25">
      <c r="I17">
        <v>430</v>
      </c>
      <c r="J17">
        <f t="shared" si="0"/>
        <v>7300</v>
      </c>
      <c r="K17">
        <f t="shared" si="1"/>
        <v>0.2835507885976728</v>
      </c>
      <c r="L17">
        <f t="shared" si="2"/>
        <v>2.3536710642537824E-2</v>
      </c>
      <c r="M17">
        <f t="shared" si="3"/>
        <v>12.047171455012593</v>
      </c>
      <c r="N17">
        <f t="shared" si="4"/>
        <v>1644.7844271159074</v>
      </c>
    </row>
    <row r="18" spans="9:21" x14ac:dyDescent="0.25">
      <c r="I18">
        <v>440</v>
      </c>
      <c r="J18">
        <f t="shared" si="0"/>
        <v>7300</v>
      </c>
      <c r="K18">
        <f t="shared" si="1"/>
        <v>0.27080857857288065</v>
      </c>
      <c r="L18">
        <f t="shared" si="2"/>
        <v>2.3225987242967885E-2</v>
      </c>
      <c r="M18">
        <f t="shared" si="3"/>
        <v>11.659723039539392</v>
      </c>
      <c r="N18">
        <f t="shared" si="4"/>
        <v>1699.4400238157609</v>
      </c>
    </row>
    <row r="19" spans="9:21" x14ac:dyDescent="0.25">
      <c r="I19">
        <v>450</v>
      </c>
      <c r="J19">
        <f t="shared" si="0"/>
        <v>7300</v>
      </c>
      <c r="K19">
        <f t="shared" si="1"/>
        <v>0.25890637437881331</v>
      </c>
      <c r="L19">
        <f t="shared" si="2"/>
        <v>2.29486504816751E-2</v>
      </c>
      <c r="M19">
        <f t="shared" si="3"/>
        <v>11.281986911847152</v>
      </c>
      <c r="N19">
        <f t="shared" si="4"/>
        <v>1756.3395663216359</v>
      </c>
    </row>
    <row r="20" spans="9:21" x14ac:dyDescent="0.25">
      <c r="I20">
        <v>460</v>
      </c>
      <c r="J20">
        <f t="shared" si="0"/>
        <v>7300</v>
      </c>
      <c r="K20">
        <f t="shared" si="1"/>
        <v>0.24777193200240877</v>
      </c>
      <c r="L20">
        <f t="shared" si="2"/>
        <v>2.2700486589129844E-2</v>
      </c>
      <c r="M20">
        <f t="shared" si="3"/>
        <v>10.914829117409962</v>
      </c>
      <c r="N20">
        <f t="shared" si="4"/>
        <v>1815.4200846253841</v>
      </c>
    </row>
    <row r="21" spans="9:21" x14ac:dyDescent="0.25">
      <c r="I21">
        <v>470</v>
      </c>
      <c r="J21">
        <f t="shared" si="0"/>
        <v>7300</v>
      </c>
      <c r="K21">
        <f t="shared" si="1"/>
        <v>0.23734061028388276</v>
      </c>
      <c r="L21">
        <f t="shared" si="2"/>
        <v>2.2477889411504352E-2</v>
      </c>
      <c r="M21">
        <f t="shared" si="3"/>
        <v>10.558847671988726</v>
      </c>
      <c r="N21">
        <f t="shared" si="4"/>
        <v>1876.6252355895485</v>
      </c>
    </row>
    <row r="22" spans="9:21" x14ac:dyDescent="0.25">
      <c r="I22">
        <v>480</v>
      </c>
      <c r="J22">
        <f t="shared" si="0"/>
        <v>7300</v>
      </c>
      <c r="K22">
        <f t="shared" si="1"/>
        <v>0.22755443060637889</v>
      </c>
      <c r="L22">
        <f t="shared" si="2"/>
        <v>2.2277762308270294E-2</v>
      </c>
      <c r="M22">
        <f t="shared" si="3"/>
        <v>10.214420436737608</v>
      </c>
      <c r="N22">
        <f t="shared" si="4"/>
        <v>1939.9044833451881</v>
      </c>
    </row>
    <row r="23" spans="9:21" x14ac:dyDescent="0.25">
      <c r="I23">
        <v>490</v>
      </c>
      <c r="J23">
        <f t="shared" si="0"/>
        <v>7300</v>
      </c>
      <c r="K23">
        <f t="shared" si="1"/>
        <v>0.21836126951982382</v>
      </c>
      <c r="L23">
        <f t="shared" si="2"/>
        <v>2.2097437514567973E-2</v>
      </c>
      <c r="M23">
        <f t="shared" si="3"/>
        <v>9.8817462149566797</v>
      </c>
      <c r="N23">
        <f t="shared" si="4"/>
        <v>2005.2123955590644</v>
      </c>
    </row>
    <row r="24" spans="9:21" x14ac:dyDescent="0.25">
      <c r="I24">
        <v>500</v>
      </c>
      <c r="J24">
        <f t="shared" si="0"/>
        <v>7300</v>
      </c>
      <c r="K24">
        <f t="shared" si="1"/>
        <v>0.20971416324683881</v>
      </c>
      <c r="L24">
        <f t="shared" si="2"/>
        <v>2.1934609581027033E-2</v>
      </c>
      <c r="M24">
        <f t="shared" si="3"/>
        <v>9.5608796897956676</v>
      </c>
      <c r="N24">
        <f t="shared" si="4"/>
        <v>2072.5080372205248</v>
      </c>
    </row>
    <row r="25" spans="9:21" x14ac:dyDescent="0.25">
      <c r="I25">
        <v>510</v>
      </c>
      <c r="J25">
        <f t="shared" si="0"/>
        <v>7300</v>
      </c>
      <c r="K25">
        <f t="shared" si="1"/>
        <v>0.20157070669630797</v>
      </c>
      <c r="L25">
        <f t="shared" si="2"/>
        <v>2.1787280212578898E-2</v>
      </c>
      <c r="M25">
        <f t="shared" si="3"/>
        <v>9.2517608774284277</v>
      </c>
      <c r="N25">
        <f t="shared" si="4"/>
        <v>2141.7544468040419</v>
      </c>
    </row>
    <row r="26" spans="9:21" x14ac:dyDescent="0.25">
      <c r="I26">
        <v>520</v>
      </c>
      <c r="J26">
        <f t="shared" si="0"/>
        <v>7300</v>
      </c>
      <c r="K26">
        <f t="shared" si="1"/>
        <v>0.1938925325876838</v>
      </c>
      <c r="L26">
        <f t="shared" si="2"/>
        <v>2.1653712377868169E-2</v>
      </c>
      <c r="M26">
        <f t="shared" si="3"/>
        <v>8.954239772107508</v>
      </c>
      <c r="N26">
        <f t="shared" si="4"/>
        <v>2212.9181822586215</v>
      </c>
    </row>
    <row r="27" spans="9:21" x14ac:dyDescent="0.25">
      <c r="I27">
        <v>530</v>
      </c>
      <c r="J27">
        <f t="shared" si="0"/>
        <v>7300</v>
      </c>
      <c r="K27">
        <f t="shared" si="1"/>
        <v>0.18664485871025169</v>
      </c>
      <c r="L27">
        <f t="shared" si="2"/>
        <v>2.1532391989971075E-2</v>
      </c>
      <c r="M27">
        <f t="shared" si="3"/>
        <v>8.6680968281268225</v>
      </c>
      <c r="N27">
        <f t="shared" si="4"/>
        <v>2285.9689263856581</v>
      </c>
    </row>
    <row r="28" spans="9:21" x14ac:dyDescent="0.25">
      <c r="I28">
        <v>540</v>
      </c>
      <c r="J28">
        <f t="shared" si="0"/>
        <v>7300</v>
      </c>
      <c r="K28">
        <f t="shared" si="1"/>
        <v>0.17979609331862034</v>
      </c>
      <c r="L28">
        <f t="shared" si="2"/>
        <v>2.1421995795560908E-2</v>
      </c>
      <c r="M28">
        <f t="shared" si="3"/>
        <v>8.393059873341862</v>
      </c>
      <c r="N28">
        <f t="shared" si="4"/>
        <v>2360.8791428900254</v>
      </c>
    </row>
    <row r="29" spans="9:21" x14ac:dyDescent="0.25">
      <c r="I29">
        <v>550</v>
      </c>
      <c r="J29">
        <f t="shared" si="0"/>
        <v>7300</v>
      </c>
      <c r="K29">
        <f t="shared" si="1"/>
        <v>0.17331749028664364</v>
      </c>
      <c r="L29">
        <f t="shared" si="2"/>
        <v>2.1321364374719647E-2</v>
      </c>
      <c r="M29">
        <f t="shared" si="3"/>
        <v>8.1288179893470147</v>
      </c>
      <c r="N29">
        <f t="shared" si="4"/>
        <v>2437.623775802087</v>
      </c>
    </row>
    <row r="30" spans="9:21" x14ac:dyDescent="0.25">
      <c r="I30">
        <v>560</v>
      </c>
      <c r="J30">
        <f t="shared" si="0"/>
        <v>7300</v>
      </c>
      <c r="K30">
        <f t="shared" si="1"/>
        <v>0.1671828469761151</v>
      </c>
      <c r="L30">
        <f t="shared" si="2"/>
        <v>2.1229479363397877E-2</v>
      </c>
      <c r="M30">
        <f t="shared" si="3"/>
        <v>7.875032831203483</v>
      </c>
      <c r="N30">
        <f t="shared" si="4"/>
        <v>2516.1799861311588</v>
      </c>
    </row>
    <row r="31" spans="9:21" x14ac:dyDescent="0.25">
      <c r="I31">
        <v>570</v>
      </c>
      <c r="J31">
        <f t="shared" si="0"/>
        <v>7300</v>
      </c>
      <c r="K31">
        <f t="shared" si="1"/>
        <v>0.16136823887876175</v>
      </c>
      <c r="L31">
        <f t="shared" si="2"/>
        <v>2.1145444177337512E-2</v>
      </c>
      <c r="M31">
        <f t="shared" si="3"/>
        <v>7.631347798865681</v>
      </c>
      <c r="N31">
        <f t="shared" si="4"/>
        <v>2596.5269205716572</v>
      </c>
    </row>
    <row r="32" spans="9:21" x14ac:dyDescent="0.25">
      <c r="I32">
        <v>580</v>
      </c>
      <c r="J32">
        <f t="shared" si="0"/>
        <v>7300</v>
      </c>
      <c r="K32">
        <f t="shared" si="1"/>
        <v>0.15585178600389327</v>
      </c>
      <c r="L32">
        <f t="shared" si="2"/>
        <v>2.1068467649475505E-2</v>
      </c>
      <c r="M32">
        <f t="shared" si="3"/>
        <v>7.3973954155974493</v>
      </c>
      <c r="N32">
        <f t="shared" si="4"/>
        <v>2678.6455078797007</v>
      </c>
      <c r="P32" s="1" t="s">
        <v>32</v>
      </c>
      <c r="Q32" s="1"/>
      <c r="R32" s="1"/>
      <c r="S32" s="1"/>
      <c r="T32" s="1"/>
      <c r="U32" s="1"/>
    </row>
    <row r="33" spans="9:21" x14ac:dyDescent="0.25">
      <c r="I33">
        <v>590</v>
      </c>
      <c r="J33">
        <f t="shared" si="0"/>
        <v>7300</v>
      </c>
      <c r="K33">
        <f t="shared" si="1"/>
        <v>0.15061344674435423</v>
      </c>
      <c r="L33">
        <f t="shared" si="2"/>
        <v>2.0997850099656101E-2</v>
      </c>
      <c r="M33">
        <f t="shared" si="3"/>
        <v>7.1728032169741489</v>
      </c>
      <c r="N33">
        <f t="shared" si="4"/>
        <v>2762.5182792006062</v>
      </c>
      <c r="P33" s="2" t="s">
        <v>28</v>
      </c>
      <c r="Q33" s="2" t="s">
        <v>31</v>
      </c>
      <c r="R33" s="2" t="s">
        <v>24</v>
      </c>
      <c r="S33" s="2" t="s">
        <v>25</v>
      </c>
      <c r="T33" s="2" t="s">
        <v>26</v>
      </c>
      <c r="U33" s="2" t="s">
        <v>27</v>
      </c>
    </row>
    <row r="34" spans="9:21" x14ac:dyDescent="0.25">
      <c r="I34">
        <v>600</v>
      </c>
      <c r="J34">
        <f t="shared" si="0"/>
        <v>7300</v>
      </c>
      <c r="K34">
        <f t="shared" si="1"/>
        <v>0.14563483558808249</v>
      </c>
      <c r="L34">
        <f t="shared" si="2"/>
        <v>2.0932971441467513E-2</v>
      </c>
      <c r="M34">
        <f t="shared" si="3"/>
        <v>6.9571984080379901</v>
      </c>
      <c r="N34">
        <f t="shared" si="4"/>
        <v>2848.1292091809205</v>
      </c>
      <c r="P34" s="3">
        <v>979.51668963450561</v>
      </c>
      <c r="Q34" s="2">
        <f>$D$8</f>
        <v>7300</v>
      </c>
      <c r="R34" s="2">
        <f>(2*$B$5)/($F$1*P34^2*$B$4)</f>
        <v>5.4644202271761158E-2</v>
      </c>
      <c r="S34" s="2">
        <f>$B$10+(R34^2)/(PI()*$B$11*$B$12)</f>
        <v>2.0131348764142083E-2</v>
      </c>
      <c r="T34" s="2">
        <f>R34/S34</f>
        <v>2.7143835672398313</v>
      </c>
      <c r="U34" s="2">
        <f>$B$5/T34</f>
        <v>7299.9999849502592</v>
      </c>
    </row>
    <row r="35" spans="9:21" x14ac:dyDescent="0.25">
      <c r="I35">
        <v>610</v>
      </c>
      <c r="J35">
        <f t="shared" si="0"/>
        <v>7300</v>
      </c>
      <c r="K35">
        <f t="shared" si="1"/>
        <v>0.14089906157406529</v>
      </c>
      <c r="L35">
        <f t="shared" si="2"/>
        <v>2.0873281000512642E-2</v>
      </c>
      <c r="M35">
        <f t="shared" si="3"/>
        <v>6.7502115058291432</v>
      </c>
      <c r="N35">
        <f t="shared" si="4"/>
        <v>2935.4635751618689</v>
      </c>
    </row>
    <row r="36" spans="9:21" x14ac:dyDescent="0.25">
      <c r="I36">
        <v>620</v>
      </c>
      <c r="J36">
        <f t="shared" si="0"/>
        <v>7300</v>
      </c>
      <c r="K36">
        <f t="shared" si="1"/>
        <v>0.13639058483795446</v>
      </c>
      <c r="L36">
        <f t="shared" si="2"/>
        <v>2.0818288774796335E-2</v>
      </c>
      <c r="M36">
        <f t="shared" si="3"/>
        <v>6.5514791495771618</v>
      </c>
      <c r="N36">
        <f t="shared" si="4"/>
        <v>3024.5078321403003</v>
      </c>
    </row>
    <row r="37" spans="9:21" x14ac:dyDescent="0.25">
      <c r="I37">
        <v>630</v>
      </c>
      <c r="J37">
        <f t="shared" si="0"/>
        <v>7300</v>
      </c>
      <c r="K37">
        <f t="shared" si="1"/>
        <v>0.1320950889687823</v>
      </c>
      <c r="L37">
        <f t="shared" si="2"/>
        <v>2.0767557913805471E-2</v>
      </c>
      <c r="M37">
        <f t="shared" si="3"/>
        <v>6.3606462308681264</v>
      </c>
      <c r="N37">
        <f t="shared" si="4"/>
        <v>3115.2495015110389</v>
      </c>
      <c r="P37" s="5">
        <f>SQRT(((D8/B5)*(B5/B4)+(B5/B4)*SQRT((D8/B5)^2 - (4*B10)/(PI()*B11*B12)))/(F1*B10))</f>
        <v>979.5166906575455</v>
      </c>
    </row>
    <row r="38" spans="9:21" x14ac:dyDescent="0.25">
      <c r="I38">
        <v>640</v>
      </c>
      <c r="J38">
        <f t="shared" si="0"/>
        <v>7300</v>
      </c>
      <c r="K38">
        <f t="shared" si="1"/>
        <v>0.12799936721608812</v>
      </c>
      <c r="L38">
        <f t="shared" si="2"/>
        <v>2.0720698230351147E-2</v>
      </c>
      <c r="M38">
        <f t="shared" si="3"/>
        <v>6.1773674705902497</v>
      </c>
      <c r="N38">
        <f t="shared" si="4"/>
        <v>3207.6770718816683</v>
      </c>
    </row>
    <row r="39" spans="9:21" x14ac:dyDescent="0.25">
      <c r="I39">
        <v>650</v>
      </c>
      <c r="J39">
        <f t="shared" si="0"/>
        <v>7300</v>
      </c>
      <c r="K39">
        <f t="shared" si="1"/>
        <v>0.12409122085611764</v>
      </c>
      <c r="L39">
        <f t="shared" si="2"/>
        <v>2.0677360589974804E-2</v>
      </c>
      <c r="M39">
        <f t="shared" si="3"/>
        <v>6.0013085478753965</v>
      </c>
      <c r="N39">
        <f t="shared" si="4"/>
        <v>3301.779910485518</v>
      </c>
    </row>
    <row r="40" spans="9:21" x14ac:dyDescent="0.25">
      <c r="I40">
        <v>660</v>
      </c>
      <c r="J40">
        <f t="shared" si="0"/>
        <v>7300</v>
      </c>
      <c r="K40">
        <f t="shared" si="1"/>
        <v>0.12035936825461363</v>
      </c>
      <c r="L40">
        <f t="shared" si="2"/>
        <v>2.0637232047993656E-2</v>
      </c>
      <c r="M40">
        <f t="shared" si="3"/>
        <v>5.8321468680832576</v>
      </c>
      <c r="N40">
        <f t="shared" si="4"/>
        <v>3397.5481839181161</v>
      </c>
    </row>
    <row r="41" spans="9:21" x14ac:dyDescent="0.25">
      <c r="I41">
        <v>670</v>
      </c>
      <c r="J41">
        <f t="shared" si="0"/>
        <v>7300</v>
      </c>
      <c r="K41">
        <f t="shared" si="1"/>
        <v>0.1167933633586761</v>
      </c>
      <c r="L41">
        <f t="shared" si="2"/>
        <v>2.0600031625110034E-2</v>
      </c>
      <c r="M41">
        <f t="shared" si="3"/>
        <v>5.669572041642545</v>
      </c>
      <c r="N41">
        <f t="shared" si="4"/>
        <v>3494.9727870922952</v>
      </c>
    </row>
    <row r="42" spans="9:21" x14ac:dyDescent="0.25">
      <c r="I42">
        <v>680</v>
      </c>
      <c r="J42">
        <f t="shared" si="0"/>
        <v>7300</v>
      </c>
      <c r="K42">
        <f t="shared" si="1"/>
        <v>0.11338352251667323</v>
      </c>
      <c r="L42">
        <f t="shared" si="2"/>
        <v>2.0565506629761292E-2</v>
      </c>
      <c r="M42">
        <f t="shared" si="3"/>
        <v>5.5132861328390863</v>
      </c>
      <c r="N42">
        <f t="shared" si="4"/>
        <v>3594.0452794522739</v>
      </c>
    </row>
    <row r="43" spans="9:21" x14ac:dyDescent="0.25">
      <c r="I43">
        <v>690</v>
      </c>
      <c r="J43">
        <f t="shared" si="0"/>
        <v>7300</v>
      </c>
      <c r="K43">
        <f t="shared" si="1"/>
        <v>0.11012085866773723</v>
      </c>
      <c r="L43">
        <f t="shared" si="2"/>
        <v>2.0533429449704661E-2</v>
      </c>
      <c r="M43">
        <f t="shared" si="3"/>
        <v>5.3630037270428357</v>
      </c>
      <c r="N43">
        <f t="shared" si="4"/>
        <v>3694.7578276112827</v>
      </c>
    </row>
    <row r="44" spans="9:21" x14ac:dyDescent="0.25">
      <c r="I44">
        <v>700</v>
      </c>
      <c r="J44">
        <f t="shared" si="0"/>
        <v>7300</v>
      </c>
      <c r="K44">
        <f t="shared" si="1"/>
        <v>0.10699702206471368</v>
      </c>
      <c r="L44">
        <f t="shared" si="2"/>
        <v>2.0503594747247771E-2</v>
      </c>
      <c r="M44">
        <f t="shared" si="3"/>
        <v>5.2184518560617796</v>
      </c>
      <c r="N44">
        <f t="shared" si="4"/>
        <v>3797.1031536839414</v>
      </c>
    </row>
    <row r="45" spans="9:21" x14ac:dyDescent="0.25">
      <c r="I45">
        <v>710</v>
      </c>
      <c r="J45">
        <f t="shared" si="0"/>
        <v>7300</v>
      </c>
      <c r="K45">
        <f t="shared" si="1"/>
        <v>0.10400424679966215</v>
      </c>
      <c r="L45">
        <f t="shared" si="2"/>
        <v>2.0475817002480825E-2</v>
      </c>
      <c r="M45">
        <f t="shared" si="3"/>
        <v>5.0793698140133365</v>
      </c>
      <c r="N45">
        <f t="shared" si="4"/>
        <v>3901.0744886763177</v>
      </c>
    </row>
    <row r="46" spans="9:21" x14ac:dyDescent="0.25">
      <c r="I46">
        <v>720</v>
      </c>
      <c r="J46">
        <f t="shared" si="0"/>
        <v>7300</v>
      </c>
      <c r="K46">
        <f t="shared" si="1"/>
        <v>0.10113530249172395</v>
      </c>
      <c r="L46">
        <f t="shared" si="2"/>
        <v>2.0449928357189194E-2</v>
      </c>
      <c r="M46">
        <f t="shared" si="3"/>
        <v>4.9455088900675648</v>
      </c>
      <c r="N46">
        <f t="shared" si="4"/>
        <v>4006.6655303756397</v>
      </c>
    </row>
    <row r="47" spans="9:21" x14ac:dyDescent="0.25">
      <c r="I47">
        <v>730</v>
      </c>
      <c r="J47">
        <f t="shared" si="0"/>
        <v>7300</v>
      </c>
      <c r="K47">
        <f t="shared" si="1"/>
        <v>9.8383450575548315E-2</v>
      </c>
      <c r="L47">
        <f t="shared" si="2"/>
        <v>2.0425776719108023E-2</v>
      </c>
      <c r="M47">
        <f t="shared" si="3"/>
        <v>4.8166320394324096</v>
      </c>
      <c r="N47">
        <f t="shared" si="4"/>
        <v>4113.8704052500125</v>
      </c>
    </row>
    <row r="48" spans="9:21" x14ac:dyDescent="0.25">
      <c r="I48">
        <v>740</v>
      </c>
      <c r="J48">
        <f t="shared" si="0"/>
        <v>7300</v>
      </c>
      <c r="K48">
        <f t="shared" si="1"/>
        <v>9.5742404696328887E-2</v>
      </c>
      <c r="L48">
        <f t="shared" si="2"/>
        <v>2.0403224092054358E-2</v>
      </c>
      <c r="M48">
        <f t="shared" si="3"/>
        <v>4.6925135098434723</v>
      </c>
      <c r="N48">
        <f t="shared" si="4"/>
        <v>4222.6836339275596</v>
      </c>
    </row>
    <row r="49" spans="9:14" x14ac:dyDescent="0.25">
      <c r="I49">
        <v>750</v>
      </c>
      <c r="J49">
        <f t="shared" si="0"/>
        <v>7300</v>
      </c>
      <c r="K49">
        <f t="shared" si="1"/>
        <v>9.3206294776372794E-2</v>
      </c>
      <c r="L49">
        <f t="shared" si="2"/>
        <v>2.0382145102425094E-2</v>
      </c>
      <c r="M49">
        <f t="shared" si="3"/>
        <v>4.5729384374406692</v>
      </c>
      <c r="N49">
        <f t="shared" si="4"/>
        <v>4333.1000998757891</v>
      </c>
    </row>
    <row r="50" spans="9:14" x14ac:dyDescent="0.25">
      <c r="I50">
        <v>760</v>
      </c>
      <c r="J50">
        <f t="shared" si="0"/>
        <v>7300</v>
      </c>
      <c r="K50">
        <f t="shared" si="1"/>
        <v>9.0769634369303492E-2</v>
      </c>
      <c r="L50">
        <f t="shared" si="2"/>
        <v>2.0362425696735697E-2</v>
      </c>
      <c r="M50">
        <f t="shared" si="3"/>
        <v>4.4577024231378672</v>
      </c>
      <c r="N50">
        <f t="shared" si="4"/>
        <v>4445.1150209465577</v>
      </c>
    </row>
    <row r="51" spans="9:14" x14ac:dyDescent="0.25">
      <c r="I51">
        <v>770</v>
      </c>
      <c r="J51">
        <f t="shared" si="0"/>
        <v>7300</v>
      </c>
      <c r="K51">
        <f t="shared" si="1"/>
        <v>8.8427290962573277E-2</v>
      </c>
      <c r="L51">
        <f t="shared" si="2"/>
        <v>2.0343961988421401E-2</v>
      </c>
      <c r="M51">
        <f t="shared" si="3"/>
        <v>4.3466110983151136</v>
      </c>
      <c r="N51">
        <f t="shared" si="4"/>
        <v>4558.723923490862</v>
      </c>
    </row>
    <row r="52" spans="9:14" x14ac:dyDescent="0.25">
      <c r="I52">
        <v>780</v>
      </c>
      <c r="J52">
        <f t="shared" si="0"/>
        <v>7300</v>
      </c>
      <c r="K52">
        <f t="shared" si="1"/>
        <v>8.6174458927859465E-2</v>
      </c>
      <c r="L52">
        <f t="shared" si="2"/>
        <v>2.0326659235134454E-2</v>
      </c>
      <c r="M52">
        <f t="shared" si="3"/>
        <v>4.239479686800065</v>
      </c>
      <c r="N52">
        <f t="shared" si="4"/>
        <v>4673.9226187816103</v>
      </c>
    </row>
    <row r="53" spans="9:14" x14ac:dyDescent="0.25">
      <c r="I53">
        <v>790</v>
      </c>
      <c r="J53">
        <f t="shared" si="0"/>
        <v>7300</v>
      </c>
      <c r="K53">
        <f t="shared" si="1"/>
        <v>8.4006634852923714E-2</v>
      </c>
      <c r="L53">
        <f t="shared" si="2"/>
        <v>2.0310430930334109E-2</v>
      </c>
      <c r="M53">
        <f t="shared" si="3"/>
        <v>4.1361325685836539</v>
      </c>
      <c r="N53">
        <f t="shared" si="4"/>
        <v>4790.707181512149</v>
      </c>
    </row>
    <row r="54" spans="9:14" x14ac:dyDescent="0.25">
      <c r="I54">
        <v>800</v>
      </c>
      <c r="J54">
        <f t="shared" si="0"/>
        <v>7300</v>
      </c>
      <c r="K54">
        <f t="shared" si="1"/>
        <v>8.1919595018296404E-2</v>
      </c>
      <c r="L54">
        <f t="shared" si="2"/>
        <v>2.029519799515183E-2</v>
      </c>
      <c r="M54">
        <f t="shared" si="3"/>
        <v>4.0364028494753077</v>
      </c>
      <c r="N54">
        <f t="shared" si="4"/>
        <v>4909.0739301642679</v>
      </c>
    </row>
    <row r="55" spans="9:14" x14ac:dyDescent="0.25">
      <c r="I55">
        <v>810</v>
      </c>
      <c r="J55">
        <f t="shared" si="0"/>
        <v>7300</v>
      </c>
      <c r="K55">
        <f t="shared" si="1"/>
        <v>7.9909374808275715E-2</v>
      </c>
      <c r="L55">
        <f t="shared" si="2"/>
        <v>2.0280888058382403E-2</v>
      </c>
      <c r="M55">
        <f t="shared" si="3"/>
        <v>3.9401319398954002</v>
      </c>
      <c r="N55">
        <f t="shared" si="4"/>
        <v>5029.0194090622344</v>
      </c>
    </row>
    <row r="56" spans="9:14" x14ac:dyDescent="0.25">
      <c r="I56">
        <v>820</v>
      </c>
      <c r="J56">
        <f t="shared" si="0"/>
        <v>7300</v>
      </c>
      <c r="K56">
        <f t="shared" si="1"/>
        <v>7.7972249868693777E-2</v>
      </c>
      <c r="L56">
        <f t="shared" si="2"/>
        <v>2.0267434814051397E-2</v>
      </c>
      <c r="M56">
        <f t="shared" si="3"/>
        <v>3.8471691451863301</v>
      </c>
      <c r="N56">
        <f t="shared" si="4"/>
        <v>5150.5403719493333</v>
      </c>
    </row>
    <row r="57" spans="9:14" x14ac:dyDescent="0.25">
      <c r="I57">
        <v>830</v>
      </c>
      <c r="J57">
        <f t="shared" si="0"/>
        <v>7300</v>
      </c>
      <c r="K57">
        <f t="shared" si="1"/>
        <v>7.6104718844113364E-2</v>
      </c>
      <c r="L57">
        <f t="shared" si="2"/>
        <v>2.025477744738207E-2</v>
      </c>
      <c r="M57">
        <f t="shared" si="3"/>
        <v>3.7573712691644459</v>
      </c>
      <c r="N57">
        <f t="shared" si="4"/>
        <v>5273.6337669411114</v>
      </c>
    </row>
    <row r="58" spans="9:14" x14ac:dyDescent="0.25">
      <c r="I58">
        <v>840</v>
      </c>
      <c r="J58">
        <f t="shared" si="0"/>
        <v>7300</v>
      </c>
      <c r="K58">
        <f t="shared" si="1"/>
        <v>7.4303487544940039E-2</v>
      </c>
      <c r="L58">
        <f t="shared" si="2"/>
        <v>2.0242860121165013E-2</v>
      </c>
      <c r="M58">
        <f t="shared" si="3"/>
        <v>3.670602232105121</v>
      </c>
      <c r="N58">
        <f t="shared" si="4"/>
        <v>5398.296722724961</v>
      </c>
    </row>
    <row r="59" spans="9:14" x14ac:dyDescent="0.25">
      <c r="I59">
        <v>850</v>
      </c>
      <c r="J59">
        <f t="shared" si="0"/>
        <v>7300</v>
      </c>
      <c r="K59">
        <f t="shared" si="1"/>
        <v>7.2565454410670874E-2</v>
      </c>
      <c r="L59">
        <f t="shared" si="2"/>
        <v>2.0231631515550224E-2</v>
      </c>
      <c r="M59">
        <f t="shared" si="3"/>
        <v>3.5867327039293087</v>
      </c>
      <c r="N59">
        <f t="shared" si="4"/>
        <v>5524.5265358894549</v>
      </c>
    </row>
    <row r="60" spans="9:14" x14ac:dyDescent="0.25">
      <c r="I60">
        <v>860</v>
      </c>
      <c r="J60">
        <f t="shared" si="0"/>
        <v>7300</v>
      </c>
      <c r="K60">
        <f t="shared" si="1"/>
        <v>7.08876971494182E-2</v>
      </c>
      <c r="L60">
        <f t="shared" si="2"/>
        <v>2.0221044415158613E-2</v>
      </c>
      <c r="M60">
        <f t="shared" si="3"/>
        <v>3.5056397530227255</v>
      </c>
      <c r="N60">
        <f t="shared" si="4"/>
        <v>5652.3206592789766</v>
      </c>
    </row>
    <row r="61" spans="9:14" x14ac:dyDescent="0.25">
      <c r="I61">
        <v>870</v>
      </c>
      <c r="J61">
        <f t="shared" si="0"/>
        <v>7300</v>
      </c>
      <c r="K61">
        <f t="shared" si="1"/>
        <v>6.9267460446174794E-2</v>
      </c>
      <c r="L61">
        <f t="shared" si="2"/>
        <v>2.0211055338168003E-2</v>
      </c>
      <c r="M61">
        <f t="shared" si="3"/>
        <v>3.4272065108527592</v>
      </c>
      <c r="N61">
        <f t="shared" si="4"/>
        <v>5781.6766912798676</v>
      </c>
    </row>
    <row r="62" spans="9:14" x14ac:dyDescent="0.25">
      <c r="I62">
        <v>880</v>
      </c>
      <c r="J62">
        <f t="shared" si="0"/>
        <v>7300</v>
      </c>
      <c r="K62">
        <f t="shared" si="1"/>
        <v>6.7702144643220163E-2</v>
      </c>
      <c r="L62">
        <f t="shared" si="2"/>
        <v>2.0201624202685495E-2</v>
      </c>
      <c r="M62">
        <f t="shared" si="3"/>
        <v>3.3513218523399821</v>
      </c>
      <c r="N62">
        <f t="shared" si="4"/>
        <v>5912.5923659539412</v>
      </c>
    </row>
    <row r="63" spans="9:14" x14ac:dyDescent="0.25">
      <c r="I63">
        <v>890</v>
      </c>
      <c r="J63">
        <f t="shared" si="0"/>
        <v>7300</v>
      </c>
      <c r="K63">
        <f t="shared" si="1"/>
        <v>6.6189295305781715E-2</v>
      </c>
      <c r="L63">
        <f t="shared" si="2"/>
        <v>2.0192714026287632E-2</v>
      </c>
      <c r="M63">
        <f t="shared" si="3"/>
        <v>3.2778800917803328</v>
      </c>
      <c r="N63">
        <f t="shared" si="4"/>
        <v>6045.0655439436077</v>
      </c>
    </row>
    <row r="64" spans="9:14" x14ac:dyDescent="0.25">
      <c r="I64">
        <v>900</v>
      </c>
      <c r="J64">
        <f t="shared" si="0"/>
        <v>7300</v>
      </c>
      <c r="K64">
        <f t="shared" si="1"/>
        <v>6.4726593594703327E-2</v>
      </c>
      <c r="L64">
        <f t="shared" si="2"/>
        <v>2.0184290655104693E-2</v>
      </c>
      <c r="M64">
        <f t="shared" si="3"/>
        <v>3.2067806939915271</v>
      </c>
      <c r="N64">
        <f t="shared" si="4"/>
        <v>6179.0942040804102</v>
      </c>
    </row>
    <row r="65" spans="9:14" x14ac:dyDescent="0.25">
      <c r="I65">
        <v>910</v>
      </c>
      <c r="J65">
        <f t="shared" si="0"/>
        <v>7300</v>
      </c>
      <c r="K65">
        <f t="shared" si="1"/>
        <v>6.3311847375570218E-2</v>
      </c>
      <c r="L65">
        <f t="shared" si="2"/>
        <v>2.0176322519256249E-2</v>
      </c>
      <c r="M65">
        <f t="shared" si="3"/>
        <v>3.1379280002659304</v>
      </c>
      <c r="N65">
        <f t="shared" si="4"/>
        <v>6314.6764356354688</v>
      </c>
    </row>
    <row r="66" spans="9:14" x14ac:dyDescent="0.25">
      <c r="I66">
        <v>920</v>
      </c>
      <c r="J66">
        <f t="shared" si="0"/>
        <v>7300</v>
      </c>
      <c r="K66">
        <f t="shared" si="1"/>
        <v>6.1942983000602192E-2</v>
      </c>
      <c r="L66">
        <f t="shared" si="2"/>
        <v>2.0168780411820617E-2</v>
      </c>
      <c r="M66">
        <f t="shared" si="3"/>
        <v>3.0712309686458954</v>
      </c>
      <c r="N66">
        <f t="shared" si="4"/>
        <v>6451.8104311563475</v>
      </c>
    </row>
    <row r="67" spans="9:14" x14ac:dyDescent="0.25">
      <c r="I67">
        <v>930</v>
      </c>
      <c r="J67">
        <f t="shared" si="0"/>
        <v>7300</v>
      </c>
      <c r="K67">
        <f t="shared" si="1"/>
        <v>6.0618037705757535E-2</v>
      </c>
      <c r="L67">
        <f t="shared" si="2"/>
        <v>2.016163728884866E-2</v>
      </c>
      <c r="M67">
        <f t="shared" si="3"/>
        <v>3.0066029279916262</v>
      </c>
      <c r="N67">
        <f t="shared" si="4"/>
        <v>6590.4944798401348</v>
      </c>
    </row>
    <row r="68" spans="9:14" x14ac:dyDescent="0.25">
      <c r="I68">
        <v>940</v>
      </c>
      <c r="J68">
        <f t="shared" si="0"/>
        <v>7300</v>
      </c>
      <c r="K68">
        <f t="shared" si="1"/>
        <v>5.933515257097069E-2</v>
      </c>
      <c r="L68">
        <f t="shared" si="2"/>
        <v>2.0154868088219022E-2</v>
      </c>
      <c r="M68">
        <f t="shared" si="3"/>
        <v>2.9439613452818096</v>
      </c>
      <c r="N68">
        <f t="shared" si="4"/>
        <v>6730.7269613973876</v>
      </c>
    </row>
    <row r="69" spans="9:14" x14ac:dyDescent="0.25">
      <c r="I69">
        <v>950</v>
      </c>
      <c r="J69">
        <f t="shared" ref="J69:J74" si="5">$D$8</f>
        <v>7300</v>
      </c>
      <c r="K69">
        <f t="shared" ref="K69:K74" si="6">(2*$B$5)/($F$1*I69^2*$B$4)</f>
        <v>5.8092565996354234E-2</v>
      </c>
      <c r="L69">
        <f t="shared" ref="L69:L74" si="7">$B$10+(K69^2)/(PI()*$B$11*$B$12)</f>
        <v>2.0148449565382941E-2</v>
      </c>
      <c r="M69">
        <f t="shared" ref="M69:M74" si="8">K69/L69</f>
        <v>2.8832276055703607</v>
      </c>
      <c r="N69">
        <f t="shared" ref="N69:N74" si="9">$B$5/M69</f>
        <v>6872.5063403657969</v>
      </c>
    </row>
    <row r="70" spans="9:14" x14ac:dyDescent="0.25">
      <c r="I70">
        <v>960</v>
      </c>
      <c r="J70">
        <f t="shared" si="5"/>
        <v>7300</v>
      </c>
      <c r="K70">
        <f t="shared" si="6"/>
        <v>5.6888607651594723E-2</v>
      </c>
      <c r="L70">
        <f t="shared" si="7"/>
        <v>2.0142360144266895E-2</v>
      </c>
      <c r="M70">
        <f t="shared" si="8"/>
        <v>2.8243268040159082</v>
      </c>
      <c r="N70">
        <f t="shared" si="9"/>
        <v>7015.8311608362974</v>
      </c>
    </row>
    <row r="71" spans="9:14" x14ac:dyDescent="0.25">
      <c r="I71">
        <v>970</v>
      </c>
      <c r="J71">
        <f t="shared" si="5"/>
        <v>7300</v>
      </c>
      <c r="K71">
        <f t="shared" si="6"/>
        <v>5.5721692859719091E-2</v>
      </c>
      <c r="L71">
        <f t="shared" si="7"/>
        <v>2.0136579781794669E-2</v>
      </c>
      <c r="M71">
        <f t="shared" si="8"/>
        <v>2.767187549401843</v>
      </c>
      <c r="N71">
        <f t="shared" si="9"/>
        <v>7160.7000415577986</v>
      </c>
    </row>
    <row r="72" spans="9:14" x14ac:dyDescent="0.25">
      <c r="I72">
        <v>980</v>
      </c>
      <c r="J72">
        <f t="shared" si="5"/>
        <v>7300</v>
      </c>
      <c r="K72">
        <f t="shared" si="6"/>
        <v>5.4590317379955955E-2</v>
      </c>
      <c r="L72">
        <f t="shared" si="7"/>
        <v>2.0131089844660499E-2</v>
      </c>
      <c r="M72">
        <f t="shared" si="8"/>
        <v>2.7117417785721774</v>
      </c>
      <c r="N72">
        <f t="shared" si="9"/>
        <v>7307.1116713897663</v>
      </c>
    </row>
    <row r="73" spans="9:14" x14ac:dyDescent="0.25">
      <c r="I73">
        <v>990</v>
      </c>
      <c r="J73">
        <f t="shared" si="5"/>
        <v>7300</v>
      </c>
      <c r="K73">
        <f t="shared" si="6"/>
        <v>5.3493052557606058E-2</v>
      </c>
      <c r="L73">
        <f t="shared" si="7"/>
        <v>2.0125872997134552E-2</v>
      </c>
      <c r="M73">
        <f t="shared" si="8"/>
        <v>2.6579245812205117</v>
      </c>
      <c r="N73">
        <f t="shared" si="9"/>
        <v>7455.0648050747195</v>
      </c>
    </row>
    <row r="74" spans="9:14" x14ac:dyDescent="0.25">
      <c r="I74">
        <v>1000</v>
      </c>
      <c r="J74">
        <f t="shared" si="5"/>
        <v>7300</v>
      </c>
      <c r="K74">
        <f t="shared" si="6"/>
        <v>5.2428540811709702E-2</v>
      </c>
      <c r="L74">
        <f t="shared" si="7"/>
        <v>2.012091309881419E-2</v>
      </c>
      <c r="M74">
        <f t="shared" si="8"/>
        <v>2.6056740344850224</v>
      </c>
      <c r="N74">
        <f t="shared" si="9"/>
        <v>7604.5582593051313</v>
      </c>
    </row>
  </sheetData>
  <mergeCells count="1">
    <mergeCell ref="P32:U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Hélice</vt:lpstr>
      <vt:lpstr>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2025-10-23T17:33:48Z</dcterms:created>
  <dcterms:modified xsi:type="dcterms:W3CDTF">2025-10-23T18:58:33Z</dcterms:modified>
</cp:coreProperties>
</file>