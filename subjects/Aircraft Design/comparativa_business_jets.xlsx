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Universidad\2025-2\Diseño\"/>
    </mc:Choice>
  </mc:AlternateContent>
  <xr:revisionPtr revIDLastSave="0" documentId="13_ncr:1_{8221EEDE-435B-46EC-9F38-F29C5C044C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rati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</calcChain>
</file>

<file path=xl/sharedStrings.xml><?xml version="1.0" encoding="utf-8"?>
<sst xmlns="http://schemas.openxmlformats.org/spreadsheetml/2006/main" count="54" uniqueCount="42">
  <si>
    <t>Fabricante</t>
  </si>
  <si>
    <t>Modelo</t>
  </si>
  <si>
    <t>Certificación</t>
  </si>
  <si>
    <t>Motores</t>
  </si>
  <si>
    <t>MTOW [lb]</t>
  </si>
  <si>
    <t>Pasajeros (máx.)</t>
  </si>
  <si>
    <t>Tripulación</t>
  </si>
  <si>
    <t>Cabina presurizada</t>
  </si>
  <si>
    <t>Velocidad crucero [Mach]</t>
  </si>
  <si>
    <t>MMO [Mach]</t>
  </si>
  <si>
    <t>Techo [ft]</t>
  </si>
  <si>
    <t>Rango [nm]</t>
  </si>
  <si>
    <t>Envergadura [ft]</t>
  </si>
  <si>
    <t>Área alar [ft²]</t>
  </si>
  <si>
    <t>Relación de aspecto</t>
  </si>
  <si>
    <t>Carga alar [lb/ft²]</t>
  </si>
  <si>
    <t>Cuerda media geom. [ft]</t>
  </si>
  <si>
    <t>Relación de cuerdas</t>
  </si>
  <si>
    <t>Flaps / Slats</t>
  </si>
  <si>
    <t>Textron (Cessna)</t>
  </si>
  <si>
    <t>Bombardier</t>
  </si>
  <si>
    <t>Gulfstream</t>
  </si>
  <si>
    <t>Dassault</t>
  </si>
  <si>
    <t>Embraer</t>
  </si>
  <si>
    <t>Citation X (750)</t>
  </si>
  <si>
    <t>Challenger 350</t>
  </si>
  <si>
    <t>G280</t>
  </si>
  <si>
    <t>Falcon 2000LXS</t>
  </si>
  <si>
    <t>Legacy 500</t>
  </si>
  <si>
    <t>FAR 25 (FAA), CS-25 (EASA)</t>
  </si>
  <si>
    <t>2× Rolls-Royce AE3007C</t>
  </si>
  <si>
    <t>2× Honeywell HTF7350</t>
  </si>
  <si>
    <t>2× Honeywell HTF7250G</t>
  </si>
  <si>
    <t>2× PWC PW308C</t>
  </si>
  <si>
    <t>2× Honeywell HTF7500E</t>
  </si>
  <si>
    <t>Sí</t>
  </si>
  <si>
    <t>No encontrado</t>
  </si>
  <si>
    <t>Flaps Fowler; slats borde de ataque</t>
  </si>
  <si>
    <t>Flaps Fowler simple ranura; sin slats</t>
  </si>
  <si>
    <t>Flaps Fowler; ala clean sin slats</t>
  </si>
  <si>
    <t>Slats LE; flaps Fowler doble ranura</t>
  </si>
  <si>
    <t>Flaps Fowler; tipo exacto no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</si>
</sst>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selection activeCell="N10" sqref="N10"/>
    </sheetView>
  </sheetViews>
  <sheetFormatPr baseColWidth="10" defaultColWidth="8.85546875" defaultRowHeight="15" x14ac:dyDescent="0.25"/>
  <cols>
    <col min="1" max="2" width="20.7109375" customWidth="1"/>
    <col min="3" max="3" width="22.7109375" bestFit="1" customWidth="1"/>
    <col min="4" max="4" width="20.7109375" customWidth="1"/>
    <col min="5" max="5" width="10.28515625" bestFit="1" customWidth="1"/>
    <col min="6" max="6" width="14.85546875" bestFit="1" customWidth="1"/>
    <col min="7" max="7" width="10.28515625" bestFit="1" customWidth="1"/>
    <col min="8" max="8" width="17" bestFit="1" customWidth="1"/>
    <col min="9" max="9" width="22.85546875" bestFit="1" customWidth="1"/>
    <col min="10" max="10" width="12.42578125" bestFit="1" customWidth="1"/>
    <col min="11" max="11" width="9.28515625" bestFit="1" customWidth="1"/>
    <col min="12" max="12" width="10.85546875" bestFit="1" customWidth="1"/>
    <col min="13" max="13" width="14.7109375" bestFit="1" customWidth="1"/>
    <col min="14" max="14" width="12.28515625" bestFit="1" customWidth="1"/>
    <col min="15" max="15" width="17.7109375" bestFit="1" customWidth="1"/>
    <col min="16" max="16" width="15.5703125" bestFit="1" customWidth="1"/>
    <col min="17" max="17" width="21.7109375" bestFit="1" customWidth="1"/>
    <col min="18" max="18" width="17.7109375" bestFit="1" customWidth="1"/>
    <col min="19" max="19" width="34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24</v>
      </c>
      <c r="C2" t="s">
        <v>29</v>
      </c>
      <c r="D2" t="s">
        <v>30</v>
      </c>
      <c r="E2">
        <v>36600</v>
      </c>
      <c r="F2">
        <v>12</v>
      </c>
      <c r="G2">
        <v>2</v>
      </c>
      <c r="H2" t="s">
        <v>35</v>
      </c>
      <c r="I2">
        <v>0.9</v>
      </c>
      <c r="J2">
        <v>0.93500000000000005</v>
      </c>
      <c r="K2">
        <v>51000</v>
      </c>
      <c r="L2">
        <v>3460</v>
      </c>
      <c r="M2">
        <v>63.6</v>
      </c>
      <c r="N2">
        <v>527</v>
      </c>
      <c r="O2">
        <v>7.68</v>
      </c>
      <c r="P2">
        <v>69.400000000000006</v>
      </c>
      <c r="Q2">
        <v>8.2899999999999991</v>
      </c>
      <c r="R2" t="s">
        <v>36</v>
      </c>
      <c r="S2" t="s">
        <v>37</v>
      </c>
    </row>
    <row r="3" spans="1:19" x14ac:dyDescent="0.25">
      <c r="A3" t="s">
        <v>20</v>
      </c>
      <c r="B3" t="s">
        <v>25</v>
      </c>
      <c r="C3" t="s">
        <v>29</v>
      </c>
      <c r="D3" t="s">
        <v>31</v>
      </c>
      <c r="E3">
        <v>40600</v>
      </c>
      <c r="F3">
        <v>10</v>
      </c>
      <c r="G3">
        <v>2</v>
      </c>
      <c r="H3" t="s">
        <v>35</v>
      </c>
      <c r="I3">
        <v>0.83</v>
      </c>
      <c r="J3">
        <v>0.85</v>
      </c>
      <c r="K3">
        <v>45000</v>
      </c>
      <c r="L3">
        <v>3200</v>
      </c>
      <c r="M3">
        <v>69</v>
      </c>
      <c r="N3">
        <v>523</v>
      </c>
      <c r="O3">
        <v>9.1</v>
      </c>
      <c r="P3">
        <v>77.599999999999994</v>
      </c>
      <c r="Q3">
        <v>7.58</v>
      </c>
      <c r="R3" t="s">
        <v>36</v>
      </c>
      <c r="S3" t="s">
        <v>38</v>
      </c>
    </row>
    <row r="4" spans="1:19" x14ac:dyDescent="0.25">
      <c r="A4" t="s">
        <v>21</v>
      </c>
      <c r="B4" t="s">
        <v>26</v>
      </c>
      <c r="C4" t="s">
        <v>29</v>
      </c>
      <c r="D4" t="s">
        <v>32</v>
      </c>
      <c r="E4">
        <v>39600</v>
      </c>
      <c r="F4">
        <v>10</v>
      </c>
      <c r="G4">
        <v>2</v>
      </c>
      <c r="H4" t="s">
        <v>35</v>
      </c>
      <c r="I4">
        <v>0.84</v>
      </c>
      <c r="J4">
        <v>0.85</v>
      </c>
      <c r="K4">
        <v>45000</v>
      </c>
      <c r="L4">
        <v>3600</v>
      </c>
      <c r="M4">
        <v>63</v>
      </c>
      <c r="N4">
        <v>495</v>
      </c>
      <c r="O4">
        <v>8.02</v>
      </c>
      <c r="P4">
        <v>80</v>
      </c>
      <c r="Q4">
        <v>7.86</v>
      </c>
      <c r="R4" t="s">
        <v>36</v>
      </c>
      <c r="S4" t="s">
        <v>39</v>
      </c>
    </row>
    <row r="5" spans="1:19" x14ac:dyDescent="0.25">
      <c r="A5" t="s">
        <v>22</v>
      </c>
      <c r="B5" t="s">
        <v>27</v>
      </c>
      <c r="C5" t="s">
        <v>29</v>
      </c>
      <c r="D5" t="s">
        <v>33</v>
      </c>
      <c r="E5">
        <v>42801</v>
      </c>
      <c r="F5">
        <v>10</v>
      </c>
      <c r="G5">
        <v>2</v>
      </c>
      <c r="H5" t="s">
        <v>35</v>
      </c>
      <c r="I5">
        <v>0.84</v>
      </c>
      <c r="J5">
        <v>0.86</v>
      </c>
      <c r="K5">
        <v>47000</v>
      </c>
      <c r="L5">
        <v>4000</v>
      </c>
      <c r="M5">
        <v>70.2</v>
      </c>
      <c r="N5">
        <v>527.6</v>
      </c>
      <c r="O5">
        <v>9.34</v>
      </c>
      <c r="P5">
        <v>81.099999999999994</v>
      </c>
      <c r="Q5">
        <v>7.52</v>
      </c>
      <c r="R5" t="s">
        <v>36</v>
      </c>
      <c r="S5" t="s">
        <v>40</v>
      </c>
    </row>
    <row r="6" spans="1:19" x14ac:dyDescent="0.25">
      <c r="A6" t="s">
        <v>23</v>
      </c>
      <c r="B6" t="s">
        <v>28</v>
      </c>
      <c r="C6" t="s">
        <v>29</v>
      </c>
      <c r="D6" t="s">
        <v>34</v>
      </c>
      <c r="E6">
        <v>38360</v>
      </c>
      <c r="F6">
        <v>12</v>
      </c>
      <c r="G6">
        <v>2</v>
      </c>
      <c r="H6" t="s">
        <v>35</v>
      </c>
      <c r="I6">
        <v>0.83</v>
      </c>
      <c r="J6">
        <v>0.83</v>
      </c>
      <c r="K6">
        <v>45000</v>
      </c>
      <c r="L6">
        <v>3125</v>
      </c>
      <c r="M6">
        <v>66.5</v>
      </c>
      <c r="N6">
        <v>482.8</v>
      </c>
      <c r="O6">
        <v>9.16</v>
      </c>
      <c r="P6">
        <v>79.5</v>
      </c>
      <c r="Q6">
        <v>7.26</v>
      </c>
      <c r="R6" t="s">
        <v>36</v>
      </c>
      <c r="S6" t="s">
        <v>41</v>
      </c>
    </row>
    <row r="9" spans="1:19" x14ac:dyDescent="0.25">
      <c r="N9">
        <f>AVERAGE(N2:N6)</f>
        <v>511.08000000000004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Tomas Atencia Tatis</cp:lastModifiedBy>
  <dcterms:created xsi:type="dcterms:W3CDTF">2025-08-29T22:00:49Z</dcterms:created>
  <dcterms:modified xsi:type="dcterms:W3CDTF">2025-08-30T02:33:13Z</dcterms:modified>
</cp:coreProperties>
</file>